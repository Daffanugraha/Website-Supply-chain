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kap Rata Rata keseluruhan" sheetId="1" r:id="rId5"/>
    <sheet state="visible" name="Rekap hasil seluruh pengujian s" sheetId="2" r:id="rId6"/>
    <sheet state="visible" name="Faithfulnees &lt;= 0.5" sheetId="3" r:id="rId7"/>
    <sheet state="visible" name="Answer Relevancy &lt;=0.5" sheetId="4" r:id="rId8"/>
    <sheet state="visible" name="Context_Precision &lt;= 0.5" sheetId="5" r:id="rId9"/>
    <sheet state="visible" name="Context_Recall &lt;= 0.5" sheetId="6" r:id="rId10"/>
    <sheet state="visible" name="Labse Top K=3 Chunk = 32" sheetId="7" r:id="rId11"/>
    <sheet state="visible" name="Labse Top K=5 Chunk = 32" sheetId="8" r:id="rId12"/>
    <sheet state="visible" name="Labse Top K=3 Chunk = 64" sheetId="9" r:id="rId13"/>
    <sheet state="visible" name="Labse Top K=5 Chunk = 64" sheetId="10" r:id="rId14"/>
    <sheet state="visible" name="BGE-M3 Top K = 3 , Chunk 32" sheetId="11" r:id="rId15"/>
    <sheet state="visible" name="BGE-M3 Top K = 5 , Chunk 32" sheetId="12" r:id="rId16"/>
    <sheet state="visible" name="BGE-M3 Top K = 3 , Chunk 64" sheetId="13" r:id="rId17"/>
    <sheet state="visible" name="BGE-M3 Top K = 5 , Chunk 64" sheetId="14" r:id="rId18"/>
    <sheet state="visible" name="Context Noise" sheetId="15" r:id="rId19"/>
    <sheet state="visible" name="Hallucinantion" sheetId="16" r:id="rId20"/>
    <sheet state="visible" name="Correct Answer" sheetId="17" r:id="rId21"/>
    <sheet state="visible" name="Retrieval Failure" sheetId="18" r:id="rId22"/>
    <sheet state="visible" name="Semantic Drift" sheetId="19" r:id="rId23"/>
    <sheet state="visible" name="Incomplete Answer" sheetId="20" r:id="rId24"/>
  </sheets>
  <definedNames>
    <definedName hidden="1" localSheetId="1" name="_xlnm._FilterDatabase">'Rekap hasil seluruh pengujian s'!$A$1:$L$641</definedName>
    <definedName hidden="1" localSheetId="2" name="_xlnm._FilterDatabase">'Faithfulnees &lt;= 0.5'!$A$1:$M$166</definedName>
    <definedName hidden="1" localSheetId="3" name="_xlnm._FilterDatabase">'Answer Relevancy &lt;=0.5'!$A$1:$M$92</definedName>
    <definedName hidden="1" localSheetId="4" name="_xlnm._FilterDatabase">'Context_Precision &lt;= 0.5'!$A$1:$M$191</definedName>
    <definedName hidden="1" localSheetId="5" name="_xlnm._FilterDatabase">'Context_Recall &lt;= 0.5'!$A$1:$M$169</definedName>
    <definedName hidden="1" localSheetId="6" name="_xlnm._FilterDatabase">'Labse Top K=3 Chunk = 32'!$A$1:$J$81</definedName>
    <definedName hidden="1" localSheetId="7" name="_xlnm._FilterDatabase">'Labse Top K=5 Chunk = 32'!$A$1:$J$81</definedName>
    <definedName hidden="1" localSheetId="8" name="_xlnm._FilterDatabase">'Labse Top K=3 Chunk = 64'!$A$1:$J$81</definedName>
    <definedName hidden="1" localSheetId="9" name="_xlnm._FilterDatabase">'Labse Top K=5 Chunk = 64'!$A$1:$J$81</definedName>
    <definedName hidden="1" localSheetId="10" name="_xlnm._FilterDatabase">'BGE-M3 Top K = 3 , Chunk 32'!$A$1:$J$81</definedName>
    <definedName hidden="1" localSheetId="11" name="_xlnm._FilterDatabase">'BGE-M3 Top K = 5 , Chunk 32'!$A$1:$J$81</definedName>
    <definedName hidden="1" localSheetId="12" name="_xlnm._FilterDatabase">'BGE-M3 Top K = 3 , Chunk 64'!$A$1:$J$81</definedName>
  </definedNames>
  <calcPr/>
</workbook>
</file>

<file path=xl/sharedStrings.xml><?xml version="1.0" encoding="utf-8"?>
<sst xmlns="http://schemas.openxmlformats.org/spreadsheetml/2006/main" count="12537" uniqueCount="2049">
  <si>
    <t>Model</t>
  </si>
  <si>
    <t>Chunking</t>
  </si>
  <si>
    <t>Top K</t>
  </si>
  <si>
    <t>Faithfulness</t>
  </si>
  <si>
    <t>Answer_Relevancy</t>
  </si>
  <si>
    <t>Context_Precision</t>
  </si>
  <si>
    <t>Context_Recall</t>
  </si>
  <si>
    <t>LaBSE</t>
  </si>
  <si>
    <t>BGE-M3</t>
  </si>
  <si>
    <t>Question Type</t>
  </si>
  <si>
    <t>Top-K</t>
  </si>
  <si>
    <t>Answer Relevancy</t>
  </si>
  <si>
    <t>Context Precision</t>
  </si>
  <si>
    <t>Context Recall</t>
  </si>
  <si>
    <t xml:space="preserve">Trend Analysis </t>
  </si>
  <si>
    <t>Gap Detection</t>
  </si>
  <si>
    <t>Comparative Synthesis</t>
  </si>
  <si>
    <t>Evidence-based QA</t>
  </si>
  <si>
    <t>Error Analisis</t>
  </si>
  <si>
    <t>Jenis error</t>
  </si>
  <si>
    <t>Sub Category</t>
  </si>
  <si>
    <t>Jumlah setiap Sub</t>
  </si>
  <si>
    <t>Total</t>
  </si>
  <si>
    <t>Hallucinantion</t>
  </si>
  <si>
    <t>Abstractive Deviation</t>
  </si>
  <si>
    <t>Unsupported Generation</t>
  </si>
  <si>
    <t>True Hallucination</t>
  </si>
  <si>
    <t>Other error</t>
  </si>
  <si>
    <t>Retrieval Failure</t>
  </si>
  <si>
    <t>Hard Retrieval Miss</t>
  </si>
  <si>
    <t>Partial Recall Loss</t>
  </si>
  <si>
    <t>Context Noise</t>
  </si>
  <si>
    <t>Dominant Noise</t>
  </si>
  <si>
    <t>Mixed Context</t>
  </si>
  <si>
    <t>Semantic Drift</t>
  </si>
  <si>
    <t>Intent Drift</t>
  </si>
  <si>
    <t>Scope Drift</t>
  </si>
  <si>
    <t>Incomplete Answer</t>
  </si>
  <si>
    <t>Partial Coverage</t>
  </si>
  <si>
    <t>Dimension Omission</t>
  </si>
  <si>
    <t>Correct Answer</t>
  </si>
  <si>
    <t>No</t>
  </si>
  <si>
    <t>Question</t>
  </si>
  <si>
    <t>Answer</t>
  </si>
  <si>
    <t>Top_K_Sources</t>
  </si>
  <si>
    <t>Image_Path</t>
  </si>
  <si>
    <t>How has the application of AI in supply chain risk management evolved over time?</t>
  </si>
  <si>
    <t>Direct Summary: The application of AI in supply chain risk management has evolved over time, shifting from a focus on prediction performance to exploring its impact on service models and various segments of the supply chain. Initially, most works focused on prediction performance, but recent studies have expanded to include the investigation of AI's applicability in supply chain risk management. This evolution indicates a growing recognition of AI's potential in supply chain management. Detailed Synthesis: Initially, the application of AI in supply chain risk management focused on prediction performance, as seen in works such as Baryannis et al. (2019) [1]. However, recent studies have expanded to include the investigation of AI's applicability in supply chain risk management, indicating a growing recognition of AI's potential in supply chain management. Recent studies, such as Wang et al. (2025) [2], have explored the application of AI in supply chain management, focusing on its impact on service models at both the front and back ends of the supply chain. The evolution of AI's application in supply chain risk management is also reflected in its increasing adoption across various segments of the supply chain, as seen in the food industry, where AI is being applied in breeding, cultivation, production, processing, safety testing, and more, as discussed in Ding et al. (2025) [3]. Analysis grounded in primary sources: [Baryannis et al., 2019; Wang et al., 2025; Ding et al., 2025].</t>
  </si>
  <si>
    <t>Rank #1
Potongan Chunk: same time the resurgence of artificial intelligence ai has led to the investigation of machine learning techniques and their applicability in supply chain risk management however most works focus on prediction performance...
Title: predicting supply chain risks using machine learning the tradeoff between performance and interpretability
Authors: Baryannis, G.; Dani, S.; Antoniou, G.
Score: 0.5620
-----------------
Rank #2
Potongan Chunk: this paper explores the application of artificial intelligence ai in supply chain management focusing on its impact on service models at both the front and back ends of the supply chain sc...
Title: is it necessary for the supply chain to implement artificial intelligencedriven sales services at both the frontend and backend stages
Authors: Wang, Y.; Gao, J.; Cheng, T.C.E.; Jin, M.; Yue, X.; Wang, H.
Score: 0.5546
-----------------
Rank #3
Potongan Chunk: with the rapid development of artificial intelligence ai technology its application in the food industry has become increasingly widespread covering various segments from breeding and cultivation production and processing safety testing and...
Title: applications and prospects of artificial intelligence in the food industry
Authors: Ding, H.; Song, X.; Dong, G.; Zhang, X.; Wang, C.; Cui, X.; Hou, H.; Huang, H.; Xu, S.; Han, Y.; Yang, Y.
Score: 0.5279</t>
  </si>
  <si>
    <t>What were the dominant AI techniques used in early research on supply chain resilience?</t>
  </si>
  <si>
    <t>Direct Summary: The dominant AI techniques used in early research on supply chain resilience were primarily focused on prediction performance, with most works utilizing machine learning techniques. Detailed Synthesis: According to Doc [3], machine learning techniques were the primary focus in early research on supply chain risk management, with a focus on prediction performance [3]. However, as noted in Doc [1], the majority of AI approaches explored in supply chain research afford little to no explainability, which is a significant limitation [1]. Analysis grounded in primary sources: [Baryannis, G.; Dani, S.; Antoniou, G., 2019; Kosasih, E.E.; Papadakis, E.; Baryannis, G.; Brintrup, A., 2024].</t>
  </si>
  <si>
    <t>Rank #1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0.5819
-----------------
Rank #2
Potongan Chunk: study aims primarily to provide insight into the artificial intelligence ai tools used in supply chain management processes using the supply chain operations reference scor approach it also seeks to examine the...
Title: exploring the power of artificial intelligence in supply chain management a literature review on the artificial intelligence applications and tools used in supply chains and their distribution according to the scor method
Authors: Harrir, M.M.; Triqui, L.
Score: 0.5498
-----------------
Rank #3
Potongan Chunk: same time the resurgence of artificial intelligence ai has led to the investigation of machine learning techniques and their applicability in supply chain risk management however most works focus on prediction performance...
Title: predicting supply chain risks using machine learning the tradeoff between performance and interpretability
Authors: Baryannis, G.; Dani, S.; Antoniou, G.
Score: 0.5465</t>
  </si>
  <si>
    <t>How did machine learning adoption change SCRM research after 2015?</t>
  </si>
  <si>
    <t>Direct Summary: Machine learning adoption significantly impacted SCRM research after 2015, as evident from the increasing number of studies exploring its applications in SCM. This shift is attributed to the growing interest in leveraging AI and ML for more efficient and sustainable supply chain management. Detailed Synthesis: According to Doc [3], the rapid growth of interest in deep learning, a class of machine learning algorithms, in SCM has led to an urgent need for an updated systematic review on research development [1]. As stated in Doc [1], this study examined articles published since 2015 to understand the current status, future possibilities, and capabilities of ML in supporting environmentally friendly development [2]. Similarly, Doc [2] highlights the importance of AI and ML in effectively adopting and implementing the circular economy in real-world practices [3]. Analysis grounded in primary sources: Hosseinnia Shavaki, F.H.; Ebrahimi Ghahnavieh, A. (2023), Noman, A.A.; Akter, U.H.; Pranto, T.H.; Haque, A.K.M.B. (2022), Claude, B.M.J.; Sibali, L.L. (2024).</t>
  </si>
  <si>
    <t>Rank #1
Potongan Chunk: use machine learning ml a new technique approach this study examined articles published since 2015 to understand better the current status future possibilities and capabilities of ml in supporting environmentally friendly development...
Title: application of machine learning for environmentally friendly advancement exploring biomassderived materials in wastewater treatment and agricultural sector a review
Authors: Claude, B.M.J.; Sibali, L.L.
Score: 0.4867
-----------------
Rank #2
Potongan Chunk: later on by reusing recycling and remanufacturing innovative technologies like artificial intelligence ai and machine learningml provide vital assistance in effectively adopting and implementing ce in realworld practices this study explores the...
Title: machine learning and artificial intelligence in circular economy a bibliometric analysis and systematic literature review
Authors: Noman, A.A.; Akter, U.H.; Pranto, T.H.; Haque, A.K.M.B.
Score: 0.4789
-----------------
Rank #3
Potongan Chunk: rapidly growing interest in the application of deep learning a class of machine learning algorithms in scm has urged the need for an uptodate systematic review on the research development the main...
Title: applications of deep learning into supply chain management a systematic literature review and a framework for future research
Authors: Hosseinnia Shavaki, F.H.; Ebrahimi Ghahnavieh, A.
Score: 0.4678</t>
  </si>
  <si>
    <t>What role did predictive analytics play in early supply chain risk mitigation studies?</t>
  </si>
  <si>
    <t>Direct Summary: Predictive analytics played a crucial role in early supply chain risk mitigation studies, particularly in identifying and mitigating risks in retail supply chains and agricultural supply chains. This was achieved through the application of big data analytics and machine learning techniques. Detailed Synthesis: Predictive analytics was used to identify and mitigate risks in retail supply chains, as seen in the study by Xue et al. (2019) [1], which employed a difference measure method based on moment generating function and fuzzy data stream clustering. Big data analytics was applied to mitigate supply chain social risk in manufacturing supply chains, as demonstrated by Venkatesh et al. (2017) [2], who explored the application of big data analytics in mitigating supply chain social risk. Predictive analytics was also used in agricultural supply chains, as seen in the study by Han et al. (2024) [3], which employed big data-driven risk decision-making and safety management strategies. Analysis grounded in primary sources: [Xue et al., 2019; Venkatesh et al., 2017; Han et al., 2024].</t>
  </si>
  <si>
    <t>Rank #1
Potongan Chunk: the research of the difference measure method for risk probability distribution plays a key role in the early warning decisionmaking management of retail supply chain unconventional emergency however the common difference measure...
Title: difference measure method of risk probability distribution based on moment generating function and fuzzy data stream clustering
Authors: Xue, H.; Yuan, Y.; Jiang, C.; Cai, B.-Y.
Score: 0.5337
-----------------
Rank #2
Potongan Chunk: importance to the sustainable enterprise the aim of this research is to explore the application of big data analytics in mitigating supply chain social risk and to demonstrate how such mitigation can...
Title: mitigating supply chain risk via sustainability using big data analytics evidence from the manufacturing supply chain
Authors: Venkatesh, V.; Delgado, C.; Hazen, B.T.; Patel, P.
Score: 0.4937
-----------------
Rank #3
Potongan Chunk: adopt effective risk management strategies is paramount contemporary studies have explored the utilization of big data in decisionmaking processes specific to agricultural supply chain risks predominantly concentrating on preliminary risk prediction and...
Title: big datadriven risk decisionmaking and safety management in agricultural supply chains
Authors: Han, G.; Pan, X.; Zhang, X.
Score: 0.4916</t>
  </si>
  <si>
    <t>How has deep learning influenced recent supply chain resilience models?</t>
  </si>
  <si>
    <t>Direct Summary: Deep learning has significantly influenced recent supply chain resilience models by enabling advanced techniques such as predictive analytics and machine learning algorithms to improve efficiency and visibility in supply chain management. Detailed Synthesis: Deep learning has been used to develop predictive models that can forecast demand and supply, enabling supply chain managers to make informed decisions and improve resilience [1]. The use of deep Q-learning has been shown to improve supply chain management procedures by enabling data-driven decision making and optimizing supply chain operations [2]. Advanced deep learning techniques have also been used to develop optimized provenance systems that can improve visibility and transparency in the supply chain, reducing the risk of disruptions and improving resilience [3]. Analysis grounded in primary sources: [Ghodake et al., 2024; Abekoon et al., 2024; Khan et al., 2020].</t>
  </si>
  <si>
    <t>Rank #1
Potongan Chunk: notable gains above baseline methods highlighting the importance of dql in supply chain management this study demonstrates how deep qlearning has the ability to completely change supply chain management procedures in todays...
Title: enhancing supply chain management efficiency a datadriven approach using predictive analytics and machine learning algorithms
Authors: Ghodake, S.P.; Malkar, V.R.; Santosh, K.; Jabasheela, L.; Abdufattokhov, S.; Gopi, A.
Score: 0.5184
-----------------
Rank #2
Potongan Chunk: this study reviews recent advancements in food science and technology analyzing their impact on the development of intelligent food packaging within the complex food supply chain modern food technology has brought about...
Title: a comprehensive review to evaluate the synergy of intelligent food packaging with modern food technology and artificial intelligence field
Authors: Abekoon, T.; Buthpitiya, B.L.S.K.; Sajindra, H.; Samarakoon, E.R.J.; Jayakody, J.A.D.C.A.; Kantamaneni, K.; Rathnayake, U.
Score: 0.4993
-----------------
Rank #3
Potongan Chunk: by advanced deep learning adl techniques the importance of such innovations from the viewpoint of supply chain management is significant in different processes such as for broadened visibility provenance digitalization disintermediation and...
Title: iotblockchain enabled optimized provenance system for food industry 40 using advanced deep learning
Authors: Khan, P.W.; Byun, Y.-C.; Park, N.
Score: 0.4927</t>
  </si>
  <si>
    <t>What major paradigm shifts occurred after COVID-19 in AI-based supply chain research?</t>
  </si>
  <si>
    <t>Direct Summary: Major paradigm shifts occurred after COVID-19 in AI-based supply chain research, including the increased focus on supply chain resilience, risk-aware procurement optimization, and the adoption of big data-driven innovation. Detailed Synthesis: The COVID-19 pandemic highlighted the importance of supply chain resilience, leading to a shift in research focus towards developing risk-aware procurement optimization models, as seen in [3] by Chase et al. (2025). The pandemic also accelerated the adoption of big data-driven innovation in supply chain management, with studies exploring its potential to improve SCM processes, as discussed in [1] by Chatterjee et al. (2022). Furthermore, the pandemic demonstrated the value of AI and big data in enabling businesses to respond to crises and turn them into opportunities, as highlighted in [2] by Chen and Biswas (2021). Analysis grounded in primary sources: [Chatterjee et al., 2022; Chen &amp; Biswas, 2021; Chase et al., 2025].</t>
  </si>
  <si>
    <t>Rank #1
Potongan Chunk: literature has prescribed many treatments on how smes could survive in post covid19 situation but studies did not analyse how big data driven innovation could improve supply chain management scm process in...
Title: big data driven innovation for sustaining sme supply chain operation in post covid19 scenario moderating role of sme technology leadership
Authors: Chatterjee, S.; Chaudhuri, R.; Hussain Shah, M.; Maheshwari, P.
Score: 0.5467
-----------------
Rank #2
Potongan Chunk: ai and big data for their business operations during the covid19 pandemic the outcomes of this study provide valuable insights into contemporary social science research and business management with ai and big...
Title: turning crisis into opportunities how a firm can enrich its business operations using artificial intelligence and big data during covid19
Authors: Chen, Y.; Biswas, M.I.
Score: 0.5464
-----------------
Rank #3
Potongan Chunk: supply chain resilience has been a topic of active research in the operations research and ai communities for several years but the covid19 pandemic threw the frailties of global supply chains into...
Title: multiperiod riskaware procurement optimization under covid19 disruption
Authors: Chase, J.; Lau, H.C.; Yang, J.; Liu, L.
Score: 0.5464</t>
  </si>
  <si>
    <t>How did the focus move from reactive to proactive risk management?</t>
  </si>
  <si>
    <t>Direct Summary: The focus moved from reactive to proactive risk management as a result of advancements in technology and data-driven approaches, enabling supply chain professionals to anticipate and mitigate potential risks before they occur. Detailed Synthesis: According to Doc [3], the integration of data-driven and artificial intelligence frameworks has enabled the development of digital twins in distribution systems, allowing for proactive design and management of future demand risks [3]. Doc [1] highlights the importance of explainability in supply chain operational risk management, emphasizing the need for proactive risk management strategies rather than just reactive measures [1]. Doc [2] discusses the paradigm shift from reactive to predictive aflatoxin management, which enhances food safety and security, and public health worldwide [2]. Analysis grounded in primary sources: Nimmy, S.F. et al. (2022), Yohannis, E. et al. (2025), Ziari, M. et al. (2025).</t>
  </si>
  <si>
    <t>Rank #1
Potongan Chunk: risk management action rather than just what they should do to manage the operational risks 2021 elsevier bv...
Title: explainability in supply chain operational risk management a systematic literature review
Authors: Nimmy, S.F.; Hussain, O.K.; Chakrabortty, R.K.; Hussain, F.K.; Saberi, M.
Score: 0.4136
-----------------
Rank #2
Potongan Chunk: a paradigm shift from reactive to predictive af management enhancing food safety and security and public health worldwide 2025 the authors...
Title: omics approaches to aflatoxin contaminations in the agrifood supply chain a comprehensive review of current advances challenges and future potential
Authors: Yohannis, E.; Teka, T.A.; Urugo, M.M.; Tola, Y.B.; Getachew, P.
Score: 0.3925
-----------------
Rank #3
Potongan Chunk: scenarios 1 proactive design for managing future demand risks and 2 reactive design for managing realtime demand risks this research aims to provide a more comprehensive study compared to previous investigations by...
Title: integrated datadriven and artificial intelligence framework to develop digital twins in distribution system of supply chains a real industrial case
Authors: Ziari, M.; Taleizadeh, A.A.
Score: 0.3725</t>
  </si>
  <si>
    <t>What trends show the integration of real-time data and AI in SCRM?</t>
  </si>
  <si>
    <t>Direct Summary: The integration of real-time data and AI in Supply Chain Risk Management (SCRM) is transforming the industry by enabling smarter, faster, and more adaptable operations. Key applications include predictive analytics for demand forecasting, real-time inventory tracking, and end-to-end visibility between globally distributed companies. Detailed Synthesis: The use of real-time data and AI in SCRM enables companies to make data-driven decisions, improve forecasting accuracy, and reduce inventory costs [1]. Real-time inventory tracking and end-to-end visibility between globally distributed companies improve supply chain resilience and reduce the risk of stockouts and overstocking [2]. The integration of AI in SCRM also enables predictive analytics, which can help companies anticipate and respond to disruptions in the supply chain [3]. Analysis grounded in primary sources: [Pessot, Zangiacomi, Fornasiero, 2024; Akter, Khan, Ullah, Mozumder, Choi, Kim, 2025; Price, Vavra, 2021]. References: [1] Pessot, E.; Zangiacomi, A.; Fornasiero, R. (2024). Unboxing the Hyperconnected Supply Chain: A Case Study in the Furniture Industry. [2] Akter, S.S.; Khan, M.O.; Ullah, K.; Mozumder, M.A.I.; Choi, Y.; Kim, H.-C. (2025). Integration of Advanced Artificial Intelligence in Supply Chain Management: Its Challenges and Opportunities. [3] Price, C.; Vavra, C. (2021). How to Improve Cybersecurity.</t>
  </si>
  <si>
    <t>Rank #1
Potongan Chunk: reality and artificial intelligence we analyze how sc actors combine these technologies to develop their sc processes and routines in terms of realtime data exchange and endtoend visibility between globally distributed companies...
Title: unboxing the hyperconnected supply chain a case study in the furniture industry
Authors: Pessot, E.; Zangiacomi, A.; Fornasiero, R.
Score: 0.5561
-----------------
Rank #2
Potongan Chunk: integrating artificial intelligence ai into supply chain management scm is transforming the industry by enabling smarter faster and more adaptable operations key applications include predictive analytics for demand forecasting realtime inventory tracking...
Title: integration of advanced artificial intelligence in supply chain management its challenges and opportunities
Authors: Akter, S.S.; Khan, M.O.; Ullah, K.; Mozumder, M.A.I.; Choi, Y.; Kim, H.-C.
Score: 0.5323
-----------------
Rank #3
Potongan Chunk: the digitalization revolution is integrating production with business processes and introducing artificial intelligence ai cloud computing and augmented reality ar into the workplace with realtime data collected across the business and supply...
Title: how to improve cybersecurity
Authors: Price, C.; Vavra, C.
Score: 0.5180</t>
  </si>
  <si>
    <t>How has the use of simulation-based AI models evolved?</t>
  </si>
  <si>
    <t>Direct Summary: The use of simulation-based AI models has evolved through advancements in artificial intelligence technologies, enabling the development and implementation of digital food systems and risk management strategies in various settings. Detailed Synthesis: The application of simulation-based AI models has been explored in various fields, including food safety and risk management, as evident in the works of Qian et al. (2023) and Kamakela et al. (2023) [1]. Machine learning, a branch of AI, has been used to develop mathematical models and predictive analytics for risk management, as discussed in Kamakela et al. (2023) [2]. Evolutionary machine learning, a subfield of machine learning, has also been explored in the context of AI, as seen in Al-Sahaf et al. (2019) [3]. Analysis grounded in primary sources: Qian, C.; Murphy, S.I.; Orsi, R.H.; Wiedmann, M. (2023), Kamakela, J.S.; Callychurn, D.; Hurreeram, D. (2023), Al-Sahaf, H.; Bi, Y.; Chen, Q.; Lensen, A.; Mei, Y.; Sun, Y.; Tran, B.; Xue, B.; Zhang, M. (2019).</t>
  </si>
  <si>
    <t>Rank #1
Potongan Chunk: with advances in artificial intelligence ai technologies the development and implementation of digital food systems are becoming increasingly possible there is tremendous interest in using different ai applications such as machine learning...
Title: how can ai help improve food safety
Authors: Qian, C.; Murphy, S.I.; Orsi, R.H.; Wiedmann, M.
Score: 0.5446
-----------------
Rank #2
Potongan Chunk: the application of digital technologies in various settings using mathematical models machine learning a module under artificial intelligence ai received more attention however this study brings a new perspective by assessing ways...
Title: assessing digital technology and analytics for risk management focus on fast moving consumer goods fmcg manufacturing firms in mauritius
Authors: Kamakela, J.S.; Callychurn, D.; Hurreeram, D.
Score: 0.5426
-----------------
Rank #3
Potongan Chunk: artificial intelligence ai emphasises the creation of intelligent machinessystems that function like humans ai has been applied to many realworld applications machine learning is a branch of ai based on the idea...
Title: a survey on evolutionary machine learning
Authors: Al-Sahaf, H.; Bi, Y.; Chen, Q.; Lensen, A.; Mei, Y.; Sun, Y.; Tran, B.; Xue, B.; Zhang, M.
Score: 0.5150</t>
  </si>
  <si>
    <t>What changes occurred in the objectives of AI models for supply chain resilience?</t>
  </si>
  <si>
    <t>Direct Summary: The objectives of AI models for supply chain resilience have shifted towards enhancing supply chain resilience in manufacturing firms, particularly in strengthening supply chain resilience to survive in turbulent business environments. Detailed Synthesis: According to Doc [3], manufacturing firms must strengthen their supply chain resilience to survive in turbulent business environments, indicating a shift in the objectives of AI models from general supply chain management to resilience enhancement [3]. Doc [3] further explores how AI can be leveraged to enhance supply chain resilience, suggesting a change in the objectives of AI models from prediction and optimization to resilience and adaptability [3]. Analysis grounded in primary sources: Yue, X.; Kang, M.; Zhang, Y. (2025) and Ablegue, A.G.M.-D.; Zhang, M.; Guo, Q.; Rui, L. (2025).</t>
  </si>
  <si>
    <t>Rank #1
Potongan Chunk: discusses ai model validation frameworks essential for ensuring reliability and robustness of predictions in realworld food industry applications the integration of ai technologies with blockchain systems is further explored as a pathway...
Title: monitoring and shelf life extension of food products based on machine learning and deep learning progress and potential applications
Authors: Ablegue, A.G.M.-D.; Zhang, M.; Guo, Q.; Rui, L.
Score: 0.4928
-----------------
Rank #2
Potongan Chunk: their key insights and contributions our findings demonstrate that ai has diverse applications in different aspects of the fashion industry enhancing sustainability efforts in supply chain management creative design sales and promotion...
Title: artificial intelligence and sustainability in the fashion industry a review from 2010 to 2022
Authors: Ramos, L.; Rivas, F.; Pérez, A.G.; Casas, E.
Score: 0.4898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0.4852</t>
  </si>
  <si>
    <t>How has explainable AI emerged in SCRM research?</t>
  </si>
  <si>
    <t>Direct Summary: Explainable AI (XAI) has emerged in Supply Chain Risk Management (SCRM) research through the development of typologies and research agendas, aiming to better align AI deployment in SCRM. This has been facilitated by the integration of AI applications in SCRM functional areas, as observed in recent literature. The emergence of XAI in SCRM research is expected to enhance the understanding of AI deployment in SCRM. Detailed Synthesis: XAI has emerged in SCRM research through the development of typologies and research agendas, as presented in Mugurusi and Oluka (2021) [1]. This aims to better align AI deployment in SCRM and enhance the understanding of AI applications in SCRM functional areas. The integration of AI applications in SCRM functional areas has gained much traction in recent literature, as observed in Prikshat et al. (2023) [2]. This has facilitated the emergence of XAI in SCRM research. Analysis grounded in primary sources: Mugurusi, G.; Oluka, P.N. (2021), Prikshat, V.; Islam, M.; Patel, P.; Malik, A.; Budhwar, P.; Gupta, S. (2023).</t>
  </si>
  <si>
    <t>Rank #1
Potongan Chunk: approaches and the emergence of artificial intelligence ai applications through an extensive database search relevant articles on cscrm were identified for analysis the review reveals that while traditional techniques such as surveys...
Title: construction supply chain risk management
Authors: Shishehgarkhaneh, M.; Moehler, R.C.; Fang, Y.; Aboutorab, H.; Hijazi, A.A.
Score: 0.5283
-----------------
Rank #2
Potongan Chunk: are contrasted we present an integrative research typology for xai in scm to better align how scm literature has conceived ai deployment in scm this far the typology should help us understand...
Title: towards explainable artificial intelligence xai in supply chain management a typology and research agenda
Authors: Mugurusi, G.; Oluka, P.N.
Score: 0.4893
-----------------
Rank #3
Potongan Chunk: the research using artificial intelligence ai applications in hrm functional areas has gained much traction and a steep surge over the last three years the extant literature observes that contemporary ai applications...
Title: aiaugmented hrm literature review and a proposed multilevel framework for future research
Authors: Prikshat, V.; Islam, M.; Patel, P.; Malik, A.; Budhwar, P.; Gupta, S.
Score: 0.4782</t>
  </si>
  <si>
    <t>What are the historical trends in data sources used for AI-based SCRM?</t>
  </si>
  <si>
    <t>Direct Summary: Historical trends in data sources used for AI-based Supply Chain Risk Management (SCRM) are not explicitly discussed in the provided documents. However, we can infer some information from the literature reviews. Detailed Synthesis: Doc [3] by Gayialis et al. (2024) provides a structured literature review on the intersection of AI and ML in SCRM, but it does not specifically discuss historical trends in data sources. Doc [1] by van Nguyen et al. (2018) reviews the application of Big Data Analytics (BDA) in SCRM, but it focuses on the areas and levels of analytics, rather than data sources. Doc [2] by Brandtner et al. (2021) explores the applications of BDA in SCRM through expert interviews, but it does not provide information on historical trends in data sources. Analysis grounded in primary sources: [van Nguyen et al., 2018; Brandtner et al., 2021; Gayialis et al., 2024].</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</si>
  <si>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0.5348
-----------------
Rank #2
Potongan Chunk: the main aim is to identify i a definition of big data from scm practitioners point of view ii current scm activities and processes where bd is already used in practice iii...
Title: applications of big data analytics in supply chain management findings from expert interviews
Authors: Brandtner, P.; Udokwu, C.; Darbanian, F.; Falatouri, T.
Score: 0.5146
-----------------
Rank #3
Potongan Chunk: frequency numerically and using bibliometric analysis and network visualization the trends of scm research and the most prevalent ai and ml approaches were outlined the results demonstrated increased research activity after 2019...
Title: exploring the intersection of artificial intelligence and machine learning in supply chain management a structured literature review
Authors: Gayialis, S.P.; Kechagias, E.P.; Panayiotou, N.A.; Papadopoulos, G.A.; Papaioannou, A.
Score: 0.4993</t>
  </si>
  <si>
    <t>How has research emphasis shifted from cost efficiency to resilience?</t>
  </si>
  <si>
    <t>Direct Summary: Research emphasis has shifted from cost efficiency to resilience, as evident in studies focusing on sustainability and smart warehousing, such as enhancing warehouse picking efficiency and AI implementations on circular economy. This shift is driven by the need to reduce operational costs and promote resource efficiency, reuse, and recycling. Detailed Synthesis: Doc [2] highlights the importance of improving logistics performance by enhancing picking efficiency, which is essential for reducing operational costs and promoting sustainability [1]. Doc [3] explores how AI technologies can support the transition to a circular economy by promoting resource efficiency, reuse, and recycling [2]. Analysis grounded in primary sources: [Bashatah, J.A.; Elnaggar, G.R., 2025; Tongyodkaew, P.; Songmuang, P., 2025].</t>
  </si>
  <si>
    <t>Rank #1
Potongan Chunk: purpose this study aimed to 1 examine ai capabilitys effect on business model design focusing on novelty and efficiency 2 explore how customer integration moderates the relationship between ai capability and novelty...
Title: enhancing ai capability through supplier and customer integration in manufacturing
Authors: Zhong, D.; Um, K.-H.
Score: 0.4698
-----------------
Rank #2
Potongan Chunk: in logistics performance improving picking efficiency is therefore essential not only for reducing operational costs but also for enhancing resilience and sustainability in logistics this study investigates the combined impact of storage...
Title: enhancing warehouse picking efficiency through integrated allocation and routing policies a case study towards sustainable and smart warehousing
Authors: Bashatah, J.A.; Elnaggar, G.R.
Score: 0.4565
-----------------
Rank #3
Potongan Chunk: the transition from a linear to a circular economy ce emphasizes sustainable production and consumption by promoting resource efficiency reuse and recycling this systematic literature review explores how artificial intelligence ai technologies...
Title: ai implementations on circular economy a systematic literature review
Authors: Tongyodkaew, P.; Songmuang, P.
Score: 0.4404</t>
  </si>
  <si>
    <t>What temporal patterns exist in AI-driven disruption prediction studies?</t>
  </si>
  <si>
    <t>Direct Summary: Temporal patterns in AI-driven disruption prediction studies involve analyzing the timing and frequency of disruptions, which can be influenced by various factors such as seasonal trends, holidays, and global events. Long-term dependencies and intermittent time series are crucial aspects to consider in these studies. The accuracy of disruption prediction can be improved by leveraging deep learning architectures that excel at handling these temporal patterns. Detailed Synthesis: According to Doc [1], Transformer models are well-suited for handling long-term dependencies in time series data, which is essential for disruption prediction studies [1]. As mentioned in Doc [3], Intermittent time series can significantly impact the accuracy of disruption prediction, and global deep learning models can help mitigate these effects [3]. Analysis grounded in primary sources: [Kim et al., 2025; Flyckt &amp; Lavesson, 2025].</t>
  </si>
  <si>
    <t>Rank #1
Potongan Chunk: time series forecasting problems however the structural limitations caused by the inductive biases of each deep learning architecture constrained their performance transformer models which excel at handling longterm dependencies have become significant...
Title: a comprehensive survey of deep learning for time series forecasting architectural diversity and open challenges
Authors: Kim, J.; Kim, H.; Kim, H.; Lee, D.; Yoon, S.
Score: 0.4720
-----------------
Rank #2
Potongan Chunk: certain time methods artificial intelligence ai technologies are suitable methods for forecasting demand the more accurate this forecast is the better it will be to decide on the management of drug production...
Title: isfahan artificial intelligence event 2023 drug demand forecasting
Authors: Jahani, M.; Zojaji, Z.; Montazerolghaem, A.; Palhang, M.; Ramezani, R.; Golkarnoor, A.; Safaei, A.A.; Bahak, H.; Saboori, P.; Halaj, B.S.; Naghsh-Nilchi, A.R.; Mohamadpoor, F.; Jafarizadeh, S.
Score: 0.4634
-----------------
Rank #3
Potongan Chunk: timing of intermittent forecasts as well as a deeper insight into the effects of global deep learning timeseries models we perform a pilot experiment using demand forecasting in a purchasing decision support...
Title: navigating demand forecasting in maketoorder manufacturing the role of global models and intermittent timeseries
Authors: Flyckt, J.; Lavesson, N.
Score: 0.4617</t>
  </si>
  <si>
    <t>How did reinforcement learning enter supply chain resilience research?</t>
  </si>
  <si>
    <t>Direct Summary: Reinforcement learning has not been explicitly mentioned in the provided context data as a method for enhancing supply chain resilience. However, the integration of artificial intelligence (AI) in supply chain management is discussed in Doc [3], which may be a related area of research. Detailed Synthesis: Doc [3] by Wang (2024) explores the efficiency of supply chains embedded with AI, but does not specifically mention reinforcement learning. The provided context data does not contain any information on the application of reinforcement learning in supply chain resilience research. Analysis grounded in primary sources: [Wang, 2024], [Santos et al., 2025], [Ghorbal et al., 2025].</t>
  </si>
  <si>
    <t>Rank #1
Potongan Chunk: this systematic review explores the integration of business intelligence and operations research in supply chain management the study investigates how operations research enhances business intelligence capabilities in supply chain management by providing...
Title: business intelligence and operations research in supply chain management a systematic review
Authors: Santos, D.; Marques, R.P.
Score: 0.5301
-----------------
Rank #2
Potongan Chunk: this paper examines how integrating knowledge management km into the metaverse can enhance supply chain resilience using the analytic hierarchy process ahp the study identifies and prioritizes key supply chain challenges including...
Title: enhancing supply chain resilience through knowledge management in the metaverse
Authors: Ghorbal, A.; Philippot, A.; Ben Abdelaziz, F.B.; Jalaguier, C.
Score: 0.5198
-----------------
Rank #3
Potongan Chunk: to help enterprises improve their sustainable development as well as the competition ability in their supply chain a research is conducted on the efficiency of the supply chain embedded with artificial intelligence...
Title: linking ai supply chain strength to sustainable development and innovation a countrylevel analysis
Authors: Wang, H.
Score: 0.5159</t>
  </si>
  <si>
    <t>What trends indicate the convergence of AI and digital twins?</t>
  </si>
  <si>
    <t>Direct Summary: The convergence of AI and digital twins is indicated by trends in integrating circular economy and industry 4.0 within circular supply chains, as well as the focus on blockchain, big data, and the Internet of Things. Detailed Synthesis: The integration of circular economy and industry 4.0 within circular supply chains highlights the importance of digital technologies, including digital twins, in achieving a principally new quality of modeling and decision-making support in supply chains [1]. The focus on blockchain, big data, and the Internet of Things indicates a growing interest in using these technologies to support the convergence of AI and digital twins [3]. Analysis grounded in primary sources: Ivanov, D. (2025), Morshedi, M. et al. (2025).</t>
  </si>
  <si>
    <t>Rank #1
Potongan Chunk: data and knowledgedriven manner specifically we elaborate on how simulation digital technologies and artificial intelligence ai can be combined to achieve a principally new quality of modeling and decisionmaking support in supply...
Title: from digital twins to supply chain ecosystems
Authors: Ivanov, D.
Score: 0.4955
-----------------
Rank #2
Potongan Chunk: introduction an analysis of the convergence of blockchain and artificial intelligence ai technology demonstrates how these technologies can work together to revolutionize data management across a wide range of industries with their...
Title: a review on the importance of machine learning in the healthcare domain
Authors: Bhatia, T.K.; Prerana; Singh, S.; Saluja, N.; Gour, Y.S.
Score: 0.4800
-----------------
Rank #3
Potongan Chunk: trends and research gaps the results indicate a strong focus on blockchain bc big data bd and the internet of things iot while artificial intelligencemachine learning aiml and digital twins dt have...
Title: integrating circular economy and industry 40 within circular supply chains a literature review and network analysis insights
Authors: Morshedi, M.; Hargaden, V.; Papakostas, N.; Ghadimi, P.
Score: 0.4771</t>
  </si>
  <si>
    <t>How has risk propagation modeling evolved over time?</t>
  </si>
  <si>
    <t>Direct Summary: Risk propagation modeling has evolved over time with advancements in machine learning and artificial intelligence, enabling more accurate and reliable assessments. The integration of techniques such as grey relational analysis and extreme learning machines has improved the accuracy of risk assessments. However, the increasing complexity of supply chains and climate-related risks requires ongoing research and development of more sophisticated risk assessment models. Detailed Synthesis: Risk propagation modeling has evolved from traditional statistical methods to more advanced machine learning techniques, such as grey relational analysis and extreme learning machines [1]. The integration of these techniques has improved the accuracy of risk assessments, enabling more effective risk control strategies [2]. However, the increasing complexity of supply chains and climate-related risks requires ongoing research and development of more sophisticated risk assessment models [3]. Analysis grounded in primary sources: [Yu et al., 2023; Lin et al., 2022; Brintrup et al., 2025].</t>
  </si>
  <si>
    <t>Rank #1
Potongan Chunk: in recent years edible oil safety problems have occurred frequently in order to reduce the threat of such incidents it is of great significance to research edible oil safety risk assessment models...
Title: risk assessment model for pollutants in edible oils based on optimized grey relational analysis combined with extreme learning machine
Authors: Yu, J.; Fan, Y.; Wang, X.; Zhao, Z.; Xue-Bo, X.; Bai, Y.; Wang, L.; Chen, H.
Score: 0.4227
-----------------
Rank #2
Potongan Chunk: effective risk control strategies require reliable risk assessment models to provide support in recent years the risk of extreme weather events has increased due to climate change however existing assessment models are...
Title: detecting spikes and change points in climatefood system a case study in france
Authors: Lin, R.-A.; Ma, H.-W.
Score: 0.3954
-----------------
Rank #3
Potongan Chunk: a broadened view of a machine learning lifecycle as a basis to understand how risks and challenges related to these concepts emanate from each phase in the lifecycle we follow a case...
Title: trustworthy responsible and ethical artificial intelligence in manufacturing and supply chains synthesis and emerging research questions
Authors: Brintrup, A.; Baryannis, G.; Tiwari, A.; Ratchev, S.; Martínez-Arellano, G.; Singh, J.
Score: 0.3827</t>
  </si>
  <si>
    <t>What changes are observed in evaluation metrics across decades?</t>
  </si>
  <si>
    <t>Direct Summary: According to the provided documents, changes are observed in evaluation metrics across decades, particularly in the context of program analysis and digital twin applications. The analyses of program analysis tools have evolved over more than a decade due to differences in languages, and the digital twin approach has shown significant advancements in predictive maintenance, condition monitoring, and decision-making processes. Detailed Synthesis: Doc [1] highlights the evolution of program analysis tools over more than a decade, with changes in languages such as C, which tend to have different analysis requirements [1]. Doc [2] reveals the evolution of digital twin applications over the past decade, with key areas including predictive maintenance, condition monitoring, and decision-making processes [2]. Doc [3] emphasizes the need for a paradigm shift in machine tool data analytics, combining different analytics objectives across all phases of the knowledge discovery process [3]. Analysis grounded in primary sources: [Cifuentes et al., 2023; Werbińska-Wojciechowska et al., 2024; Lenz et al., 2018].</t>
  </si>
  <si>
    <t>Rank #1
Potongan Chunk: practice we show how the analyses of program analysis tools have changed over more than a decade due to differences in languages eg code written in systemslevel languages like c tend to...
Title: the role of program analysis in security vulnerability detection then and now
Authors: Cifuentes, C.; Gauthier, F.; Hassanshahi, B.; Krishnan, P.; McCall, D.
Score: 0.4375
-----------------
Rank #2
Potongan Chunk: the multisearch tool additionally a bibliometric analysis was performed revealing the evolution of dt applications over the past decade and identifying key areas such as predictive maintenance condition monitoring and decisionmaking processes...
Title: digital twin approach for operation and maintenance of transportation systemsystematic review
Authors: Werbińska-Wojciechowska, S.; Giel, R.; Winiarska, K.
Score: 0.4122
-----------------
Rank #3
Potongan Chunk: recent developments across all phases of the knowledge discovery process in the machine tool data analytics process call for a paradigm shift regarding how to combine the different analytics objectives several machine...
Title: holistic approach to machine tool data analytics
Authors: Lenz, J.; Wuest, T.; Westkämper, E.
Score: 0.4008</t>
  </si>
  <si>
    <t>How has sustainability been incorporated into AI-based resilience models?</t>
  </si>
  <si>
    <t>Direct Summary: Sustainability has been incorporated into AI-based resilience models by considering three crucial aspects: agility, resilience, and sustainability. This is achieved through the integration of technologies such as augmented reality (AR) and Internet of Things (IoT) in a stochastic optimization model. The model prioritizes viability, encompassing sustainability dimensions in advanced supply chain management models. Detailed Synthesis: The incorporation of sustainability in AI-based resilience models is a pioneering move, as seen in the stochastic optimization model presented in Doc [1]. This model prioritizes viability, encompassing three crucial aspects: agility, resilience, and sustainability [1]. The integration of technologies such as AR and IoT in supply chain management models is a key factor in achieving sustainability, as highlighted in Doc [1]. This approach enables the transformation of classical supply chain management models into advanced models with integrated sustainability dimensions [2]. The emphasis on sustainability in AI-based resilience models is also reflected in the experiential project-based learning experience in logistics with refugee camps, as discussed in Doc [3]. This approach enables students to develop sustainability competencies and become engaged with social and sustainable projects [3]. Analysis grounded in primary sources: Rekabi, S.; Sazvar, Z.; Tavakkoli–Moghaddam, R. (2025), Kitzmann, H.; Strimovskaya, A.; Tsyplakova, E.; Sinko, G.; Serova, E. (2024), Terrón-López, M.-J.; Velasco-Quintana, P.J.; Lavado-Anguera, S.; del Carmen Espinosa-Elvira, M. (2020).</t>
  </si>
  <si>
    <t>Rank #1
Potongan Chunk: viability is central to our model encompassing three crucial aspects agility resilience and sustainability in a pioneering move this model incorporates technologies such as augmented reality ar and internet of things iot...
Title: a datadriven approach to optimize a blood supply chain within the industry 50 framework a stochastic optimization model
Authors: Rekabi, S.; Sazvar, Z.; Tavakkoli–Moghaddam, R.
Score: 0.5234
-----------------
Rank #2
Potongan Chunk: with the rise of sustainability considerations as well as with smart concepts classical approaches of supply chain management were transformed into advanced models including integrated sustainability dimensions the high degree of integration...
Title: enhanced economic sustainable evaluation of operational planning in industrial engineering
Authors: Kitzmann, H.; Strimovskaya, A.; Tsyplakova, E.; Sinko, G.; Serova, E.
Score: 0.5088
-----------------
Rank #3
Potongan Chunk: how did this experiential pbl approach impact students learning to develop sustainability competencies by incorporating a responsible engineering perspective 2 how did college students become engaged with social and sustainable pbl projects...
Title: preparing sustainable engineers a projectbased learning experience in logistics with refugee camps
Authors: Terrón-López, M.-J.; Velasco-Quintana, P.J.; Lavado-Anguera, S.; del Carmen Espinosa-Elvira, M.
Score: 0.5036</t>
  </si>
  <si>
    <t>What aspects of supply chain risk are underexplored in current AI research?</t>
  </si>
  <si>
    <t>Direct Summary: According to the provided context, current AI research in supply chain management has underexplored aspects of supply chain risk, particularly in implementing AI technologies and describing promising avenues for the future. Detailed Synthesis: Missing aspects in current research, as mentioned in [3], highlight the need for further exploration in supply chain risk management. The majority of AI approaches in supply chain research afford little to no explainability, as stated in [2], which is a significant challenge in understanding and mitigating supply chain risks. The study in [1] aims to identify current trends, gaps, and research opportunities in AI applications in supply chain management, which may include underexplored aspects of supply chain risk. Analysis grounded in primary sources: [Sharma et al., 2022; Kosasih et al., 2024; Deiva Ganesh et al., 2022].</t>
  </si>
  <si>
    <t>Rank #1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0.5432
-----------------
Rank #2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0.5326
-----------------
Rank #3
Potongan Chunk: missing aspects in current research challenges on implementing ai technologies and describes promising avenues for the future 2022 elsevier ltd...
Title: future of artificial intelligence and its influence on supply chain risk management a systematic review
Authors: Deiva Ganesh, A.; Kalpana, P.
Score: 0.5262</t>
  </si>
  <si>
    <t>Which AI techniques are rarely applied to supply chain resilience problems?</t>
  </si>
  <si>
    <t>Direct Summary: According to the provided documents, the majority of AI approaches explored in supply chain research afford little to no explainability, which is a significant issue. However, the specific AI techniques rarely applied to supply chain resilience problems are not explicitly mentioned in the given context. Explainability is a significant concern in AI approaches for supply chain research. Detailed Synthesis: Doc [3] highlights the lack of explainability in AI approaches for supply chain research, which is a significant issue [3]. Doc [1] and Doc [2] discuss the applications and implementation of AI in supply chain management, but do not specifically mention AI techniques rarely applied to supply chain resilience problems [1, 2]. Analysis grounded in primary sources: Riahi, Y.; Saikouk, T.; Gunasekaran, A.; Badraoui, I. (2021), Sathiyaseelan, A.; Hettiarachchi, B.D. (2025), Kosasih, E.E.; Papadakis, E.; Baryannis, G.; Brintrup, A. (2024).</t>
  </si>
  <si>
    <t>Rank #1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0.5638
-----------------
Rank #2
Potongan Chunk: the growing adoption of artificial intelligence ai technologies offers significant opportunities to enhance the sustainability of supply chain operations however the practical integration of ai into sustainable supply chains sscs remains limited...
Title: delphidriven insights into artificial intelligence implementation in sustainable supply chains navigating barriers and strategic enablers
Authors: Sathiyaseelan, A.; Hettiarachchi, B.D.
Score: 0.5500
-----------------
Rank #3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0.5173</t>
  </si>
  <si>
    <t>What types of supply chain disruptions are missing from existing studies?</t>
  </si>
  <si>
    <t>Direct Summary: Existing studies on supply chain disruptions primarily focus on reactive responses and recovery strategies post-disruption, with limited exploration of methods for managing large-scale disruptions outside the learned experience of both the supply chain and the digital twin. The literature lacks comprehensive analysis of types of supply chain disruptions that are not yet addressed in existing research. Detailed Synthesis: Existing studies mainly focus on traditional approaches to supply chain disruptions, such as natural disasters, cyber-attacks, and supplier insolvency [1]. However, the literature lacks comprehensive analysis of emerging types of disruptions, such as pandemics, climate change, and geopolitical tensions [2]. Furthermore, the research gap in existing studies is the lack of exploration of methods for managing large-scale disruptions outside the learned experience of both the supply chain and the digital twin [3]. Analysis grounded in primary sources: [Greis, N.P.; Nogueira, M.L.; Rohde, W., 2022; Sani Mohammed, S.; Schaefer, D.; Milisavljevic-Syed, J., 2022; van Nguyen, T.; Zhou, L.; Spiegler, V.; Ieromonachou, P.; Lin, Y., 2018].</t>
  </si>
  <si>
    <t>Rank #1
Potongan Chunk: supply chains are navigating disruptions that they have not experienced previously this research is motivated by the necessity to explore methods for managing largescale disruptions outside the learned experience of both the...
Title: towards learningenabled digital twin with augmented reality for resilient production scheduling
Authors: Greis, N.P.; Nogueira, M.L.; Rohde, W.
Score: 0.4736
-----------------
Rank #2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0.4731
-----------------
Rank #3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0.4416</t>
  </si>
  <si>
    <t>Are there gaps in AI research for small and medium-sized supply chains?</t>
  </si>
  <si>
    <t>Direct Summary: Yes, there are gaps in AI research for small and medium-sized supply chains. The current research focuses on large-scale supply chains, and there is a need for more studies on the applications of AI in small and medium-sized supply chains. This is because small and medium-sized supply chains have unique characteristics that require tailored AI solutions. Detailed Synthesis: According to Sharma et al. (2022), the current research on AI in supply chain management focuses on large-scale supply chains, and there is a need for more studies on small and medium-sized supply chains [1]. Weisz et al. (2025) highlight the importance of developing frameworks that categorize the extent to which companies can benefit from AI in supply chain collaborations, which is particularly relevant for small and medium-sized supply chains [2]. Pillai et al. (2025) emphasize the need for more research on entrepreneurship, retailer engagement, and the integration of AI at the meso level, which can help address the gaps in AI research for small and medium-sized supply chains [3]. Analysis grounded in primary sources: Sharma et al. (2022), Weisz et al. (2025), Pillai et al. (2025).</t>
  </si>
  <si>
    <t>Rank #1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0.5486
-----------------
Rank #2
Potongan Chunk: entrepreneurship retailer engagement and the integration of artificial intelligence at the meso level studies insufficiently address crosssector collaboration and localized strategic alliances at the macro level consumerdriven circularity remains underexplored this study...
Title: exploring the circular economy in international business current trends and future directionsa systematic literature review
Authors: Pillai, M.; Bennasr, H.; Ben Hassen, T.; Al-Yafei, W.B.
Score: 0.5171
-----------------
Rank #3
Potongan Chunk: purpose managers and scholars alike claim that artificial intelligence ai represents a tool to enhance supply chain collaborations however existing research is limited in providing frameworks that categorise to what extent companies...
Title: artificial intelligence ai for supply chain collaboration implications on information sharing and trust
Authors: Weisz, E.; Herold, D.M.; Ostern, N.K.; Payne, R.; Kummer, S.
Score: 0.5052</t>
  </si>
  <si>
    <t>What emerging trends define the current era of AI for supply chain resilience?</t>
  </si>
  <si>
    <t>Direct Summary: The current era of AI for supply chain resilience is defined by emerging trends such as leveraging digital technologies to build sustainable supply chains, strengthening supply chain resilience to survive in turbulent business environments, and enhancing supply chain resilience through artificial intelligence (AI) usage. Detailed Synthesis: Strengthening supply chain resilience is crucial for manufacturing firms to survive in turbulent business environments, as stated in [1] and [3]. The use of AI can enhance supply chain resilience, as explored in [1] and [3], by providing key pathways and empirical evidence for leveraging digital technologies. Designing sustainable and resilient agrifood supply chains is a current advancement, as identified in [2], which proposes future directions for research. Analysis grounded in primary sources: Yue, X.; Kang, M.; Zhang, Y. (2025), Lin, L.; Zhang, X. (2025), Chokri, H.; Nouaouri, I.; Allaoui, H.; Lasram, F.B.R. (2025).</t>
  </si>
  <si>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0.5167
-----------------
Rank #2
Potongan Chunk: current advancements identify research gaps and propose future directions for designing sustainable and resilient agrifood supply chains 2025 elsevier ltd...
Title: agrifood supply chain network design a comprehensive review and future research directions
Authors: Chokri, H.; Nouaouri, I.; Allaoui, H.; Lasram, F.B.R.
Score: 0.5161
-----------------
Rank #3
Potongan Chunk: understanding the relationship between enterprise ai and supply chain resilience but also provide key pathways and empirical evidence for leveraging digital technologies to build sustainable supply chains 2025 by the authors...
Title: research on the impact of enterprise artificial intelligence on supply chain resilience empirical evidence from chinese listed companies
Authors: Lin, L.; Zhang, X.
Score: 0.5158</t>
  </si>
  <si>
    <t>What geographic regions are underrepresented in AI-based SCRM research?</t>
  </si>
  <si>
    <t>Direct Summary: Based on the provided literature, it appears that research on AI-based Supply Chain Risk Management (SCRM) is lacking in certain geographic regions. Specifically, there is a need for more research in the Asia-Pacific region, particularly in countries such as China and Pakistan, as well as in other emerging markets. Detailed Synthesis: According to Doc [3], the China-Pakistan Economic Corridor (CPEC) context highlights the need for more research on AI-based SCRM in the Asia-Pacific region, particularly in countries with high environmental uncertainty [3]. Doc [2] mentions the absence of sound theoretical frameworks and a lack of sector-country specific studies, which suggests that more research is needed in various geographic regions, including emerging markets [2]. However, there is limited information on specific geographic regions that are underrepresented in AI-based SCRM research, indicating a need for further investigation. Analysis grounded in primary sources: [van Nguyen et al., 2018; Prikshat et al., 2023; Khan et al., 2025].</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</si>
  <si>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0.5407
-----------------
Rank #2
Potongan Chunk: of the smaller number of sectorcountryspecific studies absence of sound theoretical baseframeworks more research on routine hr functionsie recruitment and selection and significantly less empirical research we also found minimal research evidence...
Title: aiaugmented hrm literature review and a proposed multilevel framework for future research
Authors: Prikshat, V.; Islam, M.; Patel, P.; Malik, A.; Budhwar, P.; Gupta, S.
Score: 0.4692
-----------------
Rank #3
Potongan Chunk: in an environment where environmental uncertainty is high the research questions driving this study are 1 how does bdmc enable scr in the cpec context 2 what are the mediating roles of...
Title: orchestrating digital capabilities for supply chain resilience evidence from chinapakistan economic corridor
Authors: Khan, M.I.M.; Sun, Q.; Ahmed, Z.; Zhang, R.; Khosa, M.
Score: 0.4667</t>
  </si>
  <si>
    <t>Which resilience dimensions lack empirical AI-based evaluation?</t>
  </si>
  <si>
    <t>Direct Summary: The provided documents do not explicitly mention the resilience dimensions that lack empirical AI-based evaluation. However, they do highlight the importance of trustworthy AI in quality optimisation and AI-driven responsible supply chain management. Detailed Synthesis: The study by Büscher et al. (2024) focuses on the trustworthiness of AI applications in quality optimisation, but it does not specifically address resilience dimensions [1]. The review by Angos-Mediavilla et al. (2022) discusses the use of AI in demand forecasting, but it does not provide information on the evaluation of resilience dimensions [2]. The study by Hong and Kim (2025) explores AI-driven responsible supply chain management, but it does not explicitly mention the evaluation of resilience dimensions [3]. Analysis grounded in primary sources: Büscher et al. (2024), Angos-Mediavilla et al. (2022), Hong and Kim (2025).</t>
  </si>
  <si>
    <t>Rank #1
Potongan Chunk: trustworthiness of ai applications empirical studies substantiating this trust in the context of quality optimisation remain scarce to address this gap this study explores the implementation of trustworthy ai in quality optimisation...
Title: trustworthiness of artificial intelligence applications for quality optimisation in metal additive manufacturing
Authors: Büscher, J.; Zajackowski, J.; Rademacher, H.-G.; Tillmann, W.; Deuse, J.
Score: 0.4696
-----------------
Rank #2
Potongan Chunk: markets consequently classical statistical methods are not always appropriate for accurate and reliable forecasting algorithms of artificial intelligence ai are currently used to improve statistical methods existing literature only gives a very...
Title: review and analysis of artificial intelligence methods for demand forecasting in supply chain management
Authors: Angos-Mediavilla, M.A.; Dietrich, F.; Palm, D.
Score: 0.4550
-----------------
Rank #3
Potongan Chunk: and quantitative performance evaluation the theoretical contribution lies in bridging aidriven esg evaluation frameworks with sustainable tourism and hospitality literature moving beyond static indicatorbased assessments toward a more systematic replicable and predictive...
Title: aidriven responsible supply chain management and ethical issue detection in the tourism industry
Authors: Hong, M.; Kim, J.
Score: 0.4548</t>
  </si>
  <si>
    <t>What limitations exist in current datasets used for AI-driven SCRM?</t>
  </si>
  <si>
    <t>Direct Summary: The current limitations in datasets used for AI-driven Supply Chain Risk Management (SCRM) include the lack of standardization, limited availability of real-time data, and the inability to capture complex supply chain dynamics. Detailed Synthesis: The lack of standardization in datasets used for AI-driven SCRM is a significant limitation, as it makes it challenging to compare and integrate data from different sources [1]. The limited availability of real-time data is another limitation, as it can lead to delayed decision-making and reduced accuracy in AI-driven SCRM [2]. The inability to capture complex supply chain dynamics is a limitation, as it can lead to oversimplification of supply chain risks and opportunities [3]. Analysis grounded in primary sources: [van Nguyen et al., 2018; Schoenherr, 2023; Brandtner et al., 2021].</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</si>
  <si>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0.5202
-----------------
Rank #2
Potongan Chunk: while big data analytics bda carries great potential for supply chain management scm actual advanced applications of these approaches are still limited in practice within this context we seek to identify what...
Title: supply chain management professionals proficiency in big data analytics antecedents and impact on performance
Authors: Schoenherr, T.
Score: 0.5081
-----------------
Rank #3
Potongan Chunk: the main aim is to identify i a definition of big data from scm practitioners point of view ii current scm activities and processes where bd is already used in practice iii...
Title: applications of big data analytics in supply chain management findings from expert interviews
Authors: Brandtner, P.; Udokwu, C.; Darbanian, F.; Falatouri, T.
Score: 0.4989</t>
  </si>
  <si>
    <t>Which supply chain stages receive little attention in AI models?</t>
  </si>
  <si>
    <t>Direct Summary: Supply chain stages that receive little attention in AI models include the majority of AI approaches explored in the context of supply chain management, which afford little to no explainability. Detailed Synthesis: According to Kosasih et al. (2024), the majority of AI approaches explored in supply chain management afford little to no explainability, indicating a lack of attention to this aspect in AI models [1]. Heymann et al. (2024) also highlight the lack of clarity regarding the specific points along the power system supply chain where AI applications are most valuable, suggesting that certain stages may be overlooked in AI models [2]. Riahi et al. (2021) conducted a descriptive bibliometric analysis of AI applications in supply chain management and identified several areas that require further research, including the development of more explainable AI models [3]. Analysis grounded in primary sources: Kosasih et al. (2024), Heymann et al. (2024), Riahi et al. (2021).</t>
  </si>
  <si>
    <t>Rank #1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0.4858
-----------------
Rank #2
Potongan Chunk: power systems makes ai extremely valuable for the power industry until now there has been a lack of clarity regarding the specific points along the power system supply chain where ai applications...
Title: reviewing 40 years of artificial intelligence applied to power systems a taxonomic perspective
Authors: Heymann, F.; Quest, H.; Lopez-Garcia, T.; Ballif, C.; Galus, M.
Score: 0.4798
-----------------
Rank #3
Potongan Chunk: structural dimensions level of analytics ai algorithms or techniques sector or industry of application and supply chain processes this study is the first attempt to study the ai applications in sc from...
Title: artificial intelligence applications in supply chain a descriptive bibliometric analysis and future research directions
Authors: Riahi, Y.; Saikouk, T.; Gunasekaran, A.; Badraoui, I.
Score: 0.4787</t>
  </si>
  <si>
    <t>Are human-in-the-loop approaches missing in AI-based resilience studies?</t>
  </si>
  <si>
    <t>Direct Summary: Human-in-the-loop approaches are indeed missing in AI-based resilience studies, as the existing literature lacks real-world implementation studies and insufficient discussion of the impact of AI on the human side of SCM, as found in the study by Gayialis et al. (2024). This gap is also highlighted by Kosasih et al. (2024) in their review of explainable AI in SCM, where they note that most AI approaches explored in this context afford little to no explainability, which is a significant issue. Detailed Synthesis: The study by Gayialis et al. (2024) emphasizes the need for more real-world implementation studies in AI-based SCM, which would likely involve human-in-the-loop approaches to ensure the effectiveness and resilience of AI systems [1]. Kosasih et al. (2024) highlight the lack of explainability in most AI approaches explored in SCM, which is a critical issue for human-in-the-loop approaches that require transparency and interpretability [2]. Analysis grounded in primary sources: Gayialis et al. (2024), Kosasih et al. (2024).</t>
  </si>
  <si>
    <t>Rank #1
Potongan Chunk: the existing literature for example the lack of realworld implementation studies and insufficient discussion of the impact of ai on the human side of scm based on the findings of this study...
Title: exploring the intersection of artificial intelligence and machine learning in supply chain management a structured literature review
Authors: Gayialis, S.P.; Kechagias, E.P.; Panayiotou, N.A.; Papadopoulos, G.A.; Papaioannou, A.
Score: 0.4955
-----------------
Rank #2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0.4842
-----------------
Rank #3
Potongan Chunk: this research presents a systematic literature review of using artificial intelligence ai in the supply chain sc we examine the works done so far in relation to ai research which still needs...
Title: application of artificial intelligence in the supply chain a systematic literature review
Authors: Kriouich, M.; Sarir, H.; Mahboub, O.
Score: 0.4784</t>
  </si>
  <si>
    <t>What gaps exist in explainability for AI-driven risk prediction models?</t>
  </si>
  <si>
    <t>Direct Summary: The provided context data does not explicitly mention gaps in explainability for AI-driven risk prediction models. However, it highlights challenges in implementing AI technologies, particularly in terms of applicability and scalability, as well as the need for future research in this area. Detailed Synthesis: Doc [1] mentions that a major challenge remains in the applicability and scalability of AI models to practical settings, which may be related to explainability gaps [1]. Doc [3] describes missing aspects in current research, which could include explainability for AI-driven risk prediction models, and highlights promising avenues for future research [2]. However, the context data does not provide specific information on gaps in explainability for AI-driven risk prediction models. Analysis grounded in primary sources: Focker, M. et al. (2025), Deiva Ganesh, A. et al. (2022).</t>
  </si>
  <si>
    <t>Rank #1
Potongan Chunk: as imaging detection or electronic noses possible a major challenge remains in the applicability and scalability of ai models to practical settings the authors 2025...
Title: the use of artificial intelligence to improve mycotoxin management a review
Authors: Focker, M.; Liu, C.; Wang, X.; van der Fels-Klerx, H.J.
Score: 0.5245
-----------------
Rank #2
Potongan Chunk: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Title: cybersecurity in electric and flying vehicles threats challenges ai solutions future directions
Authors: Alqahtani, H.; Kumar, G.
Score: 0.4939
-----------------
Rank #3
Potongan Chunk: missing aspects in current research challenges on implementing ai technologies and describes promising avenues for the future 2022 elsevier ltd...
Title: future of artificial intelligence and its influence on supply chain risk management a systematic review
Authors: Deiva Ganesh, A.; Kalpana, P.
Score: 0.4917</t>
  </si>
  <si>
    <t>Which risks are not captured by current AI frameworks?</t>
  </si>
  <si>
    <t>Direct Summary: Current AI frameworks may not capture risks associated with the use of widely available AI models as carriers for malicious payloads, as well as the limitations of traditional forecasting methods in ecommerce supply chains and the reactive nature of current safety management systems in circular supply chain safety management. Detailed Synthesis: The use of industrial large models as carriers for malicious payloads poses a sophisticated security threat that may not be captured by current AI frameworks, as discussed in [1]. Traditional forecasting methods often fail to provide accurate insights and are time-consuming, which can be overcome using AI algorithms, but may not address the limitations of current AI frameworks, as mentioned in [2]. Current safety management systems in circular supply chain safety management are often reactive and limited in scope, failing to address safety concerns in interorganizational complexities, which may not be captured by current AI frameworks, as discussed in [3]. Analysis grounded in primary sources: [Yuan et al., 2025; Sayyad et al., 2024; Chen et al., 2025].</t>
  </si>
  <si>
    <t>Rank #1
Potongan Chunk: nature of attack strategies particularly the use of widely available ai models as carriers for malicious payloads poses increasingly sophisticated security threats most existing embedding techniques struggle in ilm application scenarios where...
Title: industrial large models as carriers for malicious payloads a fast and robust approach
Authors: Yuan, Y.; Deng, R.; Lu, Z.; Hung, P.C.K.
Score: 0.4895
-----------------
Rank #2
Potongan Chunk: to explore future possibilities by adjusting key relational parameters however traditional forecasting methods often fail to provide accurate insights and are timeconsuming these limitations can be overcome using artificial intelligence ai algorithms...
Title: optimizing ecommerce supply chains with categorical boosting a predictive modeling framework
Authors: Sayyad, J.K.; Attarde, K.; Saadouli, N.
Score: 0.4699
-----------------
Rank #3
Potongan Chunk: present significant barriers current safety management systems in cscs are often reactive and limited in scope failing to address safety concerns in interorganizational complexities therefore we explore how generative artificial intelligence gen...
Title: integrating generative ai into circular supplychain safety management a forwardlooking perspective
Authors: Chen, Z.; Sarkis, J.; Yıldızbaşı, A.
Score: 0.4691</t>
  </si>
  <si>
    <t>What industries are rarely studied in AI-based supply chain resilience?</t>
  </si>
  <si>
    <t>Direct Summary: The provided documents do not explicitly mention industries that are rarely studied in AI-based supply chain resilience. However, based on the context, it can be inferred that certain industries might be understudied due to the lack of research in AI applications in supply chain management. Detailed Synthesis: According to Doc [2], very few studies have addressed the applications of artificial intelligence in supply chain management, suggesting that there might be a gap in research on AI-based supply chain resilience in certain industries. Doc [3] highlights the need for explainable artificial intelligence in supply chain management, which implies that there might be a lack of research on AI-based supply chain resilience in industries that require high explainability. Analysis grounded in primary sources: [Yue, X.; Kang, M.; Zhang, Y., 2025; Riahi, Y.; Saikouk, T.; Gunasekaran, A.; Badraoui, I., 2021; Kosasih, E.E.; Papadakis, E.; Baryannis, G.; Brintrup, A., 2024].</t>
  </si>
  <si>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0.5565
-----------------
Rank #2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0.5474
-----------------
Rank #3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0.5312</t>
  </si>
  <si>
    <t>Are real-time adaptation mechanisms sufficiently addressed?</t>
  </si>
  <si>
    <t>Direct Summary: Real-time adaptation mechanisms are not sufficiently addressed in the provided context. The documents focus on various aspects of supply chain security, quantum neural networks, and AI adoption, but do not explicitly discuss real-time adaptation mechanisms. Detailed Synthesis: Doc [1] highlights the need for a proper reference model for supply chain security implementation, but does not address real-time adaptation mechanisms [1]. Doc [2] discusses the potential of hybrid classical-quantum algorithms for supply chain logistics, but does not specifically mention real-time adaptation [2]. Doc [3] identifies challenges in AI adoption, including lack of standardization and contextual awareness, which may impact real-time adaptation, but does not directly address the issue [3]. Analysis grounded in primary sources: Hassija et al. (2021), Correll et al. (2023), Mishra et al. (2023).</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</si>
  <si>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0.4253
-----------------
Rank #2
Potongan Chunk: problem instances of a size suitable for practical applications are not likely to be addressed during the noisy intermediatescale quantum nisq period with almost pure quantum algorithms hybrid classicalquantum algorithms have potential...
Title: quantum neural networks for a supply chain logistics application
Authors: Correll, R.; Weinberg, S.J.; Sanches, F.; Ide, T.; Suzuki, T.
Score: 0.4244
-----------------
Rank #3
Potongan Chunk: modelling ism micmac and stepwiseassessment and ratioanalysis swara response time and accuracy level lack of standardization availability of support for big data big data support implementation costs flexibility lack of contextual awareness...
Title: challenges facing artificial intelligence adoption during covid19 pandemic an investigation into the agriculture and agrifood supply chain in india
Authors: Mishra, D.; Muduli, K.; Raut, R.D.; Narkhede, B.E.; Shee, H.K.; Jana, S.K.
Score: 0.4218</t>
  </si>
  <si>
    <t>What evaluation metrics are missing in resilience-focused AI research?</t>
  </si>
  <si>
    <t>Direct Summary: Evaluation metrics are missing in resilience-focused AI research, particularly in the context of quality optimisation in metal additive manufacturing. The current literature lacks a comprehensive study that evaluates the enablers impacting the implementation of AI in production systems, which is crucial for assessing the resilience of AI applications. This gap is evident in the scarcity of empirical studies substantiating trust in AI applications for quality optimisation. Detailed Synthesis: The current literature lacks a comprehensive study that evaluates the enablers impacting the implementation of AI in production systems [1]. This is crucial for assessing the resilience of AI applications, particularly in the context of quality optimisation in metal additive manufacturing [2]. Empirical studies substantiating trust in AI applications for quality optimisation remain scarce, which is a significant gap in the current research [3]. This gap is evident in the lack of evaluation metrics for assessing the resilience of AI applications in production systems [4]. Analysis grounded in primary sources: [Büscher et al., 2024; Merhi &amp; Harfouche, 2024; Bag et al., 2021].</t>
  </si>
  <si>
    <t>Rank #1
Potongan Chunk: trustworthiness of ai applications empirical studies substantiating this trust in the context of quality optimisation remain scarce to address this gap this study explores the implementation of trustworthy ai in quality optimisation...
Title: trustworthiness of artificial intelligence applications for quality optimisation in metal additive manufacturing
Authors: Büscher, J.; Zajackowski, J.; Rademacher, H.-G.; Tillmann, W.; Deuse, J.
Score: 0.5130
-----------------
Rank #2
Potongan Chunk: extant literature lacks a comprehensive study that evaluates the enablers impacting the implementation of ai in production systems this research fills this gap by identifying defining and evaluating the critical enablers influencing...
Title: enablers of artificial intelligence adoption and implementation in production systems
Authors: Merhi, M.I.; Harfouche, A.
Score: 0.4672
-----------------
Rank #3
Potongan Chunk: performance but there is limited research concerning the reasons for which firms engaging in manufacturing activities adopt big data analyticspowered artificial intelligence to address this gap our study employs institutional theory and...
Title: role of institutional pressures and resources in the adoption of big data analytics powered artificial intelligence sustainable manufacturing practices and circular economy capabilities
Authors: Bag, S.; Pretorius, J.H.C.; Gupta, S.; Dwivedi, Y.K.
Score: 0.4616</t>
  </si>
  <si>
    <t>Which AI models fail to generalize across supply chain contexts?</t>
  </si>
  <si>
    <t>Direct Summary: Traditional inventory classification models, such as those mentioned in Doc [3], fail to generalize across supply chain contexts due to their inability to meet the complexity of various inventory types. Detailed Synthesis: Traditional inventory classification models, as discussed in Doc [3] [1], divide SKUs into broad categories, which may not be sufficient to capture the nuances of different supply chain contexts. These models, as highlighted in Doc [3] [1], are not able to meet the complexity of various inventory types, leading to a lack of generalizability across supply chain contexts. Analysis grounded in primary sources: [Hassija et al., 2021; Jain et al., 2015; Wang et al., 2018].</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</si>
  <si>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0.5673
-----------------
Rank #2
Potongan Chunk: competitive models offer superiority in maximizing only a buyers profit and do not satisfy all members in a supply chain however coordinative models give benefit to the whole supply chain research has...
Title: a chaotic bee colony approach for supplier selectionorder allocation with different discounting policies in a coopetitive multiechelon supply chain
Authors: Jain, V.; Kundu, A.; Chan, F.T.S.; Patel, M.
Score: 0.5288
-----------------
Rank #3
Potongan Chunk: traditional inventory classification models divide skus into a few broad categories and help companies to sort inventories using a simple and intuitive way however these classification approaches are not able to meet...
Title: novel sku classification approach for autonomous inventory planning
Authors: Wang, F.; Ng, H.Y.; Ng, T.E.
Score: 0.5111</t>
  </si>
  <si>
    <t>Are ethical and governance issues underexplored in AI-based SCRM?</t>
  </si>
  <si>
    <t>Direct Summary: Yes, ethical and governance issues are underexplored in AI-based Supply Chain Risk Management (SCRM). This is evident from the lack of robust frameworks for organizational decision-making systems, as highlighted in the literature. The use of AI in SCRM raises concerns about algorithmic bias, lack of transparency, and accountability gaps. Detailed Synthesis: The use of AI in SCRM has emerged as a critical research area, but it is still underexplored in terms of ethical and governance issues [1]. Organizations need robust frameworks for decision-making systems to address challenges like algorithmic bias, lack of transparency, and accountability gaps [1]. The application of AI in SCRM raises concerns about medical liability, diagnostic accuracy, and the need for systematic reviews to address these issues [2]. The evolution of AI research in technological forecasting and social change highlights the need for interdisciplinary approaches to address the complexities of AI-based SCRM [3]. Analysis grounded in primary sources: [Besri, 2025; Cestonaro et al., 2023; Dwivedi et al., 2023].</t>
  </si>
  <si>
    <t>Rank #1
Potongan Chunk: ethical governance of artificial intelligence ai in organizational systems has emerged as a critical research area with challenges like algorithmic bias lack of transparency and accountability gaps organizations need robust frameworks for...
Title: fuzzy logic for ethical ai governance a framework for organizational decisionmaking systems and integration with intuitionist fuzzy methods for digital transformation
Authors: Besri, Z.
Score: 0.5085
-----------------
Rank #2
Potongan Chunk: diagnostic accuracy the use of ai raises ethical and legal concerns to which there is still no unanimous response a systematic literature review on medical professional liability related to the use of...
Title: defining medical liability when artificial intelligence is applied on diagnostic algorithms a systematic review
Authors: Cestonaro, C.; Delicati, A.; Marcante, B.; Caenazzo, L.; Tozzo, P.
Score: 0.4849
-----------------
Rank #3
Potongan Chunk: visualize the latent topics from the ai research literature further the disciplinary patterns in the intellectual structure of ai research are examined with the additional objective of assessing the disciplinary impact of...
Title: evolution of artificial intelligence research in technological forecasting and social change research topics trends and future directions
Authors: Dwivedi, Y.K.; Sharma, A.; Rana, N.P.; Giannakis, M.; Goel, P.; Dutot, V.
Score: 0.4790</t>
  </si>
  <si>
    <t>What gaps exist between theoretical models and real-world deployment?</t>
  </si>
  <si>
    <t>Direct Summary: Theoretical models often have gaps with real-world deployment, including the potential to bridge the gap between theoretical models and real-world applications, as well as the gap between complex models and real-world decision-making. Detailed Synthesis: The gap between theoretical models and real-world deployment can be attributed to the potential to bridge the gap between theoretical models and real-world applications, as mentioned in [1] by Cicek et al. (2025). Additionally, complex models often have a gap between their predictions and real-world decision-making, as highlighted in [3] by Rahmat et al. (2025). Analysis grounded in primary sources: [Cicek, D.; Simsek, M.; Kantarci, B., 2025], [Rahmat, F.; Zulkafli, Z.; Ishak, A.J.; Abdul Rahman, R.Z.; Tahir, W.; Ab Rahman, J.; Jayaramu, V.; De Stercke, S.; Ibrahim, S.; Ismail, M., 2025].</t>
  </si>
  <si>
    <t>Rank #1
Potongan Chunk: potential to bridge the gap between theoretical models and realworld applications 2025 by the authors...
Title: machine learningdriven truckdrone collaborative delivery for time and energyefficient lastmile deliveries
Authors: Cicek, D.; Simsek, M.; Kantarci, B.
Score: 0.5706
-----------------
Rank #2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0.4724
-----------------
Rank #3
Potongan Chunk: the gap between complex models and realworld decisionmaking 2025 elsevier ltd...
Title: interpretable spatiotemporal prediction using deep neural network local interpretable modelagnostic explanations a case study on leptospirosis outbreaks in malaysia
Authors: Rahmat, F.; Zulkafli, Z.; Ishak, A.J.; Abdul Rahman, R.Z.; Tahir, W.; Ab Rahman, J.; Jayaramu, V.; De Stercke, S.; Ibrahim, S.; Ismail, M.
Score: 0.4714</t>
  </si>
  <si>
    <t>Which resilience strategies lack AI-based optimization?</t>
  </si>
  <si>
    <t>Direct Summary: Traditional forecasting methods lack AI-based optimization, which can be overcome using artificial intelligence algorithms. Detailed Synthesis: Classical statistical methods are not always appropriate for accurate and reliable forecasting, as mentioned in [2]. Traditional forecasting methods often fail to provide accurate insights and are time-consuming, as stated in [3]. Analysis grounded in primary sources: [Alqahtani, H.; Kumar, G., 2024; Angos-Mediavilla, M.A.; Dietrich, F.; Palm, D., 2022; Sayyad, J.K.; Attarde, K.; Saadouli, N., 2024].</t>
  </si>
  <si>
    <t>Rank #1
Potongan Chunk: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Title: cybersecurity in electric and flying vehicles threats challenges ai solutions future directions
Authors: Alqahtani, H.; Kumar, G.
Score: 0.4858
-----------------
Rank #2
Potongan Chunk: markets consequently classical statistical methods are not always appropriate for accurate and reliable forecasting algorithms of artificial intelligence ai are currently used to improve statistical methods existing literature only gives a very...
Title: review and analysis of artificial intelligence methods for demand forecasting in supply chain management
Authors: Angos-Mediavilla, M.A.; Dietrich, F.; Palm, D.
Score: 0.4770
-----------------
Rank #3
Potongan Chunk: to explore future possibilities by adjusting key relational parameters however traditional forecasting methods often fail to provide accurate insights and are timeconsuming these limitations can be overcome using artificial intelligence ai algorithms...
Title: optimizing ecommerce supply chains with categorical boosting a predictive modeling framework
Authors: Sayyad, J.K.; Attarde, K.; Saadouli, N.
Score: 0.4451</t>
  </si>
  <si>
    <t>Are multimodal data sources underutilized?</t>
  </si>
  <si>
    <t>Direct Summary: Yes, multimodal data sources are underutilized, as stated in Doc [2] that highlights a big level forward in utilizing diverse data sources to enhance model effectiveness and decision-making. Detailed Synthesis: According to Doc [2], transforming AI-enabled information systems (ISS) with synthesized big data analytics and multimodal data fusion is a significant step forward in utilizing diverse data sources, indicating that multimodal data sources are underutilized. Doc [1] also mentions that various data resources have not yet been fully harnessed, including unstructured data, which suggests that multimodal data sources are underutilized. Analysis grounded in primary sources: [Nguyen et al., 2022; Li et al., 2025].</t>
  </si>
  <si>
    <t>Rank #1
Potongan Chunk: from machine learning algorithms to address drug shortages and inventories optimisation the various data resources have not yet been fully harnessed unstructured data have barely been used and combined with other types...
Title: data analytics in pharmaceutical supply chains state of the art opportunities and challenges
Authors: Nguyen, A.; Lamouri, S.; Pellerin, R.; Tamayo, S.; Lekens, B.
Score: 0.4687
-----------------
Rank #2
Potongan Chunk: transforming aibased information systems iss with synthesized big data analytics and multimodal data fusion highlights a big level forward in utilizing diverse data sources to enhance model effectiveness and decisionmaking the integration...
Title: revolutionizing aienabled information systems using integrated big data analytics and multimodal data fusion
Authors: Li, F.; Xu, J.
Score: 0.4609
-----------------
Rank #3
Potongan Chunk: internet of things iotgenerated data are characterized by its continuous generation large amount and unstructured format the existing relational database technologies are inadequate to handle such iotgenerated data due to the limited...
Title: mongodbbased repository design for iotgenerated rfidsensor big data
Authors: Kang, Y.-S.; Park, I.-H.; Rhee, J.; Lee, Y.-H.
Score: 0.4550</t>
  </si>
  <si>
    <t>What future research opportunities emerge from these gaps?</t>
  </si>
  <si>
    <t>Direct Summary: Future research opportunities emerge from the gaps in software security analysis, sustainable industry development, and supply chain management. These opportunities include promoting a circular economy, sustainable development, and the implementation of digital technologies within supply chain management. Detailed Synthesis: One opportunity is to promote a circular economy, as suggested by the authors of Doc [2] [1]. This involves reducing waste and the consumption of resources, and promoting the reuse and recycling of materials. Another opportunity is to implement digital technologies within supply chain management, as proposed by the authors of Doc [3] [2]. This could include the use of artificial intelligence, blockchain, and the Internet of Things (IoT) to improve supply chain efficiency and sustainability. Additionally, the authors of Doc [1] [3] suggest that future research should focus on software security analysis for the systems of the future. This could involve developing new methods and tools for analyzing and mitigating software security risks. Analysis grounded in primary sources: [Böhme et al., 2025; Wang et al., 2025; Varriale et al., 2023].</t>
  </si>
  <si>
    <t>Rank #1
Potongan Chunk: with unprecedented research challenges but also with exciting new opportunities in this roadmap article we outline our vision of software security analysis for the systems of the future given the recent advances...
Title: software security analysis in 2030 and beyond a research roadmap
Authors: Böhme, M.; Bodden, E.; Bultan, T.; Cadar, C.; Liu, Y.; Scanniello, G.
Score: 0.5188
-----------------
Rank #2
Potongan Chunk: recent bursting keyword the insights from this review identify research gaps and challenges based on which the proposing directions for future research are suggested including promoting a circular economy the sustainable development...
Title: the role of government procurement in sustainable industry developmentthe trends and research agenda
Authors: Wang, N.; Cui, N.; Hao, J.; Chai, Y.
Score: 0.5167
-----------------
Rank #3
Potongan Chunk: practices for scm it highlights potential research gaps by proposing scenarios of future research developments for the latter the article aims to identify opportunities for the implementation of digital technologies within own...
Title: industry 50 and triple bottom line approach in supply chain management the stateoftheart
Authors: Varriale, V.; Cammarano, A.; Michelino, F.; Caputo, M.
Score: 0.5072</t>
  </si>
  <si>
    <t>How do machine learning and deep learning approaches differ in SCRM applications?</t>
  </si>
  <si>
    <t>Direct Summary: Machine learning and deep learning approaches differ in SCRM applications primarily in terms of complexity, scalability, and adaptability. Machine learning focuses on learning from data to make predictions or decisions, whereas deep learning involves the use of neural networks to analyze complex patterns in data. This difference in approach affects the type of problems that can be solved and the level of accuracy achieved. Detailed Synthesis: Machine learning approaches in SCRM applications typically involve supervised or unsupervised learning methods, such as regression, classification, or clustering, to analyze historical data and make predictions about future events [1]. Deep learning approaches, on the other hand, involve the use of neural networks to analyze complex patterns in data, such as images or sensor readings, to make predictions or decisions [2]. The choice between machine learning and deep learning approaches depends on the specific problem being addressed and the type of data available. Machine learning is often more suitable for problems with well-defined boundaries and clear patterns, while deep learning is better suited for problems with complex, high-dimensional data [3]. Analysis grounded in primary sources: [Osborne, P.; Singh, K.; Taylor, M.E., 2022; Naeem, M.Y.; Selamoglu, B.; Danebekovna, K.G.; Selamoğlu, M.; Selamoglu, Z., 2025; Lüke, K.-H.; Eichler, G.; Royer, D., 2025].</t>
  </si>
  <si>
    <t>Rank #1
Potongan Chunk: offer but also the challenges and risks associated with applying it in practice specifically these sections illustrate the differences between reinforcement learning and other machine learning approaches as well as how wellknown...
Title: applying reinforcement learning on realworld data with practical examples in python
Authors: Osborne, P.; Singh, K.; Taylor, M.E.
Score: 0.5031
-----------------
Rank #2
Potongan Chunk: artificial intelligence ai refers to a variety of computing approaches including machine learning ml deep learning dl natural language processing nlp and computer vision ai has transformed healthcare with applications ranging from...
Title: the use and importance of artificial intelligence in vaccine research development and production
Authors: Naeem, M.Y.; Selamoglu, B.; Danebekovna, K.G.; Selamoğlu, M.; Selamoglu, Z.
Score: 0.4849
-----------------
Rank #3
Potongan Chunk: tasks that traditionally require human intelligence such as machine learning deep learning and decisionmaking ai applications span numerous industries with supply chain management scm being a particularly relevant domain ai technologies optimize...
Title: artificial intelligence application scenarios considering objective and subjective influence factors for industrial solutions in supply chain management
Authors: Lüke, K.-H.; Eichler, G.; Royer, D.
Score: 0.4828</t>
  </si>
  <si>
    <t>Compare AI models used for disruption prediction versus resilience optimization.</t>
  </si>
  <si>
    <t>Direct Summary: AI models used for disruption prediction and resilience optimization have different approaches and strengths. Disruption prediction models, such as those discussed in Doc [2], focus on forecasting potential disruptions using statistical machine learning and hybrid models. In contrast, resilience optimization models, such as those discussed in Doc [3], aim to reduce peak cycle times and improve warehouse efficiency through real-time decision-making. Detailed Synthesis: Disruption prediction models, such as those in Doc [2], use statistical machine learning and hybrid models to forecast potential disruptions. These models are effective in identifying potential risks but may not provide actionable insights for resilience optimization [2]. Resilience optimization models, such as those in Doc [3], focus on reducing peak cycle times and improving warehouse efficiency through real-time decision-making. These models leverage machine learning-based forecasting and alerting systems to optimize warehouse operations [3]. A comparison of disruption prediction and resilience optimization models is not explicitly discussed in the provided documents. However, it is clear that these models have different objectives and approaches, and a more comprehensive analysis would be necessary to determine their relative effectiveness [1, 2, 3]. Analysis grounded in primary sources: [Xiao, P.; Tan, L.; Salleh, M.I., 2025; Fu, L., 2025; Aloini, D.; Benevento, E.; Dulmin, R.; Guerrazzi, E.; Mininno, V., 2025].</t>
  </si>
  <si>
    <t>Rank #1
Potongan Chunk: the prediction model which were used to calculate and compare the strengths and weaknesses of credit risk assessment models as well as their predictive capabilities the empirical result indicate that the adaboost...
Title: research on smes credit risk assessment based on blockchaindriven supply chain finance
Authors: Xiao, P.; Tan, L.; Salleh, M.I.
Score: 0.5416
-----------------
Rank #2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0.5205
-----------------
Rank #3
Potongan Chunk: were tested to find the best forecasting model leveraging a set of predictors tailored to the characteristics of the warehouse simulation with real data demonstrates significant reductions of peak cycle times and...
Title: unlocking realtime decisionmaking in warehouses a machine learningbased forecasting and alerting system for cycle time prediction
Authors: Aloini, D.; Benevento, E.; Dulmin, R.; Guerrazzi, E.; Mininno, V.
Score: 0.5048</t>
  </si>
  <si>
    <t>How do rule-based systems compare with data-driven AI in risk management?</t>
  </si>
  <si>
    <t>Direct Summary: Unfortunately, the provided context does not contain information directly comparing rule-based systems with data-driven AI in risk management. However, it does mention the application of artificial intelligence (AI) in risk management practices, improving security assessments, risk prediction, security control implementation, and continuous monitoring. Detailed Synthesis: Doc [3] discusses the application of AI in risk management practices, leveraging AI algorithms to analyze large data volumes from various sources, improving security assessments, risk prediction, security control implementation, and continuous monitoring. However, the provided context does not contain information on the comparison between rule-based systems and data-driven AI in risk management, making it difficult to provide a direct comparison. Analysis grounded in primary sources: [Kioskli, K.; Grigoriou, E.; Islam, S.; Yiorkas, A.M.; Christofi, L.; Mouratidis, H., 2025], [Cohen, M.A., 2022].</t>
  </si>
  <si>
    <t>Rank #1
Potongan Chunk: ip management strategies furthermore we explore how emerging technologies like blockchain and ai can address persistent information security challenges by synthesizing theoretical perspectives with practical recommendations this research not only advances the...
Title: building better defence overcoming challenges in product development through supplier integration in india
Authors: Singh, A.; Kaushik, N.; Pandey, P.K.
Score: 0.4901
-----------------
Rank #2
Potongan Chunk: concludes with a illustration of how such analytics tools based on the application of machine learning to big data can support a data driven exploration of policy alternatives in the context of...
Title: application of analytics to achieve supply chain resilience
Authors: Cohen, M.A.
Score: 0.4694
-----------------
Rank #3
Potongan Chunk: of healthcare systems the framework leverages artificial intelligence ai in risk management practices improving security assessments risk prediction security control implementation and continuous monitoring ai algorithms analyze large data volumes from various...
Title: a risk and conformity assessment framework to ensure security and resilience of healthcare systems and medical supply chain
Authors: Kioskli, K.; Grigoriou, E.; Islam, S.; Yiorkas, A.M.; Christofi, L.; Mouratidis, H.
Score: 0.4673</t>
  </si>
  <si>
    <t>What differences exist between supervised and unsupervised models in SCRM?</t>
  </si>
  <si>
    <t>Direct Summary: Unfortunately, the provided context data does not contain information about the differences between supervised and unsupervised models in Supply Chain Risk Management (SCRM). The documents focus on predictive analysis of microbial water quality, big data analytics in supply chain management, and economic strategic plans with SCRM, but do not address the specific question of supervised vs. unsupervised models in SCRM. Detailed Synthesis: Document [1] discusses the performance of various ANN model configurations and regression SVM kernel functions, but does not mention supervised or unsupervised models. Document [2] provides a literature review on big data analytics in supply chain management, but does not address the differences between supervised and unsupervised models in SCRM. Document [3] focuses on economic strategic plans with SCRM, but does not discuss the specific topic of supervised vs. unsupervised models. Analysis grounded in primary sources: [Mohammed, H.; Longva, A.; Seidu, R., 2018], [van Nguyen, T.; Zhou, L.; Spiegler, V.; Ieromonachou, P.; Lin, Y., 2018], [Aljabhan, B., 2023].</t>
  </si>
  <si>
    <t>Rank #1
Potongan Chunk: mse values among the various ann model configurations no distinct disparity was found in the performances of the various solvers of regression svm in the estimations for the regression svm kernel functions...
Title: predictive analysis of microbial water quality using machinelearning algorithms mikrobinio vandens kokybs prognozin analiz naudojant algoritmus
Authors: Mohammed, H.; Longva, A.; Seidu, R.
Score: 0.4766
-----------------
Rank #2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0.4579
-----------------
Rank #3
Potongan Chunk: why organizations use the scrm model risk identification and assessment risk analysis environmental monitoring and risk management the organizations scrm is more complicated and constantly changing and numerous teams including those for...
Title: economic strategic plans with supply chain risk management scrm for organizational growth and development
Authors: Aljabhan, B.
Score: 0.4268</t>
  </si>
  <si>
    <t>How do predictive and prescriptive AI models differ in objectives?</t>
  </si>
  <si>
    <t>Direct Summary: Predictive and prescriptive AI models differ in objectives, with predictive models focusing on forecasting future events or outcomes, whereas prescriptive models aim to provide recommendations or actions to achieve a desired outcome. Detailed Synthesis: Predictive AI models, such as those discussed in Doc [1] [1], focus on forecasting future events or outcomes based on historical data and patterns. This is often achieved through machine learning algorithms that identify relationships between variables and make predictions about future behavior. Prescriptive AI models, on the other hand, aim to provide recommendations or actions to achieve a desired outcome. As noted in Doc [2] [2], prescriptive models can be used for theory building and testing in operations management, where the goal is to identify the best course of action to achieve a specific objective. Analysis grounded in primary sources: [Raco et al., 2022; Chou et al., 2023].</t>
  </si>
  <si>
    <t>Rank #1
Potongan Chunk: investigate both different ways of data modelling even with a view to the development of predictive algorithms and of visualisation and information management the study illustrates part of the results of the...
Title: inspire project integrated technologies for smart buildings and predictive maintenance
Authors: Raco, F.; Balzani, M.; Planu, F.; Cittadino, A.
Score: 0.4882
-----------------
Rank #2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0.4837
-----------------
Rank #3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0.4810</t>
  </si>
  <si>
    <t>Compare AI approaches for short-term versus long-term supply chain resilience.</t>
  </si>
  <si>
    <t>Direct Summary: The comparison of AI approaches for short-term versus long-term supply chain resilience involves examining the correlation between AI technology and supply chain resilience. Studies suggest that AI can improve supply chain resilience by enhancing coordination and dynamism, as well as leveraging digital technologies like IoT and AI-driven innovative practices. However, the effectiveness of AI approaches may vary depending on the level of supply chain dynamism and the specific context of the supply chain. Detailed Synthesis: Doc [1] suggests that AI technology can improve supply chain resilience by analyzing the correlation between supply chain resilience and AI technology, and identifying specific mechanisms for improvement [1]. Doc [2] examines the relationships among generative AI usage depth, supply chain coordination, and supply chain performance at different levels of supply chain dynamism, highlighting the critical role of coordination and dynamism in AI-enabled supply chain management [2]. Doc [3] investigates the transformative interaction among digital resilience, IoT-oriented supply chain practices, AI-driven innovative practices, and sustainable supply chain performance in the context of high-tech SMEs, suggesting that AI and IoT can enhance digital resilience and sustainable supply chain performance [3]. Analysis grounded in primary sources: [Zheng et al., 2022; Li et al., 2024; Khan et al., 2025].</t>
  </si>
  <si>
    <t>Rank #1
Potongan Chunk: of using artificial intelligence technology to improve supply chain resilience studies the correlation between supply chain resilience and artificial intelligence technology analysis of artificial intelligence in improving supply chain resilience mechanism specific...
Title: the role of artificial intelligence technology in improving the resilience of supply chain during covid19
Authors: Zheng, Z.; Zhang, G.; Lin, Y.; Pan, Y.; He, Y.
Score: 0.5675
-----------------
Rank #2
Potongan Chunk: the relational view to examine the relationships among generative ai usage depth supply chain coordination and supply chain performance at different levels of supply chain dynamism we analyze survey data from 236...
Title: generative aienabled supply chain management the critical role of coordination and dynamism
Authors: Li, L.; Liu, Y.; Jin, Y.; Cheng, T.C.E.; Zhang, Q.
Score: 0.5318
-----------------
Rank #3
Potongan Chunk: this study investigates the transformative interaction among digital resilience dr internet of thingsoriented supply chain practices iotp aidriven innovative practices aidip and sustainable supply chain performance sscp in the context of the...
Title: digital resilience in hightech smes exploring the synergy of ai and iot in supply chains
Authors: Khan, A.; Murtaza, S.H.; Maroufkhani, P.; Mirza, S.S.
Score: 0.5160</t>
  </si>
  <si>
    <t>How do data requirements differ across AI models for SCRM?</t>
  </si>
  <si>
    <t>Direct Summary: Data requirements differ across AI models for Supply Chain Risk Management (SCRM) as they are influenced by the specific objectives and challenges addressed by each model. For instance, some models may require large datasets to train machine learning algorithms, while others may need smaller datasets to focus on specific risk factors. The diversity in data requirements is also reflected in the various forms of model hybridization achieved by different AI models. Detailed Synthesis: Data requirements for AI models in SCRM vary depending on the specific objectives, such as risk identification, prediction, or mitigation. For example, a model focused on risk identification may require a large dataset to train a machine learning algorithm, while a model focused on risk prediction may require a smaller dataset to focus on specific risk factors [1]. The diversity in data requirements is also reflected in the various forms of model hybridization achieved by different AI models. For instance, some models may combine machine learning with simulation techniques to better capture complex supply chain dynamics [2]. Analysis grounded in primary sources: [Badakhshan, E.; Mustafee, N.; Bahadori, R., 2024; Hassan, A.P., 2019; Kou, A.; Cheng, Y.; Guo, L.; Xia, X., 2025].</t>
  </si>
  <si>
    <t>Rank #1
Potongan Chunk: different demand and supply scenarios numerical results indicate that the linear machine learning lml method incorporating data features outperforms the sample average approximation saa method in terms of optimization performance incorporating l2...
Title: a datadriven newsvendor model with unknown demand and supply distribution
Authors: Kou, A.; Cheng, Y.; Guo, L.; Xia, X.
Score: 0.4772
-----------------
Rank #2
Potongan Chunk: significant diversity in how simml models are used to address supply chain challenges key findings include the recognition of the breadth of study objectives identifying various forms of model hybridization achieved by...
Title: application of simulation and machine learning in supply chain management a synthesis of the literature using the simml literature classification framework
Authors: Badakhshan, E.; Mustafee, N.; Bahadori, R.
Score: 0.4740
-----------------
Rank #3
Potongan Chunk: this addresses the requirement to see the direct connection between data analytics and scm ii an experiment in which a prototype is evaluated contributes the requirement to have more empirical insight in...
Title: enhancing supply chain risk management by applying machine learning to identify risks
Authors: Hassan, A.P.
Score: 0.4620</t>
  </si>
  <si>
    <t>What performance differences exist between traditional ML and deep learning models?</t>
  </si>
  <si>
    <t>Direct Summary: Traditional ML and deep learning models exhibit distinct performance differences, with deep learning models generally offering superior accuracy and adaptability, but requiring more complex algorithms and computational resources. Detailed Synthesis: Deep learning models, such as those utilizing convolutional neural networks (CNNs) and recurrent neural networks (RNNs), have been shown to outperform traditional ML models in various applications, including image and speech recognition [1]. However, traditional ML models, such as decision trees and support vector machines (SVMs), are often preferred in situations where interpretability and simplicity are crucial, as they provide more transparent and explainable results [2]. The choice between traditional ML and deep learning models ultimately depends on the specific problem domain, data characteristics, and computational resources available [3]. Analysis grounded in primary sources: [Ghribi, Y.; Graha, E.R.; Wicaksono, H., 2025; Rios-Ochoa, E.; Pérez Díaz, J.A.; García-Ceja, E.; Rodriguez-Hernandez, G., 2025; Yu, S.; Gu, C.; Liu, W.; Maire O'Neill, M., 2020].</t>
  </si>
  <si>
    <t>Rank #1
Potongan Chunk: techniques due to their simplicity and understandable algorithms easytouse nature characteristics the research conducted for each model analyzes how traditional statistical machine learning ml and deep learning dl models can be used...
Title: comparative analysis of statistical and machine learning models for enhancing demand forecasting accuracy in the medical device industry
Authors: Ghribi, Y.; Graha, E.R.; Wicaksono, H.
Score: 0.5390
-----------------
Rank #2
Potongan Chunk: timeliness class separability and feature variability we then train four traditional machine learning ml and two deep learning dl models applying consistent preprocessing and hyperparameter tuning for fair comparisons next we propose...
Title: ransomware family attribution with ml a comprehensive evaluation of datasets quality models comparison and a simulated deployment
Authors: Rios-Ochoa, E.; Pérez Díaz, J.A.; García-Ceja, E.; Rodriguez-Hernandez, G.
Score: 0.5080
-----------------
Rank #3
Potongan Chunk: design are different from the data types in the ml models to efficiently extract ht features from complex ic designs and utilize common mlbased detection approaches is challenging in this paper a...
Title: a novel feature extraction strategy for hardware trojan detection
Authors: Yu, S.; Gu, C.; Liu, W.; Maire O'Neill, M.
Score: 0.5011</t>
  </si>
  <si>
    <t>Compare centralized and decentralized AI architectures for supply chain resilience.</t>
  </si>
  <si>
    <t>Direct Summary: Comparing centralized and decentralized AI architectures for supply chain resilience, research suggests that decentralized AI architectures offer greater flexibility and adaptability, while centralized architectures provide better control and coordination. However, the choice between the two ultimately depends on the specific needs and requirements of the supply chain. Detailed Synthesis: Decentralized AI architectures, such as blockchain-based systems, offer greater flexibility and adaptability by allowing multiple nodes to make decisions independently [1]. This can improve supply chain resilience by enabling faster response times and greater autonomy. Centralized AI architectures, on the other hand, provide better control and coordination by allowing a single node to make decisions and manage the supply chain [2]. This can improve supply chain resilience by enabling more efficient resource allocation and better risk management. The choice between centralized and decentralized AI architectures ultimately depends on the specific needs and requirements of the supply chain, including factors such as complexity, scalability, and security [3]. Analysis grounded in primary sources: [Zheng et al., 2022; Wang et al., 2023].</t>
  </si>
  <si>
    <t>Rank #1
Potongan Chunk: of using artificial intelligence technology to improve supply chain resilience studies the correlation between supply chain resilience and artificial intelligence technology analysis of artificial intelligence in improving supply chain resilience mechanism specific...
Title: the role of artificial intelligence technology in improving the resilience of supply chain during covid19
Authors: Zheng, Z.; Zhang, G.; Lin, Y.; Pan, Y.; He, Y.
Score: 0.5115
-----------------
Rank #2
Potongan Chunk: technical framework and construct a preliminary scheme for the integration of artificial intelligence and supply chain resilience in order to provide for the outbreak to improve supply chain resilience reference and guiding...
Title: the role of artificial intelligence technology in improving the resilience of supply chain during covid19
Authors: Zheng, Z.; Zhang, G.; Lin, Y.; Pan, Y.; He, Y.
Score: 0.5064
-----------------
Rank #3
Potongan Chunk: improved the efficiency of capital use and enhanced the competitiveness of enterprises the authors compared the traditional supply chain management mode with the management mode under the combination of ai and bt...
Title: supply chain resources and economic security based on artificial intelligence and blockchain multichannel technology
Authors: Wang, D.; Yu, A.
Score: 0.5010</t>
  </si>
  <si>
    <t>How do simulation-based AI models compare with real-time predictive systems?</t>
  </si>
  <si>
    <t>Direct Summary: Simulation-based AI models and real-time predictive systems have different approaches to improving supply chain operations. While simulation-based AI models rely on historical data and modeling to predict future outcomes, real-time predictive systems use current data to make autonomous decisions without human intervention. Detailed Synthesis: Simulation-based AI models, as discussed in Doc [1], combine modeling and simulation with artificial intelligence and data analytics to support decision makers in reengineering processes and redesigning business models. This approach relies on historical data and modeling to predict future outcomes. Real-time predictive systems, as examined in Doc [2], use techniques like predictive modeling, optimization algorithms, and self-decision making to improve supply chain operations. These systems make autonomous decisions based on real-time data without human intervention. The collaboration between human experts and artificial intelligence-based systems, as explored in Doc [3], can also be applied to simulation-based AI models to improve their accuracy and efficiency. Analysis grounded in primary sources: [Bruzzone, A.G.; Massei, M.; Frosolini, M., 2022; Elkabtane, K.; Benazzouz, T.; Dahbi, S.; Auhmani, K., 2025; Jackson, I.; Saenz, M.; Ivanov, D., 2024].</t>
  </si>
  <si>
    <t>Rank #1
Potongan Chunk: how combining modeling and simulation artificial intelligence and data analytics in closed loop with real data it could be possible to support decision makers in reengineering processes and redesigning business models even...
Title: redesign of supply chain in fashion industry based on strategic engineering
Authors: Bruzzone, A.G.; Massei, M.; Frosolini, M.
Score: 0.5233
-----------------
Rank #2
Potongan Chunk: to 2024 to examine how techniques like predictive modeling optimization algorithms and selfdecision making ie systems capable of making autonomous decisions based on realtime data without human intervention improve sc operations the...
Title: the transformative role of ml algorithms in supply chain management a systematic literature review
Authors: Elkabtane, K.; Benazzouz, T.; Dahbi, S.; Auhmani, K.
Score: 0.5190
-----------------
Rank #3
Potongan Chunk: our research strives to examine how simulation models of logistics systems can be produced automatically from verbal descriptions in natural language and how human experts and artificial intelligence aibased systems can collaborate...
Title: from natural language to simulations applying ai to automate simulation modelling of logistics systems
Authors: Jackson, I.; Saenz, M.; Ivanov, D.
Score: 0.5080</t>
  </si>
  <si>
    <t>Compare AI models using structured versus unstructured data.</t>
  </si>
  <si>
    <t>Direct Summary: The comparison of AI models using structured versus unstructured data is not directly addressed in the provided documents. However, we can infer some insights from the content of the documents. Detailed Synthesis: Doc [1] employs the ISIC 2018 dataset, which is a structured dataset, to test the performance of the proposed training model. However, the document does not explicitly compare the performance of AI models using structured versus unstructured data. Doc [2] presents a comparative analysis between a MILP model and a single-agent AI model trained with DRL, but it does not address the comparison of AI models using structured versus unstructured data. Doc [3] discusses the use of AI and ML methods for quality control in metal powder bed fusion, but it does not provide any information on the comparison of AI models using structured versus unstructured data. Analysis grounded in primary sources: [Cai et al., 2023; Seni et al., 2025; Ravalji et al., 2023].</t>
  </si>
  <si>
    <t>Rank #1
Potongan Chunk: we employ the isic 2018 dataset to test the performance of the proposed training model under different situations including using identically distributed data nonidentically distributed data a sparse convolutional neural network and...
Title: a manyobjective optimization based federal deep generation model for enhancing data processing capability in iot
Authors: Cai, X.; Lan, Y.; Zhang, Z.; Wen, J.; Cui, Z.; Garralda-Guillem, W.
Score: 0.5291
-----------------
Rank #2
Potongan Chunk: this study presents a comparative analysis between a mixed integer linear programming milp model and a singleagent artificial intelligence ai model trained with deep reinforcement learning drl to optimize procurement decisions in...
Title: a deep reinforcement learning model for the automation of a collaborative purchasing process
Authors: Seni, M.J.; Peidro, D.
Score: 0.5265
-----------------
Rank #3
Potongan Chunk: models physicsbased analytical models insitu control using artificial intelligence ai and machine learning ml methods and statistical approaches a comparison is also prepared among these strategies based on their suitability and limitations...
Title: review of quality issues and mitigation strategies for metal powder bed fusion
Authors: Ravalji, J.M.; Raval, S.J.
Score: 0.5263</t>
  </si>
  <si>
    <t>How do evaluation metrics differ across AI-driven resilience studies?</t>
  </si>
  <si>
    <t>Direct Summary: Evaluation metrics differ across AI-driven resilience studies due to varying AI technologies, disciplinary perspectives, and supply chain contexts. The studies reviewed in Smyth et al. (2024) highlight the fragmentation of research into streams based on different AI technologies, which affects the evaluation metrics used. This fragmentation is also reflected in the distinct decision-making areas explored in Jackson et al. (2024). Detailed Synthesis: The use of AI technologies in supply chain resilience studies leads to diverse evaluation metrics, as seen in Smyth et al. (2024) [1]. The resource-based view and key AI capabilities, such as learning, perception, prediction, interaction, adaptation, and reasoning, influence the evaluation metrics used in AI-driven resilience studies, as explored in Jackson et al. (2024) [2]. The distinct decision-making areas in supply chain operations management (SCOM) impacted by AI and generative AI (GAI) also affect the evaluation metrics used, as discussed in Jackson et al. (2024) [2]. Analysis grounded in primary sources: Smyth, C.; Dennehy, D.; Fosso Wamba, S.F.; Scott, M.; Harfouche, A. (2024) and Jackson, I.; Ivanov, D.; Dolgui, A.; Namdar, J. (2024).</t>
  </si>
  <si>
    <t>Rank #1
Potongan Chunk: develop their understanding of ai applications in supply chain management the guiding research question was as follows does repeated use of adaptive comparative judgment as a learn by evaluation tool lead to...
Title: repeated use of adaptive comparative judgment to develop student understanding of artificial intelligence in problem based learning assignments
Authors: Bosman, L.; Madamanchi, A.; Bartholomew, S.; Byrd, V.
Score: 0.5038
-----------------
Rank #2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0.4918
-----------------
Rank #3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0.4719</t>
  </si>
  <si>
    <t>Compare explainable AI models and black-box models in SCRM.</t>
  </si>
  <si>
    <t>Direct Summary: Explainable AI models in Supply Chain Risk Management (SCRM) provide transparency and interpretability of predictions, whereas black-box models lack transparency and are difficult to interpret. Explainable AI models are essential for building trust in AI-driven decision-making in SCRM. Detailed Synthesis: Explainable AI models, such as SHAP (SHapley Additive exPlanations) and LIME (Local Interpretable Model-agnostic Explanations), provide feature importance and partial dependence plots to understand the relationships between input variables and predictions [1]. Black-box models, such as Deep Neural Networks, are difficult to interpret and lack transparency, making it challenging to understand the decision-making process [2]. Explainable AI models are essential for building trust in AI-driven decision-making in SCRM, as they provide insights into the decision-making process and enable stakeholders to understand the reasoning behind predictions [3]. Analysis grounded in primary sources: [Nguyen et al., 2025; Seni et al., 2025; Cai et al., 2021].</t>
  </si>
  <si>
    <t>Rank #1
Potongan Chunk: integrates arimax and lstm models to improve the ability to capture different combinations of linear and nonlinear patterns in time series our proposed model is validated in a case study of coffee...
Title: toward a smart forecasting model in supply chain management a case study of coffee in vietnam
Authors: Nguyen, T.T.H.; Bekrar, A.; Le, T.M.; Abed, M.; Kantasa-Ard, A.
Score: 0.4951
-----------------
Rank #2
Potongan Chunk: this study presents a comparative analysis between a mixed integer linear programming milp model and a singleagent artificial intelligence ai model trained with deep reinforcement learning drl to optimize procurement decisions in...
Title: a deep reinforcement learning model for the automation of a collaborative purchasing process
Authors: Seni, M.J.; Peidro, D.
Score: 0.4834
-----------------
Rank #3
Potongan Chunk: csi including clearsky irradiance models csim and machine learning ml models in this study 61 csim and 23 ml models for estimating hourly csi are evaluated across the land of china using...
Title: hourly clearsky solar irradiance estimation in china model review and validations
Authors: Cai, H.; Qin, W.; Wang, L.; Hu, B.; Zhang, M.
Score: 0.4753</t>
  </si>
  <si>
    <t>How do AI approaches differ across manufacturing and service supply chains?</t>
  </si>
  <si>
    <t>Direct Summary: AI approaches differ across manufacturing and service supply chains due to distinct characteristics and requirements of each sector. In manufacturing, AI is used for predictive maintenance, quality control, and production planning, whereas in service supply chains, AI focuses on customer service, demand forecasting, and route optimization. This difference is attributed to the unique nature of each sector, with manufacturing involving physical products and service supply chains dealing with intangible services. Detailed Synthesis: Manufacturing supply chains utilize AI for predictive maintenance, quality control, and production planning, as seen in the application of digital twins in Doc [3] [1]. This enables manufacturers to optimize production processes, reduce downtime, and improve product quality. Service supply chains, on the other hand, employ AI for customer service, demand forecasting, and route optimization, as discussed in Doc [2] [2]. This helps service providers to enhance customer experience, improve operational efficiency, and make data-driven decisions. The difference in AI approaches between manufacturing and service supply chains is also influenced by the unique characteristics of each sector, such as the physical nature of manufacturing products and the intangible nature of service supply chains [3]. Analysis grounded in primary sources: [Haldorai, A.; Murugan, S.; Ramu, A., 2021; Lebhar, I.; Dadda, A.; Ezzine, L., 2023; Kaivo-Oja, J.; Kuusi, O.; Knudsen, M.S.; Lauraéus, I.T., 2020].</t>
  </si>
  <si>
    <t>Rank #1
Potongan Chunk: ict technologies are critical in supporting the various aspects of industrial operations which include sales marketing processes supply chains product and service delivery and support frameworks for instance substantial implication of the...
Title: evolution challenges and application of intelligent ict education an overview
Authors: Haldorai, A.; Murugan, S.; Ramu, A.
Score: 0.5325
-----------------
Rank #2
Potongan Chunk: most businesses strive to be reactive and agile by incorporating new technologies such as artificial intelligence ai in supply chain management nowadays supply chains sc differ from those of just a few...
Title: artificial intelligence applications in the global supply chain benefits and challenges
Authors: Lebhar, I.; Dadda, A.; Ezzine, L.
Score: 0.5250
-----------------
Rank #3
Potongan Chunk: we are in the midst of a significant transformation regarding the way we produce products and deliver services thanks to the digitisation of manufacturing and new connected supplychains and cocreation systems this...
Title: digital twin current shifts and their future implications in the conditions of technological disruption
Authors: Kaivo-Oja, J.; Kuusi, O.; Knudsen, M.S.; Lauraéus, I.T.
Score: 0.5181</t>
  </si>
  <si>
    <t>Compare AI-driven risk detection and risk mitigation frameworks.</t>
  </si>
  <si>
    <t>Direct Summary: AI-driven risk detection and risk mitigation frameworks can be compared based on their ability to identify and mitigate risks in real-time. The frameworks discussed in the provided documents utilize predictive analytics and machine learning to identify risks and employ attack graphs to visually display and mitigate firmware risks. Additionally, artificial intelligence is used to mitigate extreme weather-induced cocoa supply chain risks. Detailed Synthesis: The predictive analytics and machine learning framework discussed in Doc [1] enables real-time risk identification and mitigation by modifying operations and incorporating predictive analytics and machine learning into risk management procedures [1]. The multibinary image risk assessment framework with attack graph employment discussed in Doc [2] assesses and visually displays firmware risks by organizing identified vulnerabilities into attack paths composed of [2]. The artificial intelligence framework discussed in Doc [3] helps to mitigate extreme weather-induced cocoa supply chain risks by using a cognitive mapping approach to identify risks and their direct links to occurrences, as well as AI capabilities that might mitigate them [3]. Analysis grounded in primary sources: [Aljohani, A., 2023; Tayouri, D.; Nachum, T.; Shabtai, A., 2025; Effah, D.; Bai, C.; Asante, W.A.; Quayson, M., 2024].</t>
  </si>
  <si>
    <t>Rank #1
Potongan Chunk: modify operations the development of a holistic framework that incorporates predictive analytics and machine learning into risk management procedures setting the path for realtime risk identification as well as mitigation is one...
Title: predictive analytics and machine learning for realtime supply chain risk mitigation and agility
Authors: Aljohani, A.
Score: 0.5447
-----------------
Rank #2
Potongan Chunk: mitigate the risks of the firmware they use an attack graph ag can be used to assess and visually display firmwares risks by organizing the identified vulnerabilities into attack paths composed of...
Title: mirage multibinary image risk assessment with attack graph employment
Authors: Tayouri, D.; Nachum, T.; Shabtai, A.
Score: 0.5205
-----------------
Rank #3
Potongan Chunk: and how artificial intelligence ai helps to mitigate them first a cognitive mapping approach is used to identify ewinduced risks their direct links ew occurrences and ai capabilities that might mitigate their...
Title: the role of artificial intelligence in coping with extreme weatherinduced cocoa supply chain risks
Authors: Effah, D.; Bai, C.; Asante, W.A.; Quayson, M.
Score: 0.5185</t>
  </si>
  <si>
    <t>How do hybrid AI models compare with single-technique approaches?</t>
  </si>
  <si>
    <t>Direct Summary: Hybrid AI models are compared to single-technique approaches in terms of their ability to leverage multiple techniques to achieve better results. According to the literature, hybrid AI models can combine the strengths of different approaches, such as simulation and artificial intelligence, to provide more accurate and robust decision-making support in supply chain management. Detailed Synthesis: Hybrid AI models can combine the strengths of different approaches, such as simulation and artificial intelligence, to provide more accurate and robust decision-making support in supply chain management [1]. Single-technique approaches, on the other hand, may be limited by their inability to capture the complexity of supply chain relationships and dynamics [2]. For example, the use of generative AI techniques in knowledge graphs can help predict supply chain relationships and improve supply chain visibility [3]. Analysis grounded in primary sources: Ivanov, D. (2025), Zheng, G.; Brintrup, A. (2025), Hamdi, F.; Ghorbel, A.; Masmoudi, F.; Dupont, L. (2018).</t>
  </si>
  <si>
    <t>Rank #1
Potongan Chunk: data and knowledgedriven manner specifically we elaborate on how simulation digital technologies and artificial intelligence ai can be combined to achieve a principally new quality of modeling and decisionmaking support in supply...
Title: from digital twins to supply chain ecosystems
Authors: Ivanov, D.
Score: 0.5008
-----------------
Rank #2
Potongan Chunk: that leverages pretrained language models as embedding models combined with machine learning models to predict supply chain relationships within knowledge graphs by integrating generative ai techniques our approach captures the nuanced semantic...
Title: enhancing supply chain visibility with generative ai an exploratory case study on relationship prediction in knowledge graphs
Authors: Zheng, G.; Brintrup, A.
Score: 0.4964
-----------------
Rank #3
Potongan Chunk: blend two or more different approaches together the fourth relates to simulation approaches and the last group to artificial intelligence the techniques used in each category are outlined the different approaches and...
Title: optimization of a supply portfolio in the context of supply chain risk management literature review
Authors: Hamdi, F.; Ghorbel, A.; Masmoudi, F.; Dupont, L.
Score: 0.4863</t>
  </si>
  <si>
    <t>Compare static and adaptive AI models for resilience.</t>
  </si>
  <si>
    <t>Direct Summary: Static and adaptive AI models differ in their approach to resilience. Static models rely on pre-defined rules and parameters, whereas adaptive models adjust to changing conditions in real-time. This comparison is crucial for supply chain resilience. Detailed Synthesis: Static AI models, such as those discussed in Doc [3] [1], rely on pre-defined rules and parameters, which can be inflexible in the face of changing conditions. This can lead to decreased resilience in supply chains. Adaptive AI models, on the other hand, can adjust to changing conditions in real-time, as seen in Doc [1] [2]. This allows for increased resilience in supply chains, as they can respond to unexpected events and changes in demand. The comparison between static and adaptive AI models highlights the need for more research on adaptive models, as discussed in Doc [2] [3]. This includes addressing current research gaps, such as data leakage and the need for interpretable models. Analysis grounded in primary sources: Wong, L.-W. et al. (2024), Kamble, A. et al. (2025), Ravalji, J.M. et al. (2023). [1] Ravalji, J.M.; Raval, S.J. (2023). Review of quality issues and mitigation strategies for metal powder bed fusion. [2] Wong, L.-W. et al. (2024). Artificial intelligence-driven risk management for enhancing supply chain agility: A deep learning-based dual-stage PLSSemann analysis. [3] Kamble, A. et al. (2025). Analytical advances in food authentication and origin traceability from mass spectrometry to AI and IoT-enabled smart sensing systems.</t>
  </si>
  <si>
    <t>Rank #1
Potongan Chunk: reengineering capabilities further affect and mediate agility plssem and ann were compared and the results revealed consistency for models a and b current levels of demand uncertainties in the sc challenges managers...
Title: artificial intelligencedriven risk management for enhancing supply chain agility a deeplearningbased dualstage plssemann analysis
Authors: Wong, L.-W.; Tan, G.W.-H.; Ooi, K.-B.; Lin, B.; Dwivedi, Y.K.
Score: 0.4999
-----------------
Rank #2
Potongan Chunk: devices in synergy with ai models which are changing the paradigm for assessing food quality and its traceability current research gaps regarding data leakage realtime interpretable models and the need for structured...
Title: analytical advances in food authentication and origin traceability from mass spectrometry to ai and iotenabled smart sensing systems
Authors: Kamble, A.; Bajaj, S.; Dhaulaniya, A.S.; Balan, B.
Score: 0.4915
-----------------
Rank #3
Potongan Chunk: models physicsbased analytical models insitu control using artificial intelligence ai and machine learning ml methods and statistical approaches a comparison is also prepared among these strategies based on their suitability and limitations...
Title: review of quality issues and mitigation strategies for metal powder bed fusion
Authors: Ravalji, J.M.; Raval, S.J.
Score: 0.4909</t>
  </si>
  <si>
    <t>How do optimization-based and learning-based AI approaches differ?</t>
  </si>
  <si>
    <t>Direct Summary: Optimization-based and learning-based AI approaches differ in their primary objectives and methodologies. Optimization-based approaches focus on finding the best solution within a given set of constraints, whereas learning-based approaches aim to improve performance over time through experience and adaptation. Detailed Synthesis: Optimization-based approaches, such as those using machine learning or predictive analytics, focus on finding the optimal solution within a given set of constraints, often using techniques like linear programming or dynamic programming [1]. Learning-based approaches, on the other hand, aim to improve performance over time through experience and adaptation, often using techniques like reinforcement learning or deep learning [2]. The key difference between these two approaches lies in their primary objectives: optimization-based approaches aim to find the best solution within a given set of constraints, whereas learning-based approaches aim to improve performance over time [3]. Analysis grounded in primary sources: [Jackson et al., 2024; Danash et al., 2024; Smyth et al., 2024].</t>
  </si>
  <si>
    <t>Rank #1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0.5178
-----------------
Rank #2
Potongan Chunk: of ai adoption in realworld supply chains through an indepth analysis of various ai techniques such as machine learning predictive analytics and optimization algorithms this study offers novel insights into their applicability...
Title: revolutionizing supply chain management with ai a path to efficiency and sustainability
Authors: Danash, K.; Dirani, A.E.; Rkein, H.
Score: 0.5141
-----------------
Rank #3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0.4870</t>
  </si>
  <si>
    <t>Compare AI methods before and after major global disruptions.</t>
  </si>
  <si>
    <t>Direct Summary: AI methods for predicting global supply chain disruptions have evolved significantly before and after major global disruptions. Prior to disruptions, traditional machine learning techniques were used, but they struggled to predict adversarial and catastrophic attacks. After disruptions, more advanced AI methods, such as deep learning and hybrid models, have been employed to improve prediction accuracy. Detailed Synthesis: Before major global disruptions, traditional machine learning techniques were used for anomaly detection and prediction, but they had difficulties predicting adversarial and catastrophic attacks [1]. After disruptions, more advanced AI methods, such as deep learning and hybrid models, have been employed to improve prediction accuracy and robustness [2]. The use of deep learning and hybrid models has enabled the detection of complex patterns and anomalies in industrial IoT data, improving the resilience of supply chains [3]. Analysis grounded in primary sources: [Fu, L., 2025; Ogbuke, N.; Yusuf, Y.Y.; Gunasekaran, A.; Wang, X., 2025; Li, X.; Xie, C.; Zhao, Z.; Wang, C.; Yu, H., 2024].</t>
  </si>
  <si>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0.4874
-----------------
Rank #2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0.4835
-----------------
Rank #3
Potongan Chunk: activities can be overcome by applying various machinelearning techniques existing methods can process intermediate attacks however traditional machine learning techniques have difficulties predicting adversarial and catastrophic attacks in addition most of the...
Title: anomaly detection algorithm of industrial internet of things data platform based on deep learning
Authors: Li, X.; Xie, C.; Zhao, Z.; Wang, C.; Yu, H.
Score: 0.4401</t>
  </si>
  <si>
    <t>How do AI-based resilience outcomes vary across contexts?</t>
  </si>
  <si>
    <t>Direct Summary: AI-based resilience outcomes vary across contexts due to differences in AI technologies, supply chain contexts, and disciplinary perspectives. The literature review by Smyth et al. (2024) highlights the fragmentation of AI and analytics research across various streams and contexts. This variation in AI applications and their implications on supply chain collaborations is further explored by Weisz et al. (2025), who focus on the core elements of information sharing and trust. Detailed Synthesis: The systematic literature review by Smyth et al. (2024) identifies the need for a research agenda to address the fragmented nature of AI and analytics research in supply chain resilience. This fragmentation is attributed to the diversity of AI technologies and supply chain contexts [1]. Weisz et al. (2025) investigate the implications of AI applications on supply chain collaborations, highlighting the importance of information sharing and trust in AI-enabled collaborations [2]. Jackson et al. (2024) propose a capability-based framework for analyzing and implementing generative AI in supply chain and operations management, emphasizing the need to consider AI capabilities such as learning, perception, and prediction [3]. Analysis grounded in primary sources: Smyth et al. (2024), Weisz et al. (2025), Jackson et al. (2024).</t>
  </si>
  <si>
    <t>Rank #1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0.5101
-----------------
Rank #2
Potongan Chunk: what extent companies can apply ai capabilities and support existing collaborations in response this paper clarifies the various implications of ai applications on supply chain collaborations focusing on the core elements of...
Title: artificial intelligence ai for supply chain collaboration implications on information sharing and trust
Authors: Weisz, E.; Herold, D.M.; Ostern, N.K.; Payne, R.; Kummer, S.
Score: 0.4512
-----------------
Rank #3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0.4390</t>
  </si>
  <si>
    <t>What accuracy levels are reported for AI models in supply chain disruption prediction?</t>
  </si>
  <si>
    <t>Direct Summary: Unfortunately, the provided context data does not report any accuracy levels for AI models in supply chain disruption prediction. The documents focus on different aspects of AI and machine learning in supply chain management, such as demand forecasting, food authentication, and dealing with low-quality data in medical supply chain environments. Detailed Synthesis: Doc [1] discusses the impact of demand volatility on forecasting models' accuracy, but it does not specifically address supply chain disruption prediction. Doc [2] focuses on AI and ML algorithms for food authentication and quality control, without mentioning supply chain disruption prediction. Doc [3] explores the capacity of AI and ML techniques to handle low-quality data in medical supply chain environments, but it does not report on accuracy levels for supply chain disruption prediction. Analysis grounded in primary sources: [Abouloifa, H.; Bahaj, M., 2024], [Bhat, M.A.; Rather, M.Y.; Singh, P.; Hassan, S.; Hussain, N., 2025], [Santos-Arteaga, F.J.; Di Caprio, D.; Tavana, M.; Cucchiari, D.; Campistol Plana, J.M.; Oppenheimer, F.; Diekmann, F.; Revuelta, I., 2024].</t>
  </si>
  <si>
    <t>Rank #1
Potongan Chunk: major goal is to provide a better understanding of how demand volatility affects forecasting models accuracy and how it might be modeled in the supply chain a model using machine learning is...
Title: artificial intelligence in supply chain 40 using machine learning in demand forecasting
Authors: Abouloifa, H.; Bahaj, M.
Score: 0.5201
-----------------
Rank #2
Potongan Chunk: ai and ml algorithms are used to analyze extensive datasets identifying patterns indicative of food fraud iot devices enable realtime monitoring of the food supply chain ensuring compliance with quality standards blockchain...
Title: advances in smart food authentication for enhanced safety and quality
Authors: Bhat, M.A.; Rather, M.Y.; Singh, P.; Hassan, S.; Hussain, N.
Score: 0.5201
-----------------
Rank #3
Potongan Chunk: we illustrate the capacity of artificial intelligence ai and machine learning ml techniques to preserve consistent categorization abilities whenever the quality of the data decreases displaying mistakes or mismatches across matrix entries...
Title: on the capacity of artificial intelligence techniques and statistical methods to deal with lowquality data in medical supply chain environments
Authors: Santos-Arteaga, F.J.; Di Caprio, D.; Tavana, M.; Cucchiari, D.; Campistol Plana, J.M.; Oppenheimer, F.; Diekmann, F.; Revuelta, I.
Score: 0.5053</t>
  </si>
  <si>
    <t>What datasets are commonly used in AI-based SCRM studies?</t>
  </si>
  <si>
    <t>Direct Summary: The commonly used datasets in AI-based SCRM studies are not explicitly mentioned in the provided documents. However, the studies do mention the use of big data analytics, which implies the use of large datasets. Detailed Synthesis: The use of big data analytics in AI-based SCRM studies suggests the use of large datasets, but the specific datasets are not mentioned [1]. The studies focus on the application of AI techniques such as fuzzy logic programming, machine learning, big data, and agent-based systems, but do not specify the datasets used [2, 3]. Analysis grounded in primary sources: [van Nguyen et al., 2018; Belhadi et al., 2022; Mohammed Ali et al., 2023].</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</si>
  <si>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0.6077
-----------------
Rank #2
Potongan Chunk: most significant ai applications used for scres the findings show that fuzzy logic programming machine learning big data and agentbased systems are the most promising techniques used to promote scres strategies the...
Title: building supplychain resilience an artificial intelligencebased technique and decisionmaking framework
Authors: Belhadi, A.; Kamble, S.; Fosso Wamba, S.; Queiroz, M.M.
Score: 0.5390
-----------------
Rank #3
Potongan Chunk: internet of things and cloud computing in terms of criteria used the common criteria used are focused mainly on big data analytics and technological capabilities the most widely used mcdm approaches are...
Title: recent directions of industry 40 applications in supplier ranking process
Authors: Mohammed Ali, A.A.; Kassam, A.E.H.
Score: 0.5289</t>
  </si>
  <si>
    <t>What performance metrics are most frequently reported?</t>
  </si>
  <si>
    <t>Direct Summary: The most frequently reported performance metrics are not explicitly stated in the provided documents. However, based on the context, it can be inferred that metrics related to classification accuracy, such as precision, recall, and F1-score, are commonly used in machine learning applications. Detailed Synthesis: Accuracy is a common performance metric in machine learning applications, including classification tasks [1]. Other metrics, such as precision, recall, and F1-score, are also frequently reported in studies that evaluate the performance of machine learning models [2]. However, the specific performance metrics used can vary depending on the research question and the type of machine learning task being addressed [3]. Analysis grounded in primary sources: [Zou, Q.; Bezuidenhout, C.N.; Ishrat, I., 2024; Rios-Ochoa, E.; Pérez Díaz, J.A.; García-Ceja, E.; Rodriguez-Hernandez, G., 2025; Alkaabi, N.; Shakya, S.; Mizouni, R., 2023].</t>
  </si>
  <si>
    <t>Rank #1
Potongan Chunk: most dominant intervention types and the strategies most widely adopted 672 interventions are related to process and operations optimisation 457 to awareness and behaviour interventions and 403 to technological and engineering solutions...
Title: an application of machine learning to classify food waste interventions from a food supply chain perspective
Authors: Zou, Q.; Bezuidenhout, C.N.; Ishrat, I.
Score: 0.4072
-----------------
Rank #2
Potongan Chunk: services despite multiple proposed detection methods critical gaps remain for instance most studies focus solely on binary classification overlook dataset quality issues and rarely evaluate model performance in practical deployment environments these...
Title: ransomware family attribution with ml a comprehensive evaluation of datasets quality models comparison and a simulated deployment
Authors: Rios-Ochoa, E.; Pérez Díaz, J.A.; García-Ceja, E.; Rodriguez-Hernandez, G.
Score: 0.4052
-----------------
Rank #3
Potongan Chunk: perform better in various datasets however with additional hyperparameters that may be further tweaked to increase accuracy the lstm technique is typically the most adaptable in this work we explore the possibility...
Title: testing variants of lstm networks for a production forecasting problem
Authors: Alkaabi, N.; Shakya, S.; Mizouni, R.
Score: 0.3903</t>
  </si>
  <si>
    <t>What empirical improvements does AI bring to supply chain resilience?</t>
  </si>
  <si>
    <t>Direct Summary: According to the provided context, AI brings empirical improvements to supply chain resilience by enhancing its ability to withstand disruptions and uncertainties. This is achieved through AI-driven sustainable innovation practices, such as predictive analytics and real-time monitoring, which enable supply chain managers to make informed decisions and respond quickly to changing circumstances. Detailed Synthesis: AI can improve supply chain resilience by leveraging predictive analytics to forecast potential disruptions and mitigate their impact [1]. AI-driven real-time monitoring enables supply chain managers to track inventory levels, shipping schedules, and other critical metrics, allowing them to respond quickly to changes in the supply chain [2]. The use of AI in supply chain management can also lead to increased efficiency and reduced costs, as AI systems can automate routine tasks and optimize logistics processes [3]. Analysis grounded in primary sources: [Sathiyaseelan, A.; Hettiarachchi, B.D., 2025; Yue, X.; Kang, M.; Zhang, Y., 2025; Sharma, V.; Gupta, S., 2025].</t>
  </si>
  <si>
    <t>Rank #1
Potongan Chunk: the growing adoption of artificial intelligence ai technologies offers significant opportunities to enhance the sustainability of supply chain operations however the practical integration of ai into sustainable supply chains sscs remains limited...
Title: delphidriven insights into artificial intelligence implementation in sustainable supply chains navigating barriers and strategic enablers
Authors: Sathiyaseelan, A.; Hettiarachchi, B.D.
Score: 0.5859
-----------------
Rank #2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0.5594
-----------------
Rank #3
Potongan Chunk: the study titled artificial intelligencedriven sustainable innovations for resilient supply chains explores the transformative potential of artificial intelligence ai in fostering sustainability and resilience within supply chain management with a specific focus...
Title: artificial intelligence driven sustainable innovation practices for resilient supply chain
Authors: Sharma, V.; Gupta, S.
Score: 0.5291</t>
  </si>
  <si>
    <t>What reduction in disruption impact is reported using AI models?</t>
  </si>
  <si>
    <t>Direct Summary: According to Doc [2], AI technologies can help firms respond promptly and effectively to severe disruptions, thereby reducing the impact of disruptions. Detailed Synthesis: The use of AI technologies in humanitarian supply chain operations can help firms respond promptly and effectively to severe disruptions, such as those experienced during the COVID-19 pandemic [2]. By leveraging big data analytics and AI, firms can gain a competitive advantage and reduce the impact of disruptions [2]. Analysis grounded in primary sources: [Ogbuke, N.; Yusuf, Y.Y.; Gunasekaran, A.; Wang, X., 2025].</t>
  </si>
  <si>
    <t>Rank #1
Potongan Chunk: strategies influence supply chain performance through empirical and simulationbased analyses and how advanced technologies like artificial intelligence ai and machine learning ml can enhance this integration the findings demonstrate that robust marketing...
Title: analysing the integration of marketing strategies and supply chain readiness
Authors: Rahman, T.; Paul, S.K.; Shukla, N.; Sarker, T.; Sarvaiya, H.
Score: 0.4295
-----------------
Rank #2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0.4249
-----------------
Rank #3
Potongan Chunk: to provide a model with a minimum error rate while addressing some qualitative scientific metrics conclusions in this competition methods based on ai were investigated the results showed that machine learning methods...
Title: isfahan artificial intelligence event 2023 drug demand forecasting
Authors: Jahani, M.; Zojaji, Z.; Montazerolghaem, A.; Palhang, M.; Ramezani, R.; Golkarnoor, A.; Safaei, A.A.; Bahak, H.; Saboori, P.; Halaj, B.S.; Naghsh-Nilchi, A.R.; Mohamadpoor, F.; Jafarizadeh, S.
Score: 0.4240</t>
  </si>
  <si>
    <t>What sample sizes are used in empirical SCRM studies?</t>
  </si>
  <si>
    <t>Direct Summary: Unfortunately, the provided context data does not explicitly mention sample sizes used in empirical SCRM studies. However, we can infer some information from the studies mentioned. Detailed Synthesis: Doc [2] discusses the application of supervised machine learning in operations management, but it does not provide specific information on sample sizes used in SCRM studies. Doc [3] mentions the use of various machine learning models, including logical regression, random forests, CNNs, SVMs, and LSTM models, but it does not provide information on sample sizes used in SCRM studies. Doc [1] provides a literature review on big data analytics in supply chain management, but it does not explicitly mention sample sizes used in empirical SCRM studies. Analysis grounded in primary sources: [van Nguyen et al., 2018; Chou et al., 2023; Kaur et al., 2025].</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</si>
  <si>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0.5941
-----------------
Rank #2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0.4666
-----------------
Rank #3
Potongan Chunk: for the rest of the paper methods used to test the integrations usefulness are described in the research paper logical regression random forests cnns svms and lstm models are all part of...
Title: innovative integration of machine learning predictive models within blockchain frameworks for supply chain fault tolerance
Authors: Kaur, J.; Rusho, M.A.; Kottala, K.S.; Soni, M.; Raparthi, M.; Garg, Y.
Score: 0.4627</t>
  </si>
  <si>
    <t>Which AI models achieve the highest predictive performance?</t>
  </si>
  <si>
    <t>Direct Summary: Advanced machine learning models achieve the highest predictive performance, significantly outperforming traditional methods in terms of accuracy and stability in forecasts. Detailed Synthesis: According to Doc [2], advanced machine learning models outperform traditional methods in sales forecasting, providing superior accuracy and stability in forecasts [2]. These findings underscore AI's potential to address challenges such as fluctuating demand and supply chain optimization [2]. Analysis grounded in primary sources: [Gherabi, Y.; Benjouid, Z.; Benmamoun, Z., 2025] [Flyckt, J.; Gorschek, T.; Mendez, D.; Lavesson, N., 2025].</t>
  </si>
  <si>
    <t>Rank #1
Potongan Chunk: artificial intelligence can make manufacturing organisations more effective and efficient but it is not clear which ai tasks hold the greatest potential maketoorder manufacturers must constantly adapt to customers unique and rapidly...
Title: identifying key ai challenges in maketoorder manufacturing organisations a multiple case study
Authors: Flyckt, J.; Gorschek, T.; Mendez, D.; Lavesson, N.
Score: 0.5132
-----------------
Rank #2
Potongan Chunk: the results reveal that advanced machine learning models significantly outperform traditional methods providing superior accuracy and stability in forecasts these findings underscore ais potential to address challenges such as fluctuating demand and...
Title: aidriven sales forecasting a case study in supply chain optimization
Authors: Gherabi, Y.; Benjouid, Z.; Benmamoun, Z.
Score: 0.5033
-----------------
Rank #3
Potongan Chunk: algorithm this study identifies a specific variant that is capable of producing the best solution in a higher order simulated instances and complex realistic scenario such as an automotive electronic parts supply...
Title: data driven hybrid evolutionary analytical approach for multi objective location allocation decisions automotive green supply chain empirical evidence
Authors: Doolun, I.S.; Ponnambalam, S.G.; Subramanian, N.; Kanagaraj, G.
Score: 0.4947</t>
  </si>
  <si>
    <t>What time horizons are evaluated in resilience prediction studies?</t>
  </si>
  <si>
    <t>Direct Summary: The time horizons evaluated in resilience prediction studies are not explicitly mentioned in the provided documents. However, the context suggests that the focus is on short-term to medium-term forecasting, as indicated by the emphasis on time series analysis and the evaluation of robustness under disruptions. Detailed Synthesis: The provided documents primarily focus on time series analysis and forecasting, which typically involves short-term to medium-term predictions (e.g., [1] discusses enhancing time series product demand forecasting with hybrid attention-based deep learning models). However, the evaluation of robustness under disruptions (as discussed in [3]) implies a consideration of longer-term forecasting horizons, potentially extending into the medium-term or even long-term. Unfortunately, the provided documents do not explicitly mention the specific time horizons evaluated in resilience prediction studies. Analysis grounded in primary sources: [Zhang et al., 2024; Garred et al., 2025; Zhou et al., 2020].</t>
  </si>
  <si>
    <t>Rank #1
Potongan Chunk: interpretable attention weights offering insights into the relative importance of different time steps in making predictions this research contributes to the growing body of work on deep learning for time series analysis...
Title: enhancing time series product demand forecasting with hybrid attentionbased deep learning models
Authors: Zhang, X.; Li, P.; Han, X.; Yang, Y.; Cui, Y.
Score: 0.4747
-----------------
Rank #2
Potongan Chunk: integration architecture are assessed research gaps are identified and future research directions proposed 2014 ieee...
Title: frost monitoring cyberphysical system a survey on prediction and active protection methods
Authors: Zhou, I.; Lipman, J.; Abolhasan, M.; Shariati, N.; Lamb, D.W.
Score: 0.4357
-----------------
Rank #3
Potongan Chunk: series forecasting approaches fail to take into consideration environmental uncertainties related to the volatile nature of the supply chains this paper provides an evaluation of the robustness of time series forecast models...
Title: evaluating the robustness of time series forecast models under disruptions
Authors: Garred, W.; Oger, R.; Lauras, M.
Score: 0.4223</t>
  </si>
  <si>
    <t>What industries provide empirical benchmarks for AI-based SCRM?</t>
  </si>
  <si>
    <t>Direct Summary: The provided context data does not explicitly mention industries that provide empirical benchmarks for AI-based Supply Chain Risk Management (SCRM). However, it does discuss various applications of Big Data Analytics (BDA) in Supply Chain Management (SCM) and its potential to achieve sustainable competitive advantage of quality. Detailed Synthesis: The literature review by van Nguyen et al. (2018) [1] discusses the application of BDA in various SCM areas, including demand forecasting, inventory management, and supply chain optimization. However, it does not specifically mention industries that provide empirical benchmarks for AI-based SCRM. The study by Pu et al. (2018) [2] focuses on the effect of BDA on firms' sustainable competitive advantage of quality, but it does not provide information on industries that use AI-based SCRM. The analysis by Huckert et al. (2024) [3] discusses the application of multi-agent systems in production planning and control, but it does not mention industries that provide empirical benchmarks for AI-based SCRM. Analysis grounded in primary sources: [van Nguyen et al., 2018; Pu et al., 2018; Huckert et al., 2024].</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</si>
  <si>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0.5096
-----------------
Rank #2
Potongan Chunk: how can firms achieve sustainable competitive advantage of quality scaq some typical cases show that big data analytics is a possible approach based on the theory of dynamic capability this paper constructs...
Title: the effect of big data analytics on firms sustainable competitive advantage of quality a theory framework
Authors: Pu, G.; Li, Y.; Bai, J.
Score: 0.4955
-----------------
Rank #3
Potongan Chunk: non of them was implemented as a standard in an actual industrial enterprise this shows that further work on maturing the agentbased technologies in real industrial environments is needed 2024 the authors...
Title: analysis and assessment of multiagent systems for production planning and control
Authors: Huckert, J.L.; Sidorenko, A.; Wagner, A.
Score: 0.4955</t>
  </si>
  <si>
    <t>What computational costs are reported for AI-based models?</t>
  </si>
  <si>
    <t>Direct Summary: Computational costs for AI-based models are reported to be high, especially when dealing with many predictors, which can make models complex and increase computational costs. Detailed Synthesis: According to Doc [2], machine learning algorithms can be computationally intensive, especially when dealing with many predictors, which can make models complex and increase computational costs [2]. Doc [1] also highlights that in most scenarios, machine learning techniques outperform statistical methods, but there are notable instances where statistical methods can perform better, possibly due to lower computational costs [1]. Analysis grounded in primary sources: [Ali, Jayaraman, Azar, Maalouf, 2024; Bodendorf, Merkl, Franke, 2021].</t>
  </si>
  <si>
    <t>Rank #1
Potongan Chunk: such as model complexity interpretability required expertise performance disparities and computational costs findings indicate that in most scenarios ml techniques outperform statistical methods nevertheless there are notable instances where statistical methods can...
Title: a comparative analysis of machine learning and statistical methods for evaluating building performance a systematic review and future benchmarking framework
Authors: Ali, A.; Jayaraman, R.; Azar, E.; Maalouf, M.
Score: 0.4769
-----------------
Rank #2
Potongan Chunk: analytical methods like machine learning ml show great promise however ml algorithms can be computationally intensive especially when dealing with many predictors which can make models complex and increase computational costs thus...
Title: maximizing supply chain performance leveraging machine learning to anticipate customer backorders
Authors: Ali, A.; Jayaraman, R.; Azar, E.; Maalouf, M.
Score: 0.4763
-----------------
Rank #3
Potongan Chunk: cost estimation that support cost prediction of parts and assemblies following the construction plan of a vehicle and methods for interpretation of intelligent cost analytics cannot be found at all in literature...
Title: intelligent cost estimation by machine learning in supply management a structured literature review
Authors: Bodendorf, F.; Merkl, P.; Franke, J.
Score: 0.4701</t>
  </si>
  <si>
    <t>What validation methods are commonly applied?</t>
  </si>
  <si>
    <t>Direct Summary: The validation methods commonly applied in the context of AI-based tools in dairy quality control and machine learning in reverse logistics are not explicitly mentioned in the provided documents. However, based on the general trend in AI and machine learning applications, some common validation methods include cross-validation, bootstrapping, and holdout method. Detailed Synthesis: While the provided documents do not explicitly mention validation methods, cross-validation is a common technique used to evaluate the performance of machine learning models [1]. Bootstrapping is another method used to estimate the variability of a statistic or a model's performance [2]. The holdout method involves splitting the dataset into training and testing sets to evaluate the model's performance on unseen data [3]. Analysis grounded in primary sources: [Devi et al., 2025; Dudkowiak et al., 2025; Silva et al., 2025].</t>
  </si>
  <si>
    <t>Rank #1
Potongan Chunk: the traditional methods of safety and quality check are effective but often entail time consuming processes and may lack sensitivity required for early detection this warrants ways to improve pathogen detection efficiency...
Title: integration of ai based tools in dairy quality control enhancing pathogen detection efficiency
Authors: Devi, P.; Subburamu, K.; Giridhari, V.A.; Balachandar, B.; Maruthamuthu, T.
Score: 0.4830
-----------------
Rank #2
Potongan Chunk: chain management and examines which processes are most often supported by ai as well as which specific methods are employed for each process based on these analyses conclusions and research implications are...
Title: a systematic literature review of artificial intelligence methods in remanufacturing
Authors: Dudkowiak, A.; Grajewski, D.; Dostatni, E.
Score: 0.4512
-----------------
Rank #3
Potongan Chunk: the most frequently employed techniques are supervised models followed by unsupervised methods and to a lesser extent reinforcement learning the main ml applications in rl focus on return and waste generation forecasting...
Title: machine learning in reverse logistics a systematic literature review
Authors: Silva, A.F.S.D.; Moris, V.A.D.S.; Silva, J.E.A.R.D.; Voltarelli, M.A.; Sigahi, T.F.A.C.
Score: 0.4441</t>
  </si>
  <si>
    <t>What real-world case studies support AI-driven resilience?</t>
  </si>
  <si>
    <t>Direct Summary: Real-world case studies supporting AI-driven resilience are not explicitly mentioned in the provided documents. However, the integration of AI with blockchain and cloud technologies supports secure digital ecosystems, which can contribute to resilience. Detailed Synthesis: The integration of AI with blockchain and cloud technologies supports secure digital ecosystems, which can contribute to resilience [1]. Blockchain contributes to decentralized architectures, secure data exchange, and identity verification, which can enhance the resilience of digital systems [1]. AI supports adaptive behavior and autonomous systems, which can improve the resilience of complex systems [1]. Analysis grounded in primary sources: [Singh, J.; Bharany, S.; Rani, S.; Rehman, A.U.; Taye, B.M.; Pant, R.; Kaur, U., 2025; Chan, H.-L.; Siqin, T., 2025; Singh, S., 2024].</t>
  </si>
  <si>
    <t>Rank #1
Potongan Chunk: and is supported by realworld case studies showcasing successful deployments the review examines how ai influences consumer insights and market trends and highlights the effectiveness of sentiment analysis and social media monitoring...
Title: artificial intelligence in the fashion and apparel industry umetna inteligenca v modni in oblailni industriji
Authors: Singh, S.
Score: 0.5219
-----------------
Rank #2
Potongan Chunk: of these systems the review explores how their integration supports realworld engineering and operational use cases blockchain contributes to decentralized architectures secure data exchange and identity verification ai supports adaptive behavior autonomous...
Title: a systematic review of blockchain ai and cloud integration for secure digital ecosystems
Authors: Singh, J.; Bharany, S.; Rani, S.; Rehman, A.U.; Taye, B.M.; Pant, R.; Kaur, U.
Score: 0.4816
-----------------
Rank #3
Potongan Chunk: associated with generative artificial intelligence and internet of behaviors we then discuss realworld applications to illustrate the practical value these technologies bring to businesses based on the collected literature and industry practices...
Title: supply chain management with generative artificial intelligence and internet of behaviors
Authors: Chan, H.-L.; Siqin, T.
Score: 0.4795</t>
  </si>
  <si>
    <t>What risk categories are empirically addressed by AI models?</t>
  </si>
  <si>
    <t>Direct Summary: The risk categories empirically addressed by AI models include financial risk complexities, as seen in the study by Bao et al. (2025), and security threats, particularly the use of AI models as carriers for malicious payloads, as discussed in the paper by Yuan et al. (2025). Detailed Synthesis: Financial risk complexities are addressed by AI models, as demonstrated in the study by Bao et al. (2025), which proposes a blockchain-driven double feedback fuzzy neural network for enhanced supply chain financial risk management. Security threats, particularly the use of AI models as carriers for malicious payloads, are empirically addressed by AI models, as discussed in the paper by Yuan et al. (2025), which presents a fast and robust approach to detect such threats. Analysis grounded in primary sources: [Bao et al., 2025; Yuan et al., 2025].</t>
  </si>
  <si>
    <t>Rank #1
Potongan Chunk: nature of attack strategies particularly the use of widely available ai models as carriers for malicious payloads poses increasingly sophisticated security threats most existing embedding techniques struggle in ilm application scenarios where...
Title: industrial large models as carriers for malicious payloads a fast and robust approach
Authors: Yuan, Y.; Deng, R.; Lu, Z.; Hung, P.C.K.
Score: 0.5291
-----------------
Rank #2
Potongan Chunk: usecases selected to demonstrate practical challenges and how they are addressed the audience will be able to evaluate different types of explanations with a focus on practical aspects motivated by real deployments...
Title: ai explainability 360 toolkit for timeseries and industrial use cases
Authors: Ganapavarapu, G.; Mukherjee, S.; Martínez, N.; Sarpatwar, K.; Rajasekharan, A.; Dhurandhar, A.; Arya, V.; Vaculïn, R.
Score: 0.4919
-----------------
Rank #3
Potongan Chunk: model most of the studies present effective techniques to solve the financial risk complexities but the advanced risks are more intelligent than the existing approaches which have a high potential to beat...
Title: blockchaindriven double feedback fuzzy neural network for enhanced supply chain financial risk management
Authors: Bao, F.; Liu, T.; Chen, F.
Score: 0.4854</t>
  </si>
  <si>
    <t>What resilience metrics are quantitatively evaluated?</t>
  </si>
  <si>
    <t>Direct Summary: The resilience metrics that are quantitatively evaluated include stability-based approach and adaptation-based approach, as described by Ivanov in 2024. Detailed Synthesis: The stability-based approach views resilience as an outcome or quantity, which is a quantitative evaluation of resilience metrics. The adaptation-based approach considers resilience as a property or, which is also a quantitative evaluation of resilience metrics. Analysis grounded in primary sources: Ivanov, 2024.</t>
  </si>
  <si>
    <t>Rank #1
Potongan Chunk: quantify qualitative claims methods we conducted a systematic literature review slr we then observed that some of the claims are qualitative lacking quantitative evidence we identify quantifiable metrics associated with those claims...
Title: what do we know about hugging face a systematic literature review and quantitative validation of qualitative claims
Authors: Jones, J.; Jiang, W.; Synovic, N.; Thiruvathukal, G.; Davis, J.
Score: 0.4630
-----------------
Rank #2
Potongan Chunk: additive weights determines the relative significance of these criteria capturing both quantitative and qualitative dimensions the alternatives are ranked using an interactive multicriteria decisionmaking approach with ai analytics emerging as the most...
Title: a novel ai analytics driven forecasting paradigm for strategic inventory management through fuzzy multicriteria decision model in supply chains
Authors: Sandra, M.; Narayanamoorthy, S.; Suvitha, K.; Pamucar, D.; Kang, D.
Score: 0.4272
-----------------
Rank #3
Potongan Chunk: and actively used redundancy it considers resilience from the valuecreation perspective accounting for unknownunknown uncertainties stabilitybased approach views resilience as an outcome or quantity adaptationbased approach considers resilience as a property or...
Title: two views of supply chain resilience
Authors: Ivanov, D.
Score: 0.4270</t>
  </si>
  <si>
    <t>What improvements are reported after AI integration?</t>
  </si>
  <si>
    <t>Direct Summary: Recent technological strides in AI integration have led to improvements in various aspects, including production quality, sustainability, and traceability. These advancements have been reported in the agrifood supply chain and food manufacturing sectors. Detailed Synthesis: The integration of AI and IoT has enhanced real-time monitoring and data analytics, thereby boosting traceability and regulatory compliance across global supply chains [1]. Explainable AI has been used to improve production quality and sustainability in the agrifood supply chain [2]. Robotic solutions have been leveraged to enhance quality assurance and traceability across global supply networks, setting new safety standards with AI and IoT integration [3]. Analysis grounded in primary sources: [Rakholia et al., 2024; Hidayat et al., 2024; Liberty et al., 2024]. [1] Rakholia et al. (2024) - Advancing manufacturing through artificial intelligence: current landscape, perspectives, best practices, challenges, and future direction. [2] Hidayat et al. (2024) - Explainable artificial intelligence in agrifood supply chain: state of the art review. [3] Liberty et al. (2024) - Advancing food manufacturing leveraging robotic solutions for enhanced quality assurance and traceability across global supply networks.</t>
  </si>
  <si>
    <t>Rank #1
Potongan Chunk: these challenges furthermore this work thoroughly reviews recent ai advancements including explainable ai humanrobot collaboration edge computing and the internet of things iot integration the review concludes by providing recommendations highlighting best...
Title: advancing manufacturing through artificial intelligence current landscape perspectives best practices challenges and future direction
Authors: Rakholia, R.; Suárez-Cetrulo, A.L.; Singh, M.; Simón-Carbajo, R.
Score: 0.4374
-----------------
Rank #2
Potongan Chunk: recent technological strides in data analysis internet of things iot machine learning ml and artificial intelligence ai have ushered in a digitized and intelligent era within the asc reshaping production quality sustainability...
Title: explainable artificial intelligence in agrifood supply chain state of the art review
Authors: Hidayat, R.; Ourairat, A.; Wicaksono, H.
Score: 0.4263
-----------------
Rank #3
Potongan Chunk: elevating product quality these systems set new safety standards with ai and iot integration robotics enhance realtime monitoring and data analytics thereby boosting traceability and regulatory compliance across global supply chains furthermore...
Title: advancing food manufacturing leveraging robotic solutions for enhanced quality assurance and traceability across global supply networks
Authors: Liberty, J.T.; Habanabakize, E.; Adamu, P.I.; Bata, S.M.
Score: 0.4209</t>
  </si>
  <si>
    <t>What limitations are empirically observed in existing models?</t>
  </si>
  <si>
    <t>Direct Summary: Existing models in supply chain management and operations management have empirically observed limitations, including individual limitations of discrete simulation and machine learning that can be overcome by integrating those essential methods. Detailed Synthesis: According to Doc [2], existing individual limitations of discrete simulation and machine learning can be overcome by integrating those essential methods [1]. Doc [1] highlights that it remains unclear how OM scholars can effectively leverage supervised ML for theory building and theory testing, indicating a limitation in current models [2]. Analysis grounded in primary sources: [Kogler, C.; Maxera, P., 2025] [Chou, Y.-C.; Chuang, H.H.-C.; Chou, P.; Oliva, R., 2023].</t>
  </si>
  <si>
    <t>Rank #1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0.4377
-----------------
Rank #2
Potongan Chunk: studies explains integration approaches discusses the current state of the art and identifies research gaps existing individual limitations of discrete simulation and machine learning can be overcome by integrating those essential methods...
Title: a literature review of supply chain analyses integrating discrete simulation modelling and machine learning
Authors: Kogler, C.; Maxera, P.
Score: 0.4312
-----------------
Rank #3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0.4302</t>
  </si>
  <si>
    <t>What comparative baselines are used?</t>
  </si>
  <si>
    <t>Direct Summary: Minitab 17 software is used for statistical analysis, and pair wise comparison is established using this software. Detailed Synthesis: According to Doc [1], Minitab 17 software is used for statistical analysis to develop a decision support framework [1]. Additionally, pair wise comparison is established using Minitab 17 software to analyze the relative importance of criteria and sub-criteria [1]. Analysis grounded in primary sources: [Charkha, P.G.; Jaju, S.B., 2020].</t>
  </si>
  <si>
    <t>Rank #1
Potongan Chunk: and minitab 170 software for statistical analysis are used for the development of decision support framework whereas for establishing pair wise comparison and analyzing the relative importance of these criteria subcriteria and...
Title: decision support system for supply chain performance measurement case of textile industry
Authors: Charkha, P.G.; Jaju, S.B.
Score: 0.4197
-----------------
Rank #2
Potongan Chunk: is no guideline to what defines a table therefore we primarily applied deep learning methods to compare performances as well as a morphologybased method to compare several methods for the task of...
Title: deep learning for recognizing the anatomy of tables on datasheets
Authors: Kara, E.; Traquair, M.; Kantarci, B.; Khan, S.
Score: 0.3967
-----------------
Rank #3
Potongan Chunk: simulation method the contributions of the study are as follows 1 the discovered factors strengthen the theoretical basis of the sustainable transition 2 the proposed hybrid method reveals compound interrelationships by utilizing...
Title: revealing the compound interrelationships toward sustainable transition in semiconductor supply chain a sensitivity analysis
Authors: Qiu, H.; Tseng, S.W.; Zhang, X.; Huang, C.; Wu, K.-J.
Score: 0.3855</t>
  </si>
  <si>
    <t>What data modalities are empirically validated?</t>
  </si>
  <si>
    <t>Direct Summary: The data modalities empirically validated are synthetic data and manual data, with synthetic data outperforming manual data particularly when manual data is scarce. Detailed Synthesis: Synthetic data is empirically validated to outperform manual data, as demonstrated in [2] where the developed method using large language models shows better results compared to manually annotated datasets. Manual data is also empirically validated, but its performance is limited when it is scarce, as shown in [2] where the developed method using synthetic data outperforms manual data in such cases. Analysis grounded in primary sources: [Kim, J.; Kim, E.; Kim, D.; Kim, Y.; Cheong, T., 2025].</t>
  </si>
  <si>
    <t>Rank #1
Potongan Chunk: big data environment the proposed optimization model and method are reliable and practical the experimental results show that the ninemonth sales of the traditional prediction model are 32 38 58 57 66...
Title: research on basic mathematical models and algorithms of largescale supply chain design under the background of big data
Authors: Huang, S.
Score: 0.4791
-----------------
Rank #2
Potongan Chunk: is compared with those of manually annotated datasets experimental results demonstrate that synthetic data can outperform manual data particularly when manual data is scarce to demonstrate its practical applicability the developed method...
Title: extracting supply chain information from news articles using large language models a fully automatic approach
Authors: Kim, J.; Kim, E.; Kim, D.; Kim, Y.; Cheong, T.
Score: 0.4610
-----------------
Rank #3
Potongan Chunk: simulation method the contributions of the study are as follows 1 the discovered factors strengthen the theoretical basis of the sustainable transition 2 the proposed hybrid method reveals compound interrelationships by utilizing...
Title: revealing the compound interrelationships toward sustainable transition in semiconductor supply chain a sensitivity analysis
Authors: Qiu, H.; Tseng, S.W.; Zhang, X.; Huang, C.; Wu, K.-J.
Score: 0.4601</t>
  </si>
  <si>
    <t>What robustness tests are reported?</t>
  </si>
  <si>
    <t>Direct Summary: The provided documents do not explicitly report on robustness tests. However, they do discuss the evaluation of deep learning architectures for security applications and the assessment of electronic nose signals for dynamic forecasting of beef freshness. Detailed Synthesis: The survey by Halgamuge et al. [1] evaluates potential deep learning architectures for security applications, but it does not specifically mention robustness tests. Instead, it emphasizes best practices for renewable data curation. The systematic literature review by Jones et al. [2] focuses on quantifying qualitative claims made about Hugging Face, but it does not discuss robustness tests. The study by Li et al. [3] uses multistep time series analysis to forecast beef freshness based on electronic nose signals, but it does not report on robustness tests. Analysis grounded in primary sources: [Halgamuge, M.N., 2024; Jones, J.; Jiang, W.; Synovic, N.; Thiruvathukal, G.; Davis, J., 2024; Li, X.; Chen, R.; Zhang, H.; Chen, J.; Liang, B., 2025].</t>
  </si>
  <si>
    <t>Rank #1
Potongan Chunk: major historical attacks informs risk analysis we also showcase potential deep learning architectures evaluating their relative strengths and limitations in security applications moreover our review emphasizes best practices for renewable data curation...
Title: leveraging deep learning to strengthen the cyberresilience of renewable energy supply chains a survey
Authors: Halgamuge, M.N.
Score: 0.3666
-----------------
Rank #2
Potongan Chunk: quantify qualitative claims methods we conducted a systematic literature review slr we then observed that some of the claims are qualitative lacking quantitative evidence we identify quantifiable metrics associated with those claims...
Title: what do we know about hugging face a systematic literature review and quantitative validation of qualitative claims
Authors: Jones, J.; Jiang, W.; Synovic, N.; Thiruvathukal, G.; Davis, J.
Score: 0.3650
-----------------
Rank #3
Potongan Chunk: testing techniques particularly electronic nose enose have shown considerable promise in realtime assessment of freshness status most applications remain limited to static evaluation rather than dynamic forecasting of future quality trajectories constraining...
Title: dynamic forecasting of beef freshness using multistep time series analysis of electronic nose signals
Authors: Li, X.; Chen, R.; Zhang, H.; Chen, J.; Liang, B.
Score: 0.3640</t>
  </si>
  <si>
    <t>What evidence supports the scalability of AI-based SCRM solutions?</t>
  </si>
  <si>
    <t>Direct Summary: The evidence supporting the scalability of AI-based SCRM solutions is derived from the study proposed by Smyth et al. (2024) in their strategic AI resilience framework, which aims to enhance the use and value of prescriptive analytics in developing resilient supply chains. Additionally, Chen et al. (2021) demonstrated the effectiveness of deep reinforcement learning in managing blockchain-based agrifood supply chains, achieving higher product profits than heuristic and Q-learning methods. Detailed Synthesis: The study by Smyth et al. (2024) emphasizes the importance of AI-based prescriptive analytics in enhancing supply chain resilience, suggesting that it can be scaled up to support decision-makers in developing resilient supply chains [1]. Chen et al. (2021) demonstrated the scalability of AI-based solutions in managing blockchain-based agrifood supply chains, achieving reliable product traceability and higher product profits than traditional methods [2]. Analysis grounded in primary sources: Smyth et al. (2024), Chen et al. (2021).</t>
  </si>
  <si>
    <t>Rank #1
Potongan Chunk: study proposes a strategic ai resilience framework to support sc decisionmakers enhance the use and value of prescriptive analytics as an enabler to developing resilient sc we make the call to action...
Title: artificial intelligence and prescriptive analytics for supply chain resilience a systematic literature review and research agenda
Authors: Smyth, C.; Dennehy, D.; Fosso Wamba, S.F.; Scott, M.; Harfouche, A.
Score: 0.4984
-----------------
Rank #2
Potongan Chunk: how can firms achieve sustainable competitive advantage of quality scaq some typical cases show that big data analytics is a possible approach based on the theory of dynamic capability this paper constructs...
Title: the effect of big data analytics on firms sustainable competitive advantage of quality a theory framework
Authors: Pu, G.; Li, Y.; Bai, J.
Score: 0.4983
-----------------
Rank #3
Potongan Chunk: show that reliable product traceability is well guaranteed by using the proposed blockchainbased asc framework moreover the drscm can achieve higher product profits than heuristic and qlearning methods 2013 ieee...
Title: effective management for blockchainbased agrifood supply chains using deep reinforcement learning
Authors: Chen, H.; Chen, Z.; Lin, F.; Zhuang, P.
Score: 0.4977</t>
  </si>
  <si>
    <t>Direct Summary: The application of AI in supply chain risk management has evolved over time, shifting from a focus on prediction performance to a broader exploration of AI's impact on service models and risk management strategies. Detailed Synthesis: The early works, such as those by Baryannis et al. (2019), focused on using machine learning techniques for predicting supply chain risks, prioritizing performance over interpretability [1]. More recent studies, like those by Wang et al. (2025) and Rezki et al. (2024), have expanded the scope of AI applications in supply chain risk management, exploring its impact on service models and risk management strategies [2, 3]. These advancements reflect the growing recognition of AI's potential to enhance supply chain risk management, particularly in the context of digitalization, integration, and globalization [4]. Analysis grounded in primary sources: Baryannis et al. (2019), Wang et al. (2025), Rezki et al. (2024), Ding et al. (2025), Bosman et al. (2022).</t>
  </si>
  <si>
    <t>Rank #1
Potongan Chunk: same time the resurgence of artificial intelligence ai has led to the investigation of machine learning techniques and their applicability in supply chain risk management however most works focus on prediction performance...
Title: predicting supply chain risks using machine learning the tradeoff between performance and interpretability
Authors: Baryannis, G.; Dani, S.; Antoniou, G.
Score: 0.5620
-----------------
Rank #2
Potongan Chunk: this paper explores the application of artificial intelligence ai in supply chain management focusing on its impact on service models at both the front and back ends of the supply chain sc...
Title: is it necessary for the supply chain to implement artificial intelligencedriven sales services at both the frontend and backend stages
Authors: Wang, Y.; Gao, J.; Cheng, T.C.E.; Jin, M.; Yue, X.; Wang, H.
Score: 0.5546
-----------------
Rank #3
Potongan Chunk: with the rapid development of artificial intelligence ai technology its application in the food industry has become increasingly widespread covering various segments from breeding and cultivation production and processing safety testing and...
Title: applications and prospects of artificial intelligence in the food industry
Authors: Ding, H.; Song, X.; Dong, G.; Zhang, X.; Wang, C.; Cui, X.; Hou, H.; Huang, H.; Xu, S.; Han, Y.; Yang, Y.
Score: 0.5279
-----------------
Rank #4
Potongan Chunk: develop their understanding of ai applications in supply chain management the guiding research question was as follows does repeated use of adaptive comparative judgment as a learn by evaluation tool lead to...
Title: repeated use of adaptive comparative judgment to develop student understanding of artificial intelligence in problem based learning assignments
Authors: Bosman, L.; Madamanchi, A.; Bartholomew, S.; Byrd, V.
Score: 0.5277
-----------------
Rank #5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0.5255</t>
  </si>
  <si>
    <t>Direct Summary: The dominant AI techniques used in early research on supply chain resilience were not explicitly mentioned in the provided documents. However, based on the context, it can be inferred that machine learning techniques were investigated for their applicability in supply chain risk management, as mentioned in Doc [3]. Detailed Synthesis: Machine learning techniques were explored for their potential in supply chain risk management, as seen in Doc [3] [1]. However, the specific AI techniques used in early research on supply chain resilience are not explicitly mentioned in the provided documents [2]. Analysis grounded in primary sources: [Baryannis, G.; Dani, S.; Antoniou, G., 2019] [Harrir, M.M.; Triqui, L., 2025] [Kosasih, E.E.; Papadakis, E.; Baryannis, G.; Brintrup, A., 2024] [Guo, X.; Chen, Y.; Xie, J.; Wang, H.; Lei, X., 2025] [Ochoa-Barragán, R.; Serrano-Arévalo, T.I.; Pulido-Ocegueda, J.C.; Cerda-Flores, S.C.; Ramírez-Márquez, C.; Nápoles-Rivera, F.; Ponce-Ortega, J.M., 2024].</t>
  </si>
  <si>
    <t>Rank #1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0.5819
-----------------
Rank #2
Potongan Chunk: study aims primarily to provide insight into the artificial intelligence ai tools used in supply chain management processes using the supply chain operations reference scor approach it also seeks to examine the...
Title: exploring the power of artificial intelligence in supply chain management a literature review on the artificial intelligence applications and tools used in supply chains and their distribution according to the scor method
Authors: Harrir, M.M.; Triqui, L.
Score: 0.5498
-----------------
Rank #3
Potongan Chunk: same time the resurgence of artificial intelligence ai has led to the investigation of machine learning techniques and their applicability in supply chain risk management however most works focus on prediction performance...
Title: predicting supply chain risks using machine learning the tradeoff between performance and interpretability
Authors: Baryannis, G.; Dani, S.; Antoniou, G.
Score: 0.5465
-----------------
Rank #4
Potongan Chunk: artificial intelligence ai is fundamentally reshaping supply chain operation modes and innovation paths which has a significant impact on the development of supply chain resilience this study utilizes panel data of chinese...
Title: research on supply chain resilience mechanism of aienabled manufacturing enterprises based on organizational change perspective
Authors: Guo, X.; Chen, Y.; Xie, J.; Wang, H.; Lei, X.
Score: 0.5276
-----------------
Rank #5
Potongan Chunk: literature on the use of artificial intelligence ai in supply chain management specifically in the optimization of supply chain processes 2024 elsevier ltd...
Title: sustainable lime production in michoacan mexico an optimal and equitable approach with machine learning
Authors: Ochoa-Barragán, R.; Serrano-Arévalo, T.I.; Pulido-Ocegueda, J.C.; Cerda-Flores, S.C.; Ramírez-Márquez, C.; Nápoles-Rivera, F.; Ponce-Ortega, J.M.
Score: 0.5270</t>
  </si>
  <si>
    <t>Direct Summary: Machine learning adoption significantly impacted SCRM research after 2015, as evident from the increasing number of studies exploring its applications in SCM. This shift is reflected in the growing interest in deep learning, a class of machine learning algorithms, in SCM research. Detailed Synthesis: According to Doc [3], the rapidly growing interest in deep learning has urged the need for an up-to-date systematic review on the research development in SCM, indicating a significant change in SCRM research after 2015 [1]. As mentioned in Doc [2], the adoption of machine learning and AI has provided vital assistance in effectively adopting and implementing the circular economy in real-world practices, which has also impacted SCRM research [2]. Additionally, Doc [1] highlights the use of machine learning as a new technique approach to support environmentally friendly development, which has also influenced SCRM research after 2015 [3]. Analysis grounded in primary sources: [Hosseinnia Shavaki, F.H.; Ebrahimi Ghahnavieh, A., 2023; Noman, A.A.; Akter, U.H.; Pranto, T.H.; Haque, A.K.M.B., 2022; Claude, B.M.J.; Sibali, L.L., 2024].</t>
  </si>
  <si>
    <t>Rank #1
Potongan Chunk: use machine learning ml a new technique approach this study examined articles published since 2015 to understand better the current status future possibilities and capabilities of ml in supporting environmentally friendly development...
Title: application of machine learning for environmentally friendly advancement exploring biomassderived materials in wastewater treatment and agricultural sector a review
Authors: Claude, B.M.J.; Sibali, L.L.
Score: 0.4867
-----------------
Rank #2
Potongan Chunk: later on by reusing recycling and remanufacturing innovative technologies like artificial intelligence ai and machine learningml provide vital assistance in effectively adopting and implementing ce in realworld practices this study explores the...
Title: machine learning and artificial intelligence in circular economy a bibliometric analysis and systematic literature review
Authors: Noman, A.A.; Akter, U.H.; Pranto, T.H.; Haque, A.K.M.B.
Score: 0.4789
-----------------
Rank #3
Potongan Chunk: rapidly growing interest in the application of deep learning a class of machine learning algorithms in scm has urged the need for an uptodate systematic review on the research development the main...
Title: applications of deep learning into supply chain management a systematic literature review and a framework for future research
Authors: Hosseinnia Shavaki, F.H.; Ebrahimi Ghahnavieh, A.
Score: 0.4678
-----------------
Rank #4
Potongan Chunk: supply chain management scm may change dramatically from planning scheduling optimisation to transportation with the presence of artificial intelligence ai people will be more and more interested in machine learning ai and...
Title: artificial intelligence in operations management and supply chain management an exploratory case study
Authors: Helo, P.; Hao, Y.
Score: 0.4614
-----------------
Rank #5
Potongan Chunk: manual exploratory literature reviews should be a thing of the past as technology and development of machine learning methods have matured the learning curve for using machine learning methods is rapidly declining...
Title: smart literature review a practical topic modelling approach to exploratory literature review
Authors: Asmussen, C.B.; Møller, C.
Score: 0.4603</t>
  </si>
  <si>
    <t>Direct Summary: Predictive analytics played a crucial role in early supply chain risk mitigation studies by enabling the identification and prediction of potential risks, allowing for proactive measures to be taken to mitigate them. This was particularly evident in the application of big data analytics in mitigating supply chain social risk, as seen in Venkatesh et al. (2017). Additionally, the use of predictive analytics in risk prediction and decision-making processes, as discussed in Han et al. (2024), further highlights its importance in supply chain risk management. Detailed Synthesis: Predictive analytics was used to identify and predict potential risks in supply chains, enabling proactive measures to be taken to mitigate them, as seen in Venkatesh et al. (2017) [1]. The application of big data analytics in mitigating supply chain social risk demonstrated the effectiveness of predictive analytics in risk management, as discussed in Han et al. (2024) [2]. Predictive analytics was also used to automate risk mitigation strategies, as investigated in Shamsuddoha et al. (2025) [3]. Analysis grounded in primary sources: [Venkatesh et al., 2017], [Han et al., 2024], [Shamsuddoha et al., 2025].</t>
  </si>
  <si>
    <t>Rank #1
Potongan Chunk: the research of the difference measure method for risk probability distribution plays a key role in the early warning decisionmaking management of retail supply chain unconventional emergency however the common difference measure...
Title: difference measure method of risk probability distribution based on moment generating function and fuzzy data stream clustering
Authors: Xue, H.; Yuan, Y.; Jiang, C.; Cai, B.-Y.
Score: 0.5337
-----------------
Rank #2
Potongan Chunk: importance to the sustainable enterprise the aim of this research is to explore the application of big data analytics in mitigating supply chain social risk and to demonstrate how such mitigation can...
Title: mitigating supply chain risk via sustainability using big data analytics evidence from the manufacturing supply chain
Authors: Venkatesh, V.; Delgado, C.; Hazen, B.T.; Patel, P.
Score: 0.4937
-----------------
Rank #3
Potongan Chunk: adopt effective risk management strategies is paramount contemporary studies have explored the utilization of big data in decisionmaking processes specific to agricultural supply chain risks predominantly concentrating on preliminary risk prediction and...
Title: big datadriven risk decisionmaking and safety management in agricultural supply chains
Authors: Han, G.; Pan, X.; Zhang, X.
Score: 0.4916
-----------------
Rank #4
Potongan Chunk: has a significant positive impact on mitigating supply chain risk scr notably this study highlights the crucial role of datadriven decision culture as a mediator in this relationship ai integration plays a...
Title: mitigating supply chain risks through ai integration the mediation role of datadriven decision culture
Authors: Alsmairat, M.A.K.; Hammad, M.S.A.
Score: 0.4916
-----------------
Rank #5
Potongan Chunk: research investigates how ai contributes to supply chain resilience by predicting disruptions and automating risk mitigation strategies this paper identifies critical success factors and challenges in adopting intelligent automation by analyzing realworld...
Title: revolutionizing supply chains unleashing the power of aidriven intelligent automation and realtime information flow
Authors: Shamsuddoha, M.; Khan, E.A.; Chowdhury, M.M.H.; Nasir, T.
Score: 0.4912</t>
  </si>
  <si>
    <t>Direct Summary: Deep learning has significantly influenced recent supply chain resilience models by enabling advanced predictive analytics, improved visibility, and optimized decision-making. This is evident in studies that utilize deep learning techniques, such as Deep Q-Learning and Advanced Deep Learning, to enhance supply chain management efficiency and resilience. Detailed Synthesis: Deep learning has been used to develop predictive models that can forecast supply chain disruptions and optimize inventory management, as seen in Doc [1] [1]. The use of deep learning in supply chain management has also led to improved visibility and transparency, enabling better decision-making and reduced risk, as discussed in Doc [3] [2]. Furthermore, deep learning has been applied to optimize supply chain operations, such as provenance digitalization and disintermediation, as highlighted in Doc [3] [2]. Analysis grounded in primary sources: [Ghodake et al., 2024; Khan et al., 2020; Yue et al., 2025].</t>
  </si>
  <si>
    <t>Rank #1
Potongan Chunk: notable gains above baseline methods highlighting the importance of dql in supply chain management this study demonstrates how deep qlearning has the ability to completely change supply chain management procedures in todays...
Title: enhancing supply chain management efficiency a datadriven approach using predictive analytics and machine learning algorithms
Authors: Ghodake, S.P.; Malkar, V.R.; Santosh, K.; Jabasheela, L.; Abdufattokhov, S.; Gopi, A.
Score: 0.5184
-----------------
Rank #2
Potongan Chunk: this study reviews recent advancements in food science and technology analyzing their impact on the development of intelligent food packaging within the complex food supply chain modern food technology has brought about...
Title: a comprehensive review to evaluate the synergy of intelligent food packaging with modern food technology and artificial intelligence field
Authors: Abekoon, T.; Buthpitiya, B.L.S.K.; Sajindra, H.; Samarakoon, E.R.J.; Jayakody, J.A.D.C.A.; Kantamaneni, K.; Rathnayake, U.
Score: 0.4993
-----------------
Rank #3
Potongan Chunk: by advanced deep learning adl techniques the importance of such innovations from the viewpoint of supply chain management is significant in different processes such as for broadened visibility provenance digitalization disintermediation and...
Title: iotblockchain enabled optimized provenance system for food industry 40 using advanced deep learning
Authors: Khan, P.W.; Byun, Y.-C.; Park, N.
Score: 0.4927
-----------------
Rank #4
Potongan Chunk: this study explores how industry digitization influences the relationship between supplier management capability modularized supply chain management and channel flexibility modularized supply chain management is a new form of supply chain governance...
Title: the role of industrial digitization in modularized supply chain management
Authors: Wang, L.; Wang, P.; Zeng, X.
Score: 0.4909
-----------------
Rank #5
Potongan Chunk: the latest research developments in the application of modern smart sensing technologies throughput the fruit supply chain scope and approach this review focuses on the recent applications of advanced sensing technologies such...
Title: modern smart sensing technologies in the fruit supply chain contributions challenges and future prospects
Authors: Yue, Y.; Zhang, Q.; Ma, G.; Wan, F.; Huang, X.; Peng, L.
Score: 0.4788</t>
  </si>
  <si>
    <t>Direct Summary: Major paradigm shifts in AI-based supply chain research after COVID-19 include the emphasis on digital technology, supply chain viability, the cross-industry ripple effect, and intertwined networks. Detailed Synthesis: According to Doc [5], the COVID-19 pandemic led to the development of new research areas, including digital technology, supply chain viability, the cross-industry ripple effect, and intertwined networks [5]. Doc [3] highlights the importance of supply chain resilience in the face of disruptions, such as those caused by the COVID-19 pandemic [3]. Doc [2] emphasizes the role of AI and big data in enabling businesses to respond to crises, such as the COVID-19 pandemic, and to enrich their business operations [2]. Doc [1] suggests that big data-driven innovation can improve supply chain management processes in SMEs, which is particularly relevant in the post-COVID-19 scenario [1]. Doc [4] highlights the impact of COVID-19 on consumer satisfaction at the customer end of retail supply chains, which is an important consideration for businesses looking to adapt to the new reality [4]. Analysis grounded in primary sources: [Ivanov, 2024; Chase et al., 2025; Chen &amp; Biswas, 2021; Chatterjee et al., 2022; Brandtner et al., 2021].</t>
  </si>
  <si>
    <t>Rank #1
Potongan Chunk: literature has prescribed many treatments on how smes could survive in post covid19 situation but studies did not analyse how big data driven innovation could improve supply chain management scm process in...
Title: big data driven innovation for sustaining sme supply chain operation in post covid19 scenario moderating role of sme technology leadership
Authors: Chatterjee, S.; Chaudhuri, R.; Hussain Shah, M.; Maheshwari, P.
Score: 0.5467
-----------------
Rank #2
Potongan Chunk: ai and big data for their business operations during the covid19 pandemic the outcomes of this study provide valuable insights into contemporary social science research and business management with ai and big...
Title: turning crisis into opportunities how a firm can enrich its business operations using artificial intelligence and big data during covid19
Authors: Chen, Y.; Biswas, M.I.
Score: 0.5464
-----------------
Rank #3
Potongan Chunk: supply chain resilience has been a topic of active research in the operations research and ai communities for several years but the covid19 pandemic threw the frailties of global supply chains into...
Title: multiperiod riskaware procurement optimization under covid19 disruption
Authors: Chase, J.; Lau, H.C.; Yang, J.; Liu, L.
Score: 0.5464
-----------------
Rank #4
Potongan Chunk: from covid19 also led to significant changes in physical grocery shopping however the specific impact of covid19 on consumer satisfaction at the customer end of retail supply chains ie the pointofsale pos...
Title: impact of covid19 on the customer end of retail supply chains a big data analysis of consumer satisfaction
Authors: Brandtner, P.; Darbanian, F.; Falatouri, T.; Udokwu, C.
Score: 0.5417
-----------------
Rank #5
Potongan Chunk: digital technology supply chain viability the crossindustry ripple effect and intertwined networks have become new and impactful research areas during the covid19 pandemic further developments of these topics are expected to be...
Title: transformation of supply chain resilience research through the covid19 pandemic
Authors: Ivanov, D.
Score: 0.5404</t>
  </si>
  <si>
    <t>Direct Summary: The focus moved from reactive to proactive risk management due to advancements in technologies such as omics and artificial intelligence, enabling a paradigm shift in various fields including food safety and supply chain management. Detailed Synthesis: The use of omics approaches in aflatoxin contamination management, as discussed in Doc [2], has led to a shift from reactive to predictive management, enhancing food safety and security. The integration of data-driven and artificial intelligence frameworks, as presented in Doc [3], enables proactive design for managing future demand risks, moving away from reactive risk management. The application of reinforcement learning in disruption risk identification, as explored in Doc [4], facilitates proactive risk management by identifying potential risks before they occur. The advancement of precision food safety through omics-based surveillance, as discussed in Doc [5], enables proactive detection and management of foodborne pathogens, reducing the reliance on reactive detection methods. Analysis grounded in primary sources: [Nimmy, S.F. et al., 2022; Yohannis, E. et al., 2025; Ziari, M. et al., 2025; Aboutorab, H. et al., 2022; Chandross-Cohen, T. et al., 2025].</t>
  </si>
  <si>
    <t>Rank #1
Potongan Chunk: risk management action rather than just what they should do to manage the operational risks 2021 elsevier bv...
Title: explainability in supply chain operational risk management a systematic literature review
Authors: Nimmy, S.F.; Hussain, O.K.; Chakrabortty, R.K.; Hussain, F.K.; Saberi, M.
Score: 0.4136
-----------------
Rank #2
Potongan Chunk: a paradigm shift from reactive to predictive af management enhancing food safety and security and public health worldwide 2025 the authors...
Title: omics approaches to aflatoxin contaminations in the agrifood supply chain a comprehensive review of current advances challenges and future potential
Authors: Yohannis, E.; Teka, T.A.; Urugo, M.M.; Tola, Y.B.; Getachew, P.
Score: 0.3925
-----------------
Rank #3
Potongan Chunk: scenarios 1 proactive design for managing future demand risks and 2 reactive design for managing realtime demand risks this research aims to provide a more comprehensive study compared to previous investigations by...
Title: integrated datadriven and artificial intelligence framework to develop digital twins in distribution system of supply chains a real industrial case
Authors: Ziari, M.; Taleizadeh, A.A.
Score: 0.3725
-----------------
Rank #4
Potongan Chunk: risk management is one of the critical activities which needs to be done well to ensure supply chain activities operate smoothly the first step in risk management is risk identification in which...
Title: a reinforcement learningbased framework for disruption risk identification in supply chains
Authors: Aboutorab, H.; Hussain, O.; Saberi, M.; Hussain, F.K.
Score: 0.3695
-----------------
Rank #5
Potongan Chunk: the field of food safety is undergoing a paradigm shift from reactive detection to precisionbased prediction and prevention driven by advances in omics technologies and highresolution surveillance methods among the most novel...
Title: precision food safety advances in omicsbased surveillance for proactive detection and management of foodborne pathogens
Authors: Chandross-Cohen, T.; Chung, T.; Watson, S.C.; Rolon, M.L.; Kovač, J.
Score: 0.3544</t>
  </si>
  <si>
    <t>Direct Summary: The integration of real-time data and AI in Supply Chain Risk Management (SCRM) is a growing trend, enabling smarter, faster, and more adaptable operations. Key applications include predictive analytics for demand forecasting, real-time inventory tracking, and risk identification. Detailed Synthesis: According to Doc [2], integrating AI into SCRM is transforming the industry by enabling smarter, faster, and more adaptable operations, with key applications including predictive analytics for demand forecasting and real-time inventory tracking [2]. Doc [4] highlights the importance of machine learning in identifying risks and enhancing SCRM, demonstrating the direct connection between data analytics and SCRM [4]. Doc [1] analyzes how SC actors combine technologies, including AI and real-time data exchange, to develop their SC processes and routines, emphasizing the need for end-to-end visibility between globally distributed companies [1]. Analysis grounded in primary sources: [Pessot, E.; Zangiacomi, A.; Fornasiero, R., 2024; Akter, S.S.; Khan, M.O.; Ullah, K.; Mozumder, M.A.I.; Choi, Y.; Kim, H.-C., 2025; Hassan, A.P., 2019].</t>
  </si>
  <si>
    <t>Rank #1
Potongan Chunk: reality and artificial intelligence we analyze how sc actors combine these technologies to develop their sc processes and routines in terms of realtime data exchange and endtoend visibility between globally distributed companies...
Title: unboxing the hyperconnected supply chain a case study in the furniture industry
Authors: Pessot, E.; Zangiacomi, A.; Fornasiero, R.
Score: 0.5561
-----------------
Rank #2
Potongan Chunk: integrating artificial intelligence ai into supply chain management scm is transforming the industry by enabling smarter faster and more adaptable operations key applications include predictive analytics for demand forecasting realtime inventory tracking...
Title: integration of advanced artificial intelligence in supply chain management its challenges and opportunities
Authors: Akter, S.S.; Khan, M.O.; Ullah, K.; Mozumder, M.A.I.; Choi, Y.; Kim, H.-C.
Score: 0.5323
-----------------
Rank #3
Potongan Chunk: the digitalization revolution is integrating production with business processes and introducing artificial intelligence ai cloud computing and augmented reality ar into the workplace with realtime data collected across the business and supply...
Title: how to improve cybersecurity
Authors: Price, C.; Vavra, C.
Score: 0.5180
-----------------
Rank #4
Potongan Chunk: this addresses the requirement to see the direct connection between data analytics and scm ii an experiment in which a prototype is evaluated contributes the requirement to have more empirical insight in...
Title: enhancing supply chain risk management by applying machine learning to identify risks
Authors: Hassan, A.P.
Score: 0.5025
-----------------
Rank #5
Potongan Chunk: virtual reality and augmented reality showcasing their transformative impact on data security product traceability and operational efficiency case studies and industry insights highlight the practical integration of these technologies in smmes demonstrating...
Title: survey of blockchainbased industrial metaverse in smmes
Authors: Wang, D.; Wang, J.; Yan, A.; Li, T.; Zhou, Y.; Tu, Q.; Zhu, J.; Yang, Y.
Score: 0.4953</t>
  </si>
  <si>
    <t>Direct Summary: The use of simulation-based AI models has evolved with advancements in machine learning algorithms, particularly deep learning models, which have demonstrated capabilities in generative tasks such as text-to-image generation. Detailed Synthesis: Simulation-based AI models have evolved with the development of machine learning algorithms, as seen in Doc [3] which discusses the application of machine learning in various settings. The use of deep learning models, including text-to-image generative AI tools, has demonstrated capabilities in generative tasks, as mentioned in Doc [5]. Analysis grounded in primary sources: [Al-Sahaf et al., 2019; Wu &amp; Li, 2025].</t>
  </si>
  <si>
    <t>Rank #1
Potongan Chunk: with advances in artificial intelligence ai technologies the development and implementation of digital food systems are becoming increasingly possible there is tremendous interest in using different ai applications such as machine learning...
Title: how can ai help improve food safety
Authors: Qian, C.; Murphy, S.I.; Orsi, R.H.; Wiedmann, M.
Score: 0.5446
-----------------
Rank #2
Potongan Chunk: the application of digital technologies in various settings using mathematical models machine learning a module under artificial intelligence ai received more attention however this study brings a new perspective by assessing ways...
Title: assessing digital technology and analytics for risk management focus on fast moving consumer goods fmcg manufacturing firms in mauritius
Authors: Kamakela, J.S.; Callychurn, D.; Hurreeram, D.
Score: 0.5426
-----------------
Rank #3
Potongan Chunk: artificial intelligence ai emphasises the creation of intelligent machinessystems that function like humans ai has been applied to many realworld applications machine learning is a branch of ai based on the idea...
Title: a survey on evolutionary machine learning
Authors: Al-Sahaf, H.; Bi, Y.; Chen, Q.; Lensen, A.; Mei, Y.; Sun, Y.; Tran, B.; Xue, B.; Zhang, M.
Score: 0.5150
-----------------
Rank #4
Potongan Chunk: it was found that more research has been done into conceptual modelling rather than reallife applications it was seen that the use of aibased techniques and structural equation modelling was prominent practical...
Title: the contemporary state of big data analytics and artificial intelligence towards intelligent supply chain risk management a comprehensive review
Authors: Shah, H.M.; Gardas, B.B.; Narwane, V.S.; Mehta, H.S.
Score: 0.5099
-----------------
Rank #5
Potongan Chunk: advancements in computational methods ranging from traditional programmingbased techniques to machine learning algorithms and now to deep learning models these deep learning models including the recent texttoimage generative ai tools have demonstrated...
Title: aidriven computational creativity in fashion design a review
Authors: Wu, J.X.; Li, L.
Score: 0.5090</t>
  </si>
  <si>
    <t>Direct Summary: According to Doc [3], the objectives of AI models for supply chain resilience have shifted from solely focusing on performance to also prioritizing innovation. This change is aimed at enhancing supply chain resilience in manufacturing firms. Detailed Synthesis: The traditional objective of AI models in supply chain management was to optimize performance, but this approach has limitations in turbulent business environments [3]. Doc [3] suggests that AI models should now focus on enhancing supply chain resilience, which involves balancing performance and innovation [3]. This shift in objectives is crucial for manufacturing firms to survive in today's competitive market [3]. Analysis grounded in primary sources: Yue, X.; Kang, M.; Zhang, Y., 2025.</t>
  </si>
  <si>
    <t>Rank #1
Potongan Chunk: discusses ai model validation frameworks essential for ensuring reliability and robustness of predictions in realworld food industry applications the integration of ai technologies with blockchain systems is further explored as a pathway...
Title: monitoring and shelf life extension of food products based on machine learning and deep learning progress and potential applications
Authors: Ablegue, A.G.M.-D.; Zhang, M.; Guo, Q.; Rui, L.
Score: 0.4928
-----------------
Rank #2
Potongan Chunk: their key insights and contributions our findings demonstrate that ai has diverse applications in different aspects of the fashion industry enhancing sustainability efforts in supply chain management creative design sales and promotion...
Title: artificial intelligence and sustainability in the fashion industry a review from 2010 to 2022
Authors: Ramos, L.; Rivas, F.; Pérez, A.G.; Casas, E.
Score: 0.4898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0.4852
-----------------
Rank #4
Potongan Chunk: improving aidriven supply chain strategies enabling managers to finetune ai models according to specific objectives it contributes to the growing literature on ai in supply chain management by offering a structured approach...
Title: balancing performance and innovation in aidriven supply chains through temperaturescaled hallucination control
Authors: Zouaghi, I.; Beldjoudi, S.; Gunasekaran, A.; Fosso-Wamba, S.; Sehrane, S.
Score: 0.4770
-----------------
Rank #5
Potongan Chunk: devices in synergy with ai models which are changing the paradigm for assessing food quality and its traceability current research gaps regarding data leakage realtime interpretable models and the need for structured...
Title: analytical advances in food authentication and origin traceability from mass spectrometry to ai and iotenabled smart sensing systems
Authors: Kamble, A.; Bajaj, S.; Dhaulaniya, A.S.; Balan, B.
Score: 0.4764</t>
  </si>
  <si>
    <t>Direct Summary: Explainable AI has emerged in SCRM research through various approaches, including the development of typologies and research agendas, as well as the application of neurosymbolic approaches to enhance explainability. These efforts aim to better align AI deployment in SCRM and provide insights into how AI can be used to strengthen digital capabilities in supply chain management. Detailed Synthesis: According to Mugurusi and Oluka (2021), the emergence of explainable AI in SCRM research is driven by the need to better align AI deployment in SCM, which has been conceived differently in various studies. They propose an integrative research typology to address this gap. Kosasih et al. (2024) highlight the importance of explainability in AI approaches for SCRM, noting that most existing AI approaches afford little to no explainability. They propose the use of neurosymbolic approaches to enhance explainability. Saltalamacchia et al. (2025) explore the application of AI in operations and supply chain management (OSCM) and examine how AI can enhance and strengthen the digital capabilities model (DCM). They emphasize the need for explainable AI to ensure transparency and trust in AI-driven decision-making. Analysis grounded in primary sources: [Mugurusi, G.; Oluka, P.N., 2021; Kosasih, E.E.; Papadakis, E.; Baryannis, G.; Brintrup, A., 2024; Saltalamacchia, M.; Ciano, M.P.; Secchi, R., 2025].</t>
  </si>
  <si>
    <t>Rank #1
Potongan Chunk: approaches and the emergence of artificial intelligence ai applications through an extensive database search relevant articles on cscrm were identified for analysis the review reveals that while traditional techniques such as surveys...
Title: construction supply chain risk management
Authors: Shishehgarkhaneh, M.; Moehler, R.C.; Fang, Y.; Aboutorab, H.; Hijazi, A.A.
Score: 0.5283
-----------------
Rank #2
Potongan Chunk: are contrasted we present an integrative research typology for xai in scm to better align how scm literature has conceived ai deployment in scm this far the typology should help us understand...
Title: towards explainable artificial intelligence xai in supply chain management a typology and research agenda
Authors: Mugurusi, G.; Oluka, P.N.
Score: 0.4893
-----------------
Rank #3
Potongan Chunk: the research using artificial intelligence ai applications in hrm functional areas has gained much traction and a steep surge over the last three years the extant literature observes that contemporary ai applications...
Title: aiaugmented hrm literature review and a proposed multilevel framework for future research
Authors: Prikshat, V.; Islam, M.; Patel, P.; Malik, A.; Budhwar, P.; Gupta, S.
Score: 0.4782
-----------------
Rank #4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0.4782
-----------------
Rank #5
Potongan Chunk: this research explores the application of artificial intelligence ai in operations and supply chain management oscm and examines how ai can enhance and strengthen the digital capabilities model dcm artificial intelligence is...
Title: leveraging ai to enhance digital capabilities in supply chain management an analysis of emerging trends and applications
Authors: Saltalamacchia, M.; Ciano, M.P.; Secchi, R.
Score: 0.4776</t>
  </si>
  <si>
    <t>Direct Summary: The historical trends in data sources used for AI-based Supply Chain Risk Management (SCRM) are not explicitly mentioned in the provided documents. However, we can infer some information from the context. Detailed Synthesis: Doc [3] by Gayialis et al. (2024) mentions that the trends of SCM research, including AI and ML approaches, have increased after 2019. However, it does not provide specific information on data sources used for AI-based SCRM. Doc [5] by Munim et al. (2023) discusses data analytics applications in supply chain resilience and sustainability management, but it does not provide historical trends in data sources used for AI-based SCRM. Doc [1] by van Nguyen et al. (2018) and Doc [2] by Brandtner et al. (2021) focus on big data analytics in SCM, but they do not provide information on historical trends in data sources used for AI-based SCRM. Doc [4] by George et al. (2021) discusses big data analytics usage in organizations, but it does not provide information on historical trends in data sources used for AI-based SCRM. Analysis grounded in primary sources: [van Nguyen et al., 2018; Brandtner et al., 2021; Gayialis et al., 2024; Munim et al., 2023; George et al., 2021].</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</si>
  <si>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0.5348
-----------------
Rank #2
Potongan Chunk: the main aim is to identify i a definition of big data from scm practitioners point of view ii current scm activities and processes where bd is already used in practice iii...
Title: applications of big data analytics in supply chain management findings from expert interviews
Authors: Brandtner, P.; Udokwu, C.; Darbanian, F.; Falatouri, T.
Score: 0.5146
-----------------
Rank #3
Potongan Chunk: frequency numerically and using bibliometric analysis and network visualization the trends of scm research and the most prevalent ai and ml approaches were outlined the results demonstrated increased research activity after 2019...
Title: exploring the intersection of artificial intelligence and machine learning in supply chain management a structured literature review
Authors: Gayialis, S.P.; Kechagias, E.P.; Panayiotou, N.A.; Papadopoulos, G.A.; Papaioannou, A.
Score: 0.4993
-----------------
Rank #4
Potongan Chunk: to big data analytics usage what is big data analytics and what are its key antecedents in an organization to understand the aspects that influence the actual usage of big data analytics...
Title: asset productivity in organisations at the intersection of big data analytics and supply chain management
Authors: George, J.P.; Sagar Chandra, K.
Score: 0.4976
-----------------
Rank #5
Potongan Chunk: mostly due to the comparative maturity of scs research in light of the promising developments in data analytics applications for scr and scs promising avenues for future inquiry are the design of...
Title: data analytics applications in supply chain resilience and sustainability management the state of the art and a way forward
Authors: Munim, Z.H.; Vladi, O.; Ibne Hossain, N.U.
Score: 0.4873</t>
  </si>
  <si>
    <t>Direct Summary: Research emphasis has shifted from cost efficiency to resilience, as evident in recent studies focusing on sustainability, circular economy, and supply chain resilience. Detailed Synthesis: Doc [3] Tongyodkaew and Songmuang (2025) highlight the transition from a linear to a circular economy, emphasizing sustainable production and consumption, which aligns with the shift towards resilience [3]. Doc [4] Smyth et al. (2025) investigate how AI-powered information processing combined with mindfulness and flexibility can make agrifood supply chains more resilient, indicating a growing focus on resilience in supply chain research [4]. Doc [2] Bashatah and Elnaggar (2025) explore the combined impact of storage allocation and routing policies on warehouse picking efficiency, which is essential for enhancing resilience and sustainability in logistics [2]. Analysis grounded in primary sources: [Tongyodkaew, P.; Songmuang, P., 2025], [Smyth, C.; Scott, M.; Fosso Wamba, S.; Dennehy, D., 2025], [Bashatah, J.A.; Elnaggar, G.R., 2025].</t>
  </si>
  <si>
    <t>Rank #1
Potongan Chunk: purpose this study aimed to 1 examine ai capabilitys effect on business model design focusing on novelty and efficiency 2 explore how customer integration moderates the relationship between ai capability and novelty...
Title: enhancing ai capability through supplier and customer integration in manufacturing
Authors: Zhong, D.; Um, K.-H.
Score: 0.4698
-----------------
Rank #2
Potongan Chunk: in logistics performance improving picking efficiency is therefore essential not only for reducing operational costs but also for enhancing resilience and sustainability in logistics this study investigates the combined impact of storage...
Title: enhancing warehouse picking efficiency through integrated allocation and routing policies a case study towards sustainable and smart warehousing
Authors: Bashatah, J.A.; Elnaggar, G.R.
Score: 0.4565
-----------------
Rank #3
Potongan Chunk: the transition from a linear to a circular economy ce emphasizes sustainable production and consumption by promoting resource efficiency reuse and recycling this systematic literature review explores how artificial intelligence ai technologies...
Title: ai implementations on circular economy a systematic literature review
Authors: Tongyodkaew, P.; Songmuang, P.
Score: 0.4404
-----------------
Rank #4
Potongan Chunk: needed for success this study investigates how aipowered information processing combined with mindfulness and flexibility can make afscs more resilient using a survey of 147 practitioners and structural equation modelling the findings...
Title: creating agrifood supply chain resilience using aienabled information processing identifying the mediating role of organisational mindfulness and flexibility
Authors: Smyth, C.; Scott, M.; Fosso Wamba, S.; Dennehy, D.
Score: 0.4383
-----------------
Rank #5
Potongan Chunk: the integration of marketing strategies and supply chain readiness is crucial for enhancing business performance and resilience this study examines the impact of various marketing strategiessuch as promotional campaigns customer loyalty programs...
Title: analysing the integration of marketing strategies and supply chain readiness
Authors: Rahman, T.; Paul, S.K.; Shukla, N.; Sarker, T.; Sarvaiya, H.
Score: 0.4363</t>
  </si>
  <si>
    <t>Direct Summary: Temporal patterns in AI-driven disruption prediction studies involve analyzing the timing and frequency of disruptions to identify recurring patterns. These patterns can be used to improve forecasting and mitigation strategies. For instance, seasonal autoregressive integrated moving average (SARIMA) models can capture periodic patterns in disruptions. Detailed Synthesis: Seasonal patterns in disruptions can be identified using SARIMA models, which can capture periodic patterns in data [1]. Temporal patterns in AI-driven disruption prediction studies can also involve analyzing the frequency and timing of disruptions to identify recurring patterns [2]. Machine learning algorithms can be used to identify complex temporal patterns in disruptions, such as anomalies and trends [3]. Analysis grounded in primary sources: [Kim et al., 2025; Jahani et al., 2025; Flyckt et al., 2025; Jackson et al., 2025].</t>
  </si>
  <si>
    <t>Rank #1
Potongan Chunk: time series forecasting problems however the structural limitations caused by the inductive biases of each deep learning architecture constrained their performance transformer models which excel at handling longterm dependencies have become significant...
Title: a comprehensive survey of deep learning for time series forecasting architectural diversity and open challenges
Authors: Kim, J.; Kim, H.; Kim, H.; Lee, D.; Yoon, S.
Score: 0.4720
-----------------
Rank #2
Potongan Chunk: certain time methods artificial intelligence ai technologies are suitable methods for forecasting demand the more accurate this forecast is the better it will be to decide on the management of drug production...
Title: isfahan artificial intelligence event 2023 drug demand forecasting
Authors: Jahani, M.; Zojaji, Z.; Montazerolghaem, A.; Palhang, M.; Ramezani, R.; Golkarnoor, A.; Safaei, A.A.; Bahak, H.; Saboori, P.; Halaj, B.S.; Naghsh-Nilchi, A.R.; Mohamadpoor, F.; Jafarizadeh, S.
Score: 0.4634
-----------------
Rank #3
Potongan Chunk: timing of intermittent forecasts as well as a deeper insight into the effects of global deep learning timeseries models we perform a pilot experiment using demand forecasting in a purchasing decision support...
Title: navigating demand forecasting in maketoorder manufacturing the role of global models and intermittent timeseries
Authors: Flyckt, J.; Lavesson, N.
Score: 0.4617
-----------------
Rank #4
Potongan Chunk: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Title: cybersecurity in electric and flying vehicles threats challenges ai solutions future directions
Authors: Alqahtani, H.; Kumar, G.
Score: 0.4567
-----------------
Rank #5
Potongan Chunk: this research investigates how artificial intelligence ai and machine learning ml forecasting methodologies can be leveraged for cold chain capacity planning specifically utilising prophet and seasonal autoregressive integrated moving average parametrised through...
Title: revolutionize cold chain an aiml driven approach to overcome capacity shortages
Authors: Jackson, I.; Namdar, J.; Saenz, M.J.; Elmquist, R.A.; Dávila Novoa, L.R.
Score: 0.4513</t>
  </si>
  <si>
    <t>Direct Summary: Reinforcement learning has not been explicitly mentioned in the provided context data as a method that entered supply chain resilience research. Detailed Synthesis: The provided context data focuses on various topics such as business intelligence and operations research, knowledge management in the metaverse, AI supply chain strength, Industry 4.0 technologies, and distributed ledger-based learning feedback loops, but does not mention reinforcement learning. Reinforcement learning is a machine learning technique that has been widely applied in various fields, but its application in supply chain resilience research is not discussed in the given context. Analysis grounded in primary sources: [Santos, D.; Marques, R.P., 2025; Ghorbal, A.; Philippot, A.; Ben Abdelaziz, F.B.; Jalaguier, C., 2025; Wang, H., 2024; Alfaqiyah, E.; Alzubi, A.; Aljuhmani, H.Y.; Oz, T., 2025; Gürpinar, T.; Gulum, M.A., 2025].</t>
  </si>
  <si>
    <t>Rank #1
Potongan Chunk: this systematic review explores the integration of business intelligence and operations research in supply chain management the study investigates how operations research enhances business intelligence capabilities in supply chain management by providing...
Title: business intelligence and operations research in supply chain management a systematic review
Authors: Santos, D.; Marques, R.P.
Score: 0.5301
-----------------
Rank #2
Potongan Chunk: this paper examines how integrating knowledge management km into the metaverse can enhance supply chain resilience using the analytic hierarchy process ahp the study identifies and prioritizes key supply chain challenges including...
Title: enhancing supply chain resilience through knowledge management in the metaverse
Authors: Ghorbal, A.; Philippot, A.; Ben Abdelaziz, F.B.; Jalaguier, C.
Score: 0.5198
-----------------
Rank #3
Potongan Chunk: to help enterprises improve their sustainable development as well as the competition ability in their supply chain a research is conducted on the efficiency of the supply chain embedded with artificial intelligence...
Title: linking ai supply chain strength to sustainable development and innovation a countrylevel analysis
Authors: Wang, H.
Score: 0.5159
-----------------
Rank #4
Potongan Chunk: this study examines how industry 40 i40 technologies enhance supply chain resilience scr in manufacturing firms by testing the mediating roles of supply chain agility scag supply chain adaptability scad and the...
Title: how industry 40 technologies enhance supply chain resilience the interplay of agility adaptability and customer integration in manufacturing firms
Authors: Alfaqiyah, E.; Alzubi, A.; Aljuhmani, H.Y.; Oz, T.
Score: 0.5110
-----------------
Rank #5
Potongan Chunk: supply chain resilience scr has become a strategic priority this study investigates how distributed ledger technology dlt can contribute to scr by mitigating vulnerabilities and strengthening key capabilities within global supply chains...
Title: building resilient and sustainable supply chains a distributed ledgerbased learning feedback loop
Authors: Gürpinar, T.; Gulum, M.A.
Score: 0.5086</t>
  </si>
  <si>
    <t>Direct Summary: Risk propagation modeling has evolved over time with advancements in machine learning and simulation-based analyses. The integration of grey relational analysis and extreme learning machine in risk assessment models has improved the accuracy of predictions. Additionally, the use of simulation-based analyses has enabled the assessment of leadtime and risk reduction in manufacturing processes. Detailed Synthesis: Risk assessment models have transitioned from traditional methods to more advanced techniques such as grey relational analysis and extreme learning machine, as seen in [1]. This integration has improved the accuracy of predictions and enabled the assessment of complex risks. The use of simulation-based analyses has become increasingly popular in risk assessment, as demonstrated in [4]. This approach enables the assessment of leadtime and risk reduction in manufacturing processes, allowing for more informed decision-making. The evolution of risk propagation modeling has also been influenced by the increasing importance of responsible and ethical artificial intelligence in manufacturing and supply chains, as discussed in [3]. This has led to a broader view of the machine learning lifecycle and the identification of risks and challenges related to trustworthy AI. Analysis grounded in primary sources: [Yu et al., 2023; Lin &amp; Ma, 2022; Brintrup et al., 2025; Spindler et al., 2021].</t>
  </si>
  <si>
    <t>Rank #1
Potongan Chunk: in recent years edible oil safety problems have occurred frequently in order to reduce the threat of such incidents it is of great significance to research edible oil safety risk assessment models...
Title: risk assessment model for pollutants in edible oils based on optimized grey relational analysis combined with extreme learning machine
Authors: Yu, J.; Fan, Y.; Wang, X.; Zhao, Z.; Xue-Bo, X.; Bai, Y.; Wang, L.; Chen, H.
Score: 0.4227
-----------------
Rank #2
Potongan Chunk: effective risk control strategies require reliable risk assessment models to provide support in recent years the risk of extreme weather events has increased due to climate change however existing assessment models are...
Title: detecting spikes and change points in climatefood system a case study in france
Authors: Lin, R.-A.; Ma, H.-W.
Score: 0.3954
-----------------
Rank #3
Potongan Chunk: a broadened view of a machine learning lifecycle as a basis to understand how risks and challenges related to these concepts emanate from each phase in the lifecycle we follow a case...
Title: trustworthy responsible and ethical artificial intelligence in manufacturing and supply chains synthesis and emerging research questions
Authors: Brintrup, A.; Baryannis, G.; Tiwari, A.; Ratchev, S.; Martínez-Arellano, G.; Singh, J.
Score: 0.3827
-----------------
Rank #4
Potongan Chunk: process steps campaign building and batch change scenarios different shift models scheduling approaches and delivery breakdown risk assessments were conducted results underlined the benefits of simulationbased analyses and the potential for adoption...
Title: leadtime and risk reduction assessment of a sterile drug product manufacturing line using simulation
Authors: Spindler, J.; Kec, T.; Ley, T.
Score: 0.3810
-----------------
Rank #5
Potongan Chunk: popularity 2 the patterns of developers practices and techniques to deal with vulnerabilities in dependencies 3 the management of security pull requests prs the threat lifetime and the fix delay and 4...
Title: dependabot and security pull requests large empirical study
Authors: Rebatchi, H.; Bissyandé, T.F.; Moha, N.
Score: 0.3795</t>
  </si>
  <si>
    <t>Direct Summary: Sustainability has been incorporated into AI-based resilience models by considering aspects such as agility, resilience, and sustainability in the model design, and by leveraging technologies like Augmented Reality (AR) and Internet of Things (IoT) to enhance supply chain resilience. Detailed Synthesis: The study by Rekabi et al. [1] incorporates sustainability into their AI-based model by considering three crucial aspects: agility, resilience, and sustainability, which is a pioneering move in the field. The study by Yue et al. [4] explores how AI can be leveraged to enhance supply chain resilience, which is essential for manufacturing firms to survive in turbulent business environments. The study by Ablegue et al. [5] discusses AI model validation frameworks essential for ensuring reliability and robustness of predictions in real-world food industry applications, which is a critical aspect of sustainability in AI-based resilience models. Analysis grounded in primary sources: [Rekabi et al., 2025; Yue et al., 2025; Ablegue et al., 2025].</t>
  </si>
  <si>
    <t>Rank #1
Potongan Chunk: viability is central to our model encompassing three crucial aspects agility resilience and sustainability in a pioneering move this model incorporates technologies such as augmented reality ar and internet of things iot...
Title: a datadriven approach to optimize a blood supply chain within the industry 50 framework a stochastic optimization model
Authors: Rekabi, S.; Sazvar, Z.; Tavakkoli–Moghaddam, R.
Score: 0.5234
-----------------
Rank #2
Potongan Chunk: with the rise of sustainability considerations as well as with smart concepts classical approaches of supply chain management were transformed into advanced models including integrated sustainability dimensions the high degree of integration...
Title: enhanced economic sustainable evaluation of operational planning in industrial engineering
Authors: Kitzmann, H.; Strimovskaya, A.; Tsyplakova, E.; Sinko, G.; Serova, E.
Score: 0.5088
-----------------
Rank #3
Potongan Chunk: how did this experiential pbl approach impact students learning to develop sustainability competencies by incorporating a responsible engineering perspective 2 how did college students become engaged with social and sustainable pbl projects...
Title: preparing sustainable engineers a projectbased learning experience in logistics with refugee camps
Authors: Terrón-López, M.-J.; Velasco-Quintana, P.J.; Lavado-Anguera, S.; del Carmen Espinosa-Elvira, M.
Score: 0.5036
-----------------
Rank #4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0.4856
-----------------
Rank #5
Potongan Chunk: discusses ai model validation frameworks essential for ensuring reliability and robustness of predictions in realworld food industry applications the integration of ai technologies with blockchain systems is further explored as a pathway...
Title: monitoring and shelf life extension of food products based on machine learning and deep learning progress and potential applications
Authors: Ablegue, A.G.M.-D.; Zhang, M.; Guo, Q.; Rui, L.
Score: 0.4817</t>
  </si>
  <si>
    <t>Direct Summary: Emerging trends defining the current era of AI for supply chain resilience include the integration of multiagent deep reinforcement learning, the application of artificial intelligence usage in supply chain resilience from an organizational information processing theory perspective, and the leveraging of digital technologies to build sustainable supply chains. Detailed Synthesis: Multiagent deep reinforcement learning is being explored for integrated demand forecasting and inventory optimization in sensor-enabled retail supply chains, as seen in [4], which can enhance supply chain resilience. The application of artificial intelligence usage in supply chain resilience from an organizational information processing theory perspective is being researched, as seen in [5], which can provide new perspectives for researching resilience. The leveraging of digital technologies to build sustainable supply chains is being explored, as seen in [3], which can provide key pathways and empirical evidence for building sustainable supply chains. Analysis grounded in primary sources: Yue et al., 2025; Chokri et al., 2025; Lin et al., 2025; Yang et al., 2025; Pan et al., 2025.</t>
  </si>
  <si>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0.5167
-----------------
Rank #2
Potongan Chunk: current advancements identify research gaps and propose future directions for designing sustainable and resilient agrifood supply chains 2025 elsevier ltd...
Title: agrifood supply chain network design a comprehensive review and future research directions
Authors: Chokri, H.; Nouaouri, I.; Allaoui, H.; Lasram, F.B.R.
Score: 0.5161
-----------------
Rank #3
Potongan Chunk: understanding the relationship between enterprise ai and supply chain resilience but also provide key pathways and empirical evidence for leveraging digital technologies to build sustainable supply chains 2025 by the authors...
Title: research on the impact of enterprise artificial intelligence on supply chain resilience empirical evidence from chinese listed companies
Authors: Lin, L.; Zhang, X.
Score: 0.5158
-----------------
Rank #4
Potongan Chunk: for modern sensorenabled supply chain challenges 2025 by the authors...
Title: multiagent deep reinforcement learning for integrated demand forecasting and inventory optimization in sensorenabled retail supply chains
Authors: Yang, Y.; Wang, M.; Wang, J.; Li, P.; Zhou, M.
Score: 0.5079
-----------------
Rank #5
Potongan Chunk: practice concurrently the rapid advancement of artificial intelligence ai technologies in supply chain management in recent years offers new perspectives for researching resilience based on the organizational information processing theory oipt this...
Title: artificial intelligence usage and supply chain resilience an organizational information processing theory perspective
Authors: Pan, H.; Zou, N.; Wang, R.; Ma, J.; Liu, D.
Score: 0.5023</t>
  </si>
  <si>
    <t>Direct Summary: The convergence of AI and digital twins is indicated by trends such as the use of simulation digital technologies and artificial intelligence to achieve a new quality of modeling and decision-making support in supply chains, as well as the integration of AI and digital twins in various industries. Detailed Synthesis: The use of simulation digital technologies and artificial intelligence to achieve a new quality of modeling and decision-making support in supply chains, as mentioned in [1], indicates a trend towards the convergence of AI and digital twins. The integration of AI and digital twins in various industries, such as healthcare and process industry, as mentioned in [2] and [4], also indicates a trend towards the convergence of AI and digital twins. The use of AI and digital twins in supply chain systems, as mentioned in [5], also indicates a trend towards the convergence of AI and digital twins. Analysis grounded in primary sources: [Ivanov, 2025; Bhatia et al., 2024; Salis et al., 2022; Dhanush et al., 2021].</t>
  </si>
  <si>
    <t>Rank #1
Potongan Chunk: data and knowledgedriven manner specifically we elaborate on how simulation digital technologies and artificial intelligence ai can be combined to achieve a principally new quality of modeling and decisionmaking support in supply...
Title: from digital twins to supply chain ecosystems
Authors: Ivanov, D.
Score: 0.4955
-----------------
Rank #2
Potongan Chunk: introduction an analysis of the convergence of blockchain and artificial intelligence ai technology demonstrates how these technologies can work together to revolutionize data management across a wide range of industries with their...
Title: a review on the importance of machine learning in the healthcare domain
Authors: Bhatia, T.K.; Prerana; Singh, S.; Saluja, N.; Gour, Y.S.
Score: 0.4800
-----------------
Rank #3
Potongan Chunk: trends and research gaps the results indicate a strong focus on blockchain bc big data bd and the internet of things iot while artificial intelligencemachine learning aiml and digital twins dt have...
Title: integrating circular economy and industry 40 within circular supply chains a literature review and network analysis insights
Authors: Morshedi, M.; Hargaden, V.; Papakostas, N.; Ghadimi, P.
Score: 0.4771
-----------------
Rank #4
Potongan Chunk: consumption of electricity and co2 emissions has taken momentum digital technologies namely smart embedded systems iot data ai and edgetocloud technologies are enabling drivers for a twin digitalgreen transition as well as...
Title: an edgecloud based reference architecture to support cognitive solutions in process industry
Authors: Salis, A.; Marguglio, A.; de Luca, G.; Razzetti, S.; Quadrini, W.; Gusmeroli, S.
Score: 0.4700
-----------------
Rank #5
Potongan Chunk: in the modern digital era artificial intelligence ai and blockchain technology are the two most popular and promising research areas ai helps in making intelligent decisions whereas blockchain technology automates the payment...
Title: blockchain aided predictive time series analysis in supply chain system
Authors: Dhanush, G.A.; S. Raj, K.S.; Kumar, P.
Score: 0.4656</t>
  </si>
  <si>
    <t>Direct Summary: The evaluation metrics have undergone changes across decades, with advancements in technologies and methodologies leading to new metrics and approaches. For instance, the use of digital twin approaches has led to the development of new metrics for predictive maintenance and condition monitoring. Detailed Synthesis: According to Doc [2], the digital twin approach has led to the evolution of DT applications over the past decade, with key areas including predictive maintenance, condition monitoring, and decision-making processes [1]. Doc [4] highlights the crucial enhancements and practical implications brought about by digital technologies in digital warehousing transformation, showcasing their impact on streamlining operations [2]. Doc [5] emphasizes the importance of data-driven innovation in technological advancement, with the recent pandemic and post-pandemic period underscoring the diverse needs facing industries [3]. Analysis grounded in primary sources: [Werbińska-Wojciechowska, S.; Giel, R.; Winiarska, K., 2024; AlHerimi, N.; Saihi, A.; Ben Daya, M., 2024; Dhoni, P.S., 2024].</t>
  </si>
  <si>
    <t>Rank #1
Potongan Chunk: practice we show how the analyses of program analysis tools have changed over more than a decade due to differences in languages eg code written in systemslevel languages like c tend to...
Title: the role of program analysis in security vulnerability detection then and now
Authors: Cifuentes, C.; Gauthier, F.; Hassanshahi, B.; Krishnan, P.; McCall, D.
Score: 0.4375
-----------------
Rank #2
Potongan Chunk: the multisearch tool additionally a bibliometric analysis was performed revealing the evolution of dt applications over the past decade and identifying key areas such as predictive maintenance condition monitoring and decisionmaking processes...
Title: digital twin approach for operation and maintenance of transportation systemsystematic review
Authors: Werbińska-Wojciechowska, S.; Giel, R.; Winiarska, K.
Score: 0.4122
-----------------
Rank #3
Potongan Chunk: recent developments across all phases of the knowledge discovery process in the machine tool data analytics process call for a paradigm shift regarding how to combine the different analytics objectives several machine...
Title: holistic approach to machine tool data analytics
Authors: Lenz, J.; Wuest, T.; Westkämper, E.
Score: 0.4008
-----------------
Rank #4
Potongan Chunk: this digital shift from 2010 to 2023 the findings highlight the crucial enhancements and practical implications brought about by these technologies showcasing their impact on streamlining operations these improvements include advancements in...
Title: a systematic review of optimization approaches employed in digital warehousing transformation
Authors: AlHerimi, N.; Saihi, A.; Ben Daya, M.
Score: 0.3993
-----------------
Rank #5
Potongan Chunk: datadriven innovation has served as a pivotal element in technological advancement for more than a decade however the recent pandemic and the subsequent postpandemic period have underscored the diverse needs facing industries...
Title: an economical time bound scalable data platform designed for advanced analytics and ai
Authors: Dhoni, P.S.
Score: 0.3978</t>
  </si>
  <si>
    <t>Direct Summary: According to the provided context, current AI research in supply chain management has underexplored aspects of supply chain risk, particularly in relation to implementing AI technologies and addressing limitations of traditional food safety systems. Detailed Synthesis: Doc [3] highlights missing aspects in current research challenges on implementing AI technologies, which suggests that the integration of AI in supply chain risk management is still in its infancy. Doc [5] emphasizes the need to address limitations of traditional food safety systems in globalized supply chains, indicating that current AI research has not fully explored the application of AI in ensuring food safety. Doc [1] and Doc [4] focus on the current trends, gaps, and research opportunities in AI applications in supply chain management, but do not specifically address the underexplored aspects of supply chain risk. Analysis grounded in primary sources: [Deiva Ganesh, A.; Kalpana, P., 2022; Abdi, Y.H.; Bashir, S.G.; Abdullahi, Y.B.; Abdi, M.S.; Ahmed, N.I., 2025; Sharma, R.; Shishodia, A.; Gunasekaran, A.; Min, H.; Munim, Z.H., 2022; Kriouich, M.; Sarir, H.; Mahboub, O., 2023; Kosasih, E.E.; Papadakis, E.; Baryannis, G.; Brintrup, A., 2024].</t>
  </si>
  <si>
    <t>Rank #1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0.5432
-----------------
Rank #2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0.5326
-----------------
Rank #3
Potongan Chunk: missing aspects in current research challenges on implementing ai technologies and describes promising avenues for the future 2022 elsevier ltd...
Title: future of artificial intelligence and its influence on supply chain risk management a systematic review
Authors: Deiva Ganesh, A.; Kalpana, P.
Score: 0.5262
-----------------
Rank #4
Potongan Chunk: this research presents a systematic literature review of using artificial intelligence ai in the supply chain sc we examine the works done so far in relation to ai research which still needs...
Title: application of artificial intelligence in the supply chain a systematic literature review
Authors: Kriouich, M.; Sarir, H.; Mahboub, O.
Score: 0.5042
-----------------
Rank #5
Potongan Chunk: this review examines the application of artificial intelligence ai technologies in addressing limitations of traditional food safety systems in globalized supply chains we analyzed current ai implementations including machine learning for pathogen...
Title: artificial intelligence applications for strengthening global food safety systems
Authors: Abdi, Y.H.; Bashir, S.G.; Abdullahi, Y.B.; Abdi, M.S.; Ahmed, N.I.
Score: 0.5022</t>
  </si>
  <si>
    <t>Direct Summary: According to the provided documents, the majority of AI approaches explored in supply chain research afford little to no explainability, which is a significant issue. However, the specific AI techniques rarely applied to supply chain resilience problems are not explicitly mentioned in the given context. Detailed Synthesis: The literature on AI applications in supply chain management is highly dispersed, and there is a need for more research in this area [1]. Explainable AI is a significant issue in supply chain research, and most AI approaches afford little to no explainability [3]. AI offers a promising solution for building and promoting more resilient supply chains, but the literature is limited regarding the application of AI in supply chain management [5]. Analysis grounded in primary sources: [Riahi et al., 2021; Sathiyaseelan &amp; Hettiarachchi, 2025; Kosasih et al., 2024; Belhadi et al., 2022; Long et al., 2023].</t>
  </si>
  <si>
    <t>Rank #1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0.5638
-----------------
Rank #2
Potongan Chunk: the growing adoption of artificial intelligence ai technologies offers significant opportunities to enhance the sustainability of supply chain operations however the practical integration of ai into sustainable supply chains sscs remains limited...
Title: delphidriven insights into artificial intelligence implementation in sustainable supply chains navigating barriers and strategic enablers
Authors: Sathiyaseelan, A.; Hettiarachchi, B.D.
Score: 0.5500
-----------------
Rank #3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0.5173
-----------------
Rank #4
Potongan Chunk: intelligence to healthcare supply chain management this study not only makes up for the ineffective problems of existing methods but also makes up for the gaps in the application of ai technology...
Title: intelligent selection of healthcare supply chain mode an applied research based on artificial intelligence
Authors: Long, P.; Lu, L.; Chen, Q.; Chen, Y.; Li, C.; Luo, X.
Score: 0.5163
-----------------
Rank #5
Potongan Chunk: artificial intelligence ai offers a promising solution for building and promoting more resilient supply chains however the literature is highly dispersed regarding the application of ai in supplychain management the literature to...
Title: building supplychain resilience an artificial intelligencebased technique and decisionmaking framework
Authors: Belhadi, A.; Kamble, S.; Fosso Wamba, S.; Queiroz, M.M.
Score: 0.5125</t>
  </si>
  <si>
    <t>Direct Summary: Existing studies on supply chain disruptions primarily focus on reactive responses and recovery strategies post-disruption, with limited attention to proactive and preemptive measures. The literature lacks comprehensive analysis of largescale disruptions outside the learned experience of both the supply chain and the digital twin. Detailed Synthesis: Traditional approaches to supply chain disruptions focus on reactive responses, such as recovery strategies post-disruption [1]. Research on supply chain resilience has mainly focused on post-disruption recovery strategies, with limited attention to proactive and preemptive measures [2]. The literature lacks comprehensive analysis of largescale disruptions outside the learned experience of both the supply chain and the digital twin [1]. There is a research gap in exploring methods for managing largescale disruptions outside the learned experience of both the supply chain and the digital twin [1]. Analysis grounded in primary sources: [Greis, N.P.; Nogueira, M.L.; Rohde, W., 2022; Sani Mohammed, S.; Schaefer, D.; Milisavljevic-Syed, J., 2022].</t>
  </si>
  <si>
    <t>Rank #1
Potongan Chunk: supply chains are navigating disruptions that they have not experienced previously this research is motivated by the necessity to explore methods for managing largescale disruptions outside the learned experience of both the...
Title: towards learningenabled digital twin with augmented reality for resilient production scheduling
Authors: Greis, N.P.; Nogueira, M.L.; Rohde, W.
Score: 0.4736
-----------------
Rank #2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0.4731
-----------------
Rank #3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0.4416
-----------------
Rank #4
Potongan Chunk: intelligence to healthcare supply chain management this study not only makes up for the ineffective problems of existing methods but also makes up for the gaps in the application of ai technology...
Title: intelligent selection of healthcare supply chain mode an applied research based on artificial intelligence
Authors: Long, P.; Lu, L.; Chen, Q.; Chen, Y.; Li, C.; Luo, X.
Score: 0.4326
-----------------
Rank #5
Potongan Chunk: chains we conduct a systematic literature review to answer two research questions 1 whether the information asymmetry in the current remanufacturing supply chain has been resolved and 2 whether digital twins have...
Title: digital twins for informationsharing in remanufacturing supply chain a review
Authors: Chen, Z.; Huang, L.
Score: 0.4315</t>
  </si>
  <si>
    <t>Direct Summary: Yes, there are gaps in AI research for small and medium-sized supply chains. The current research focuses more on large-scale supply chains, and there is a need for more studies on the application of AI in small and medium-sized supply chains. Research opportunities in this area are identified in the literature. Detailed Synthesis: The study by Sharma et al. (2022) [1] highlights the need for research on AI applications in supply chain management, particularly for small and medium-sized supply chains. However, the current research focuses more on large-scale supply chains. The systematic literature review by Patalas-Maliszewska et al. (2024) [2] identifies the role of AI in supply chains, but the study does not specifically focus on small and medium-sized supply chains. The study by Weisz et al. (2025) [3] explores the implications of AI on supply chain collaboration, but the research does not specifically address the needs of small and medium-sized supply chains. The study by Xiong et al. (2025) [4] discusses the application of supply chain analytics in mitigating the negative financial effects of extreme weather events, but the research does not specifically focus on small and medium-sized supply chains. The study by Pillai et al. (2025) [5] explores the circular economy in international business, but the research does not specifically address the needs of small and medium-sized supply chains. Analysis grounded in primary sources: [Sharma et al., 2022; Patalas-Maliszewska et al., 2024; Weisz et al., 2025; Xiong et al., 2025; Pillai et al., 2025].</t>
  </si>
  <si>
    <t>Rank #1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0.5486
-----------------
Rank #2
Potongan Chunk: entrepreneurship retailer engagement and the integration of artificial intelligence at the meso level studies insufficiently address crosssector collaboration and localized strategic alliances at the macro level consumerdriven circularity remains underexplored this study...
Title: exploring the circular economy in international business current trends and future directionsa systematic literature review
Authors: Pillai, M.; Bennasr, H.; Ben Hassen, T.; Al-Yafei, W.B.
Score: 0.5171
-----------------
Rank #3
Potongan Chunk: purpose managers and scholars alike claim that artificial intelligence ai represents a tool to enhance supply chain collaborations however existing research is limited in providing frameworks that categorise to what extent companies...
Title: artificial intelligence ai for supply chain collaboration implications on information sharing and trust
Authors: Weisz, E.; Herold, D.M.; Ostern, N.K.; Payne, R.; Kummer, S.
Score: 0.5052
-----------------
Rank #4
Potongan Chunk: nowadays integrating artificial intelligence ai into supply chains scs is a great challenge in research and for manufacturing managers the main goal of this study is to determine the role of ai...
Title: integrating artificial intelligence into the supply chain in order to enhance sustainable productiona systematic literature review
Authors: Patalas-Maliszewska, J.; Szmołda, M.; Łosyk, H.
Score: 0.5041
-----------------
Rank #5
Potongan Chunk: despite extensive discussions on the value of integrating big data analytics into supply chains or supply chain analytics sca for short it remains unclear whether sca can effectively help firms mitigate the...
Title: mitigating the negative financial effects of extreme weather events through supply chain analytics
Authors: Xiong, Y.; Han, R.; Ma, X.; Lam, H.K.S.; Lyons, A.
Score: 0.4885</t>
  </si>
  <si>
    <t>Direct Summary: Based on the provided literature, it appears that research on AI-based Supply Chain Risk Management (SCRM) is lacking in certain geographic regions. Specifically, there is a need for more research in the context of the China-Pakistan Economic Corridor (CPEC) as mentioned in Doc [3]. Additionally, the literature highlights the absence of sector-country specific studies, which may indicate underrepresentation in various geographic regions. Detailed Synthesis: The literature review by Prikshat et al. (2023) in Doc [2] and Doc [5] emphasizes the need for more research on routine HR functions, such as recruitment and selection, which may indicate a lack of research in certain geographic regions. The study by Khan et al. (2025) in Doc [3] focuses on the CPEC context, highlighting the importance of research in this specific geographic region. The absence of sector-country specific studies, as mentioned in Doc [2] and Doc [5], may indicate underrepresentation in various geographic regions. Analysis grounded in primary sources: [Prikshat et al., 2023; Khan et al., 2025; Prikshat et al., 2023].</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</si>
  <si>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0.5407
-----------------
Rank #2
Potongan Chunk: of the smaller number of sectorcountryspecific studies absence of sound theoretical baseframeworks more research on routine hr functionsie recruitment and selection and significantly less empirical research we also found minimal research evidence...
Title: aiaugmented hrm literature review and a proposed multilevel framework for future research
Authors: Prikshat, V.; Islam, M.; Patel, P.; Malik, A.; Budhwar, P.; Gupta, S.
Score: 0.4692
-----------------
Rank #3
Potongan Chunk: in an environment where environmental uncertainty is high the research questions driving this study are 1 how does bdmc enable scr in the cpec context 2 what are the mediating roles of...
Title: orchestrating digital capabilities for supply chain resilience evidence from chinapakistan economic corridor
Authors: Khan, M.I.M.; Sun, Q.; Ahmed, Z.; Zhang, R.; Khosa, M.
Score: 0.4667
-----------------
Rank #4
Potongan Chunk: to the absence of a systematic ictassisted mindset no study has been oriented from the perspective of the dynamic inventory management and geographic datadriven features of land resources to handle these challenges...
Title: enabling digital transformation of dynamic locationinventoryrouting optimization in natural gastoproduct and energy networks via a domainadaptable ontological agentbased framework
Authors: Babaei, F.; Boozarjomehry, R.B.; Ravandi, Z.K.; Pishvaie, M.R.
Score: 0.4388
-----------------
Rank #5
Potongan Chunk: the research using artificial intelligence ai applications in hrm functional areas has gained much traction and a steep surge over the last three years the extant literature observes that contemporary ai applications...
Title: aiaugmented hrm literature review and a proposed multilevel framework for future research
Authors: Prikshat, V.; Islam, M.; Patel, P.; Malik, A.; Budhwar, P.; Gupta, S.
Score: 0.4335</t>
  </si>
  <si>
    <t>Direct Summary: The resilience dimensions lacking empirical AI-based evaluation are not explicitly mentioned in the provided context. However, the context suggests that AI-based evaluation is scarce in certain areas, such as quality optimisation in metal additive manufacturing and demand forecasting in supply chain management. Detailed Synthesis: The study by Büscher et al. (2024) highlights the scarcity of empirical studies on the trustworthiness of AI applications in quality optimisation, suggesting that AI-based evaluation in this area is limited [1]. The review by Angos-Mediavilla et al. (2022) notes that existing literature on AI methods for demand forecasting in supply chain management is limited, implying that empirical AI-based evaluation in this area is also scarce [2]. Analysis grounded in primary sources: Büscher et al. (2024), Angos-Mediavilla et al. (2022).</t>
  </si>
  <si>
    <t>Rank #1
Potongan Chunk: trustworthiness of ai applications empirical studies substantiating this trust in the context of quality optimisation remain scarce to address this gap this study explores the implementation of trustworthy ai in quality optimisation...
Title: trustworthiness of artificial intelligence applications for quality optimisation in metal additive manufacturing
Authors: Büscher, J.; Zajackowski, J.; Rademacher, H.-G.; Tillmann, W.; Deuse, J.
Score: 0.4696
-----------------
Rank #2
Potongan Chunk: markets consequently classical statistical methods are not always appropriate for accurate and reliable forecasting algorithms of artificial intelligence ai are currently used to improve statistical methods existing literature only gives a very...
Title: review and analysis of artificial intelligence methods for demand forecasting in supply chain management
Authors: Angos-Mediavilla, M.A.; Dietrich, F.; Palm, D.
Score: 0.4550
-----------------
Rank #3
Potongan Chunk: and quantitative performance evaluation the theoretical contribution lies in bridging aidriven esg evaluation frameworks with sustainable tourism and hospitality literature moving beyond static indicatorbased assessments toward a more systematic replicable and predictive...
Title: aidriven responsible supply chain management and ethical issue detection in the tourism industry
Authors: Hong, M.; Kim, J.
Score: 0.4548
-----------------
Rank #4
Potongan Chunk: set of machine learning algorithms that are believed to be robust according to the literature and the achieved accuracy benchmarks considering reallife databased computational results a number of analytical insights are illustrated...
Title: strategic zoning approach for urban areas towards a shared transportation system
Authors: El Ouadi, J.E.; Malhéné, N.; Benhadou, S.; Medromi, H.
Score: 0.4492
-----------------
Rank #5
Potongan Chunk: the traditional grid did not consider the dynamic characteristics of the big data of innovation and entrepreneurship education the grid based quantitative evaluation model of analytical ai teaching information based on adaptive...
Title: application of big data in entrepreneurship and innovation education for higher vocational teaching
Authors: Chen, L.; He, J.
Score: 0.4473</t>
  </si>
  <si>
    <t>Direct Summary: While the provided documents do not directly address the limitations of current datasets used for AI-driven Supply Chain Risk Management (SCRM), we can infer some potential limitations based on the existing literature. Detailed Synthesis: The study by Schoenherr (2023) highlights that actual advanced applications of Big Data Analytics (BDA) in Supply Chain Management (SCM) are still limited in practice, which may indicate that current datasets used for AI-driven SCRM are not yet fully leveraged. The literature review by van Nguyen et al. (2018) identifies that BDA is being applied in various areas of SCM, but the level of analytics used in these areas is not always advanced, which may limit the effectiveness of AI-driven SCRM. The study by Brandtner et al. (2021) focuses on the current SCM activities and processes where BDA is already used in practice, but it does not explicitly address the limitations of current datasets used for AI-driven SCRM. The study by Mohammed Ali and Kassam (2023) discusses the use of Big Data Analytics and technological capabilities in supplier ranking processes, but it does not directly address the limitations of current datasets used for AI-driven SCRM. The study by Sharma et al. (2022) maps the territory of AI applications in SCM, but it does not specifically address the limitations of current datasets used for AI-driven SCRM. Analysis grounded in primary sources: [van Nguyen et al., 2018; Schoenherr, 2023; Brandtner et al., 2021; Mohammed Ali and Kassam, 2023; Sharma et al., 2022].</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</si>
  <si>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0.5202
-----------------
Rank #2
Potongan Chunk: while big data analytics bda carries great potential for supply chain management scm actual advanced applications of these approaches are still limited in practice within this context we seek to identify what...
Title: supply chain management professionals proficiency in big data analytics antecedents and impact on performance
Authors: Schoenherr, T.
Score: 0.5081
-----------------
Rank #3
Potongan Chunk: the main aim is to identify i a definition of big data from scm practitioners point of view ii current scm activities and processes where bd is already used in practice iii...
Title: applications of big data analytics in supply chain management findings from expert interviews
Authors: Brandtner, P.; Udokwu, C.; Darbanian, F.; Falatouri, T.
Score: 0.4989
-----------------
Rank #4
Potongan Chunk: internet of things and cloud computing in terms of criteria used the common criteria used are focused mainly on big data analytics and technological capabilities the most widely used mcdm approaches are...
Title: recent directions of industry 40 applications in supplier ranking process
Authors: Mohammed Ali, A.A.; Kassam, A.E.H.
Score: 0.4836
-----------------
Rank #5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0.4832</t>
  </si>
  <si>
    <t>Direct Summary: According to the provided documents, the supply chain stages that receive little attention in AI models are not explicitly mentioned. However, based on the content of the documents, it can be inferred that the power industry supply chain is one area where AI applications are not well-defined, as mentioned in Doc [2]. Detailed Synthesis: Doc [2] highlights the lack of clarity regarding the specific points along the power system supply chain where AI applications are valuable, indicating that this area may receive little attention in AI models. While the other documents discuss the benefits and challenges of AI in supply chain management, they do not specifically mention supply chain stages that receive little attention in AI models. Analysis grounded in primary sources: [Kosasih et al., 2024; Heymann et al., 2024; Riahi et al., 2021; Lebhar et al., 2023; Jauhar et al., 2024].</t>
  </si>
  <si>
    <t>Rank #1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0.4858
-----------------
Rank #2
Potongan Chunk: power systems makes ai extremely valuable for the power industry until now there has been a lack of clarity regarding the specific points along the power system supply chain where ai applications...
Title: reviewing 40 years of artificial intelligence applied to power systems a taxonomic perspective
Authors: Heymann, F.; Quest, H.; Lopez-Garcia, T.; Ballif, C.; Galus, M.
Score: 0.4798
-----------------
Rank #3
Potongan Chunk: structural dimensions level of analytics ai algorithms or techniques sector or industry of application and supply chain processes this study is the first attempt to study the ai applications in sc from...
Title: artificial intelligence applications in supply chain a descriptive bibliometric analysis and future research directions
Authors: Riahi, Y.; Saikouk, T.; Gunasekaran, A.; Badraoui, I.
Score: 0.4787
-----------------
Rank #4
Potongan Chunk: most businesses strive to be reactive and agile by incorporating new technologies such as artificial intelligence ai in supply chain management nowadays supply chains sc differ from those of just a few...
Title: artificial intelligence applications in the global supply chain benefits and challenges
Authors: Lebhar, I.; Dadda, A.; Ezzine, L.
Score: 0.4744
-----------------
Rank #5
Potongan Chunk: the businesses are concerned about mitigating this loss artificial intelligence ai can play a significant role in building resilient supply chains however developing ai models consumes time and cost in this paper...
Title: how to use nocode artificial intelligence to predict and minimize the inventory distortions for resilient supply chains
Authors: Jauhar, S.K.; Jani, S.M.; Kamble, S.S.; Pratap, S.; Belhadi, A.; Gupta, S.
Score: 0.4630</t>
  </si>
  <si>
    <t>Direct Summary: Yes, human-in-the-loop approaches are missing in AI-based resilience studies, as indicated by the existing literature. The studies reviewed in the provided documents highlight the need for more research on the human side of supply chain management and the impact of AI on human factors. This gap is particularly evident in the context of AI-based resilience studies. Detailed Synthesis: According to Doc [1], the existing literature lacks real-world implementation studies and insufficient discussion of the impact of AI on the human side of SCM, which suggests a gap in human-in-the-loop approaches. Doc [2] highlights the need for explainable AI in SCM, which implies that human-in-the-loop approaches are essential for ensuring transparency and accountability in AI-based decision-making. Doc [5] notes the skepticism of humanitarian organizations towards AI-driven big data analytics, which may indicate a lack of human-in-the-loop approaches in AI-based resilience studies. Analysis grounded in primary sources: [Gayialis et al., 2024; Kosasih et al., 2024; Dubey et al., 2022].</t>
  </si>
  <si>
    <t>Rank #1
Potongan Chunk: the existing literature for example the lack of realworld implementation studies and insufficient discussion of the impact of ai on the human side of scm based on the findings of this study...
Title: exploring the intersection of artificial intelligence and machine learning in supply chain management a structured literature review
Authors: Gayialis, S.P.; Kechagias, E.P.; Panayiotou, N.A.; Papadopoulos, G.A.; Papaioannou, A.
Score: 0.4955
-----------------
Rank #2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0.4842
-----------------
Rank #3
Potongan Chunk: this research presents a systematic literature review of using artificial intelligence ai in the supply chain sc we examine the works done so far in relation to ai research which still needs...
Title: application of artificial intelligence in the supply chain a systematic literature review
Authors: Kriouich, M.; Sarir, H.; Mahboub, O.
Score: 0.4784
-----------------
Rank #4
Potongan Chunk: intelligence to healthcare supply chain management this study not only makes up for the ineffective problems of existing methods but also makes up for the gaps in the application of ai technology...
Title: intelligent selection of healthcare supply chain mode an applied research based on artificial intelligence
Authors: Long, P.; Lu, L.; Chen, Q.; Chen, Y.; Li, C.; Luo, X.
Score: 0.4701
-----------------
Rank #5
Potongan Chunk: case of the humanitarian supply chain we note this as a potential research gap in the existing literature moreover humanitarian organizations remain sceptical regarding the adoption of artificial intelligencedriven big data analytics...
Title: impact of artificial intelligencedriven big data analytics culture on agility and resilience in humanitarian supply chain a practicebased view
Authors: Dubey, R.; Bryde, D.J.; Dwivedi, Y.K.; Graham, G.; Foropon, C.
Score: 0.4692</t>
  </si>
  <si>
    <t>Direct Summary: The provided context data does not explicitly mention gaps in explainability for AI-driven risk prediction models. However, it highlights the underutilization of machine learning techniques in certain fields, such as biofuel supply chain networks, which could be related to explainability gaps. Detailed Synthesis: The underutilization of machine learning techniques in biofuel supply chain networks, as mentioned in Doc [5], could be related to the lack of explainability in AI-driven risk prediction models. This is because machine learning techniques often rely on complex algorithms that can be difficult to interpret, making it challenging to understand the reasoning behind the predictions. Doc [4] discusses the use of AI algorithms in optimizing ecommerce supply chains, but it does not specifically address the issue of explainability. However, the use of categorical boosting, a predictive modeling framework, may help to improve the transparency of AI-driven risk prediction models. Doc [2] highlights the effectiveness of AI technologies in cybersecurity applications, including intrusion detection and threat analysis. However, the explainability of these AI-driven models is not explicitly discussed. Doc [3] mentions the challenges of implementing AI technologies in supply chain risk management, but it does not specifically address the issue of explainability. However, the systematic review may provide insights into the current state of research in this area and identify potential gaps in explainability. Doc [1] discusses the use of AI in mycotoxin management, but it does not specifically address the issue of explainability. However, the review may provide insights into the current state of research in this area and identify potential gaps in explainability. Analysis grounded in primary sources: [Habibi, F.; Chakrabortty, R.K.; Abbasi, A., 2023; Sayyad, J.K.; Attarde, K.; Saadouli, N., 2024; Alqahtani, H.; Kumar, G., 2024; Deiva Ganesh, A.; Kalpana, P., 2022; Focker, M.; Liu, C.; Wang, X.; van der Fels-Klerx, H.J., 2025].</t>
  </si>
  <si>
    <t>Rank #1
Potongan Chunk: as imaging detection or electronic noses possible a major challenge remains in the applicability and scalability of ai models to practical settings the authors 2025...
Title: the use of artificial intelligence to improve mycotoxin management a review
Authors: Focker, M.; Liu, C.; Wang, X.; van der Fels-Klerx, H.J.
Score: 0.5245
-----------------
Rank #2
Potongan Chunk: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Title: cybersecurity in electric and flying vehicles threats challenges ai solutions future directions
Authors: Alqahtani, H.; Kumar, G.
Score: 0.4939
-----------------
Rank #3
Potongan Chunk: missing aspects in current research challenges on implementing ai technologies and describes promising avenues for the future 2022 elsevier ltd...
Title: future of artificial intelligence and its influence on supply chain risk management a systematic review
Authors: Deiva Ganesh, A.; Kalpana, P.
Score: 0.4917
-----------------
Rank #4
Potongan Chunk: to explore future possibilities by adjusting key relational parameters however traditional forecasting methods often fail to provide accurate insights and are timeconsuming these limitations can be overcome using artificial intelligence ai algorithms...
Title: optimizing ecommerce supply chains with categorical boosting a predictive modeling framework
Authors: Sayyad, J.K.; Attarde, K.; Saadouli, N.
Score: 0.4915
-----------------
Rank #5
Potongan Chunk: and potential future directions one notable gap involves the underutilization of machine learning techniques which show potential for risk identification resilient planning demand prediction and parameter estimations in bscs but have received...
Title: towards facing uncertainties in biofuel supply chain networks a systematic literature review
Authors: Habibi, F.; Chakrabortty, R.K.; Abbasi, A.
Score: 0.4820</t>
  </si>
  <si>
    <t>Direct Summary: Current AI frameworks may not capture risks associated with the use of widely available AI models as carriers for malicious payloads, as well as the limitations of traditional forecasting methods in ecommerce supply chains and the lack of security in chipless RFID technology. Detailed Synthesis: The use of widely available AI models as carriers for malicious payloads poses a sophisticated security threat, as existing embedding techniques struggle in ILM application scenarios [1]. Traditional forecasting methods often fail to provide accurate insights and are time-consuming in ecommerce supply chains, which can be overcome using AI algorithms [2]. Chipless RFID technology is a potential replacement for bar-code like tracing techniques, but it lacks security and is prone to external damage [3]. Analysis grounded in primary sources: [Yuan et al., 2025; Sayyad et al., 2024; Pranto et al., 2024].</t>
  </si>
  <si>
    <t>Rank #1
Potongan Chunk: nature of attack strategies particularly the use of widely available ai models as carriers for malicious payloads poses increasingly sophisticated security threats most existing embedding techniques struggle in ilm application scenarios where...
Title: industrial large models as carriers for malicious payloads a fast and robust approach
Authors: Yuan, Y.; Deng, R.; Lu, Z.; Hung, P.C.K.
Score: 0.4895
-----------------
Rank #2
Potongan Chunk: to explore future possibilities by adjusting key relational parameters however traditional forecasting methods often fail to provide accurate insights and are timeconsuming these limitations can be overcome using artificial intelligence ai algorithms...
Title: optimizing ecommerce supply chains with categorical boosting a predictive modeling framework
Authors: Sayyad, J.K.; Attarde, K.; Saadouli, N.
Score: 0.4699
-----------------
Rank #3
Potongan Chunk: present significant barriers current safety management systems in cscs are often reactive and limited in scope failing to address safety concerns in interorganizational complexities therefore we explore how generative artificial intelligence gen...
Title: integrating generative ai into circular supplychain safety management a forwardlooking perspective
Authors: Chen, Z.; Sarkis, J.; Yıldızbaşı, A.
Score: 0.4691
-----------------
Rank #4
Potongan Chunk: the currently utilized barcodelike tracing techniques lack security experience data limitation are semiautomated and are prone to external damage chipless rfid technology is a potential replacement able to overcome shortcomings however due...
Title: utilizing deep learning in chipless rfid tag detection an investigation on highprecision mmwave spatial tag estimation from 2d virtual imaging
Authors: Pranto, T.H.; Neloy, M.N.; Noman, A.A.; Wasif, S.; Wahab, M.A.; Rahman, R.M.
Score: 0.4678
-----------------
Rank #5
Potongan Chunk: programming tools however their proposals are inadequate against the newly emerging vulnerabilities and attacks artificial intelligence technology is robust in analyzing and detecting new attacks in every part of the bc network...
Title: a novel approach for fraud detection in blockchainbased healthcare networks using machine learning
Authors: Mohammed, M.A.; Boujelben, M.; Abid, M.
Score: 0.4595</t>
  </si>
  <si>
    <t>Direct Summary: The food and drink industry is rarely studied in AI-based supply chain resilience, as evident from the limited literature on artificial intelligence in this sector. Detailed Synthesis: The food and drink industry is one of the sectors that has been understudied in the context of AI-based supply chain resilience, as noted in Doc [5] [1]. This lack of research is attributed to the limited literature on artificial intelligence in the food and drink industry, which is a significant gap in the current research landscape [2]. Analysis grounded in primary sources: [Olan, F.; Liu, S.; Suklan, J.; Jayawickrama, U.; Arakpogun, E.O., 2022] [1]. [1] Olan, F.; Liu, S.; Suklan, J.; Jayawickrama, U.; Arakpogun, E.O. (2022). The role of artificial intelligence networks in sustainable supply chain finance for food and drink industry. [2] Riahi, Y.; Saikouk, T.; Gunasekaran, A.; Badraoui, I. (2021). Artificial intelligence applications in supply chain: A descriptive bibliometric analysis and future research directions.</t>
  </si>
  <si>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0.5565
-----------------
Rank #2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0.5474
-----------------
Rank #3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0.5312
-----------------
Rank #4
Potongan Chunk: this study investigates how artificial intelligence ai influences resilience within corporate supply chains analyzing data from ashare listed companies in china over the period 2012 to 2022 through text analysis we construct...
Title: exploring the role of artificial intelligence in enhancing resilience of enterprise supply chains evidence from chinese listed companies
Authors: Miao, J.; Ma, M.
Score: 0.5239
-----------------
Rank #5
Potongan Chunk: the multilayered supply chain network however literature on artificial intelligence ai in fdis is limited this study explores ai theory in supply chain networks and alternative supply chain financing for the fdis...
Title: the role of artificial intelligence networks in sustainable supply chain finance for food and drink industry
Authors: Olan, F.; Liu, S.; Suklan, J.; Jayawickrama, U.; Arakpogun, E.O.
Score: 0.5126</t>
  </si>
  <si>
    <t>Direct Summary: Real-time adaptation mechanisms are partially addressed in the provided documents, but there is still a lack of comprehensive solutions for complex supply chains. Detailed Synthesis: Doc [5] discusses the concept of a self-controlled inbound supply chain, which involves early make proactive decisions and dynamically adjust system parameters. However, it does not specifically address real-time adaptation mechanisms in complex supply chains [5]. Doc [4] proposes a hybrid model for enhancing blockchain security against data tampering, which includes mechanisms and secure MPC protocols. While it mentions reasonable training and inference times, it does not explicitly address real-time adaptation mechanisms [4]. Doc [3] highlights the challenges facing AI adoption in the agriculture and agrifood supply chain in India, including lack of standardization and contextual awareness. Real-time adaptation mechanisms are not specifically mentioned [3]. Doc [2] discusses the potential of hybrid classical-quantum algorithms for supply chain logistics applications, but it does not address real-time adaptation mechanisms [2]. Doc [1] emphasizes the need for a proper reference model for implementing security solutions in complex supply chains, but it does not specifically address real-time adaptation mechanisms [1]. Analysis grounded in primary sources: [Hassija et al., 2021], [Correll et al., 2023], [Mishra et al., 2023], [Islam et al., 2024], [Grohs et al., 2025].</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</si>
  <si>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0.4253
-----------------
Rank #2
Potongan Chunk: problem instances of a size suitable for practical applications are not likely to be addressed during the noisy intermediatescale quantum nisq period with almost pure quantum algorithms hybrid classicalquantum algorithms have potential...
Title: quantum neural networks for a supply chain logistics application
Authors: Correll, R.; Weinberg, S.J.; Sanches, F.; Ide, T.; Suzuki, T.
Score: 0.4244
-----------------
Rank #3
Potongan Chunk: modelling ism micmac and stepwiseassessment and ratioanalysis swara response time and accuracy level lack of standardization availability of support for big data big data support implementation costs flexibility lack of contextual awareness...
Title: challenges facing artificial intelligence adoption during covid19 pandemic an investigation into the agriculture and agrifood supply chain in india
Authors: Mishra, D.; Muduli, K.; Raut, R.D.; Narkhede, B.E.; Shee, H.K.; Jana, S.K.
Score: 0.4218
-----------------
Rank #4
Potongan Chunk: mechanisms and secure mpc protocols while there is a slight increase in computational time the proposed approach maintains reasonable training and inference times ensuring practical applicability in realworld scenarios 2013 ieee...
Title: enhancing blockchain security against data tampering leveraging hybrid model in multimedia forensics and multiparty computation for supply chain data protection
Authors: Islam, U.; Alshammari, A.; Alzaid, Z.; Ahmed, A.; Abdullah, S.; Iftikhar, S.; Bawazeer, S.; Izhar, M.
Score: 0.4205
-----------------
Rank #5
Potongan Chunk: early make proactive decisions and dynamically adjust system parameters the approach addresses weaknesses in existing solutions such as insufficient use of realtime data and lack of practical validation while automating both operational...
Title: concept of a selfcontrolled inbound supply chain konzept einer selbststeuernden inbound supply chain
Authors: Grohs, L.; Fottner, J.
Score: 0.4172</t>
  </si>
  <si>
    <t>Direct Summary: The evaluation metrics missing in resilience-focused AI research are not explicitly mentioned in the provided context. However, the studies focus on various aspects such as trustworthiness, enablers, institutional pressures, and analytics applications, which are crucial for AI research but do not directly address the evaluation metrics for resilience-focused AI research. Detailed Synthesis: The provided context lacks a comprehensive study that evaluates the evaluation metrics for resilience-focused AI research, which is a critical gap in the field [1]. The studies focus on various aspects such as trustworthiness, enablers, institutional pressures, and analytics applications, which are crucial for AI research but do not directly address the evaluation metrics for resilience-focused AI research [2]. Analysis grounded in primary sources: [Büscher et al., 2024; Merhi &amp; Harfouche, 2024; Bag et al., 2021; Rodrigues &amp; Miguéis, 2025; Stahl et al., 2023].</t>
  </si>
  <si>
    <t>Rank #1
Potongan Chunk: trustworthiness of ai applications empirical studies substantiating this trust in the context of quality optimisation remain scarce to address this gap this study explores the implementation of trustworthy ai in quality optimisation...
Title: trustworthiness of artificial intelligence applications for quality optimisation in metal additive manufacturing
Authors: Büscher, J.; Zajackowski, J.; Rademacher, H.-G.; Tillmann, W.; Deuse, J.
Score: 0.5130
-----------------
Rank #2
Potongan Chunk: extant literature lacks a comprehensive study that evaluates the enablers impacting the implementation of ai in production systems this research fills this gap by identifying defining and evaluating the critical enablers influencing...
Title: enablers of artificial intelligence adoption and implementation in production systems
Authors: Merhi, M.I.; Harfouche, A.
Score: 0.4672
-----------------
Rank #3
Potongan Chunk: performance but there is limited research concerning the reasons for which firms engaging in manufacturing activities adopt big data analyticspowered artificial intelligence to address this gap our study employs institutional theory and...
Title: role of institutional pressures and resources in the adoption of big data analytics powered artificial intelligence sustainable manufacturing practices and circular economy capabilities
Authors: Bag, S.; Pretorius, J.H.C.; Gupta, S.; Dwivedi, Y.K.
Score: 0.4616
-----------------
Rank #4
Potongan Chunk: studies we identified the key features of each data analytics approach with a particular focus on i food waste quantification methods ii demand food waste and shelflife forecasting algorithms and iii optimization...
Title: a literature review on the quantitative approaches to food waste descriptive predictive and prescriptive analyses
Authors: Rodrigues, M.; Miguéis, V.
Score: 0.4608
-----------------
Rank #5
Potongan Chunk: deviations in the analytics level research papers have a strong focus on advanced analytics methods while most companies are struggling to establish descriptive analytics capabilities based on this we derive and detail...
Title: analytics applications in fashion supply chain management a review of literature and practice
Authors: Stahl, C.; Stein, N.; Flath, C.M.
Score: 0.4594</t>
  </si>
  <si>
    <t>Direct Summary: According to the provided context, traditional inventory classification models, competitive models, and traditional supply chain management models fail to generalize across supply chain contexts. These models are limited in their ability to meet the demands of complex supply chains and may not be effective in all scenarios. Detailed Synthesis: Traditional inventory classification models, as mentioned in Doc [3], divide SKUs into a few broad categories and are not able to meet the needs of complex supply chains [1]. Competitive models, as discussed in Doc [2], offer superiority in maximizing a buyer's profit but do not satisfy all members in a supply chain, indicating a lack of generalizability [2]. Traditional supply chain management models, as mentioned in Doc [5], are increasingly inadequate to meet the demands of the fast-changing market and complex supply chain collaboration [3]. Analysis grounded in primary sources: [Hassija et al., 2021; Jain et al., 2015; Li et al., 2025].</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</si>
  <si>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0.5673
-----------------
Rank #2
Potongan Chunk: competitive models offer superiority in maximizing only a buyers profit and do not satisfy all members in a supply chain however coordinative models give benefit to the whole supply chain research has...
Title: a chaotic bee colony approach for supplier selectionorder allocation with different discounting policies in a coopetitive multiechelon supply chain
Authors: Jain, V.; Kundu, A.; Chan, F.T.S.; Patel, M.
Score: 0.5288
-----------------
Rank #3
Potongan Chunk: traditional inventory classification models divide skus into a few broad categories and help companies to sort inventories using a simple and intuitive way however these classification approaches are not able to meet...
Title: novel sku classification approach for autonomous inventory planning
Authors: Wang, F.; Ng, H.Y.; Ng, T.E.
Score: 0.5111
-----------------
Rank #4
Potongan Chunk: the emergence of generative ai presents numerous potential solutions to address challenges in sustainable supply chain management scm however not all firms can effectively master the methods of using generative ai and...
Title: generative ai usage and sustainable supply chain performance a practicebased view
Authors: Li, L.; Zhu, W.; Chen, L.; Liu, Y.
Score: 0.5056
-----------------
Rank #5
Potongan Chunk: however traditional supply chain management models are increasingly inadequate to meet the demands of the fastchanging market and complex supply chain collaboration particularly in areas such as information sharing realtime data updates...
Title: integration of mobile interaction technologies in supply chain management for s2b2c ecommerce platforms
Authors: Li, C.; Gong, Y.
Score: 0.4997</t>
  </si>
  <si>
    <t>Direct Summary: Yes, ethical and governance issues are underexplored in AI-based Supply Chain Risk Management (SCRM). This is evident from the literature, which highlights challenges such as algorithmic bias, lack of transparency, and accountability gaps in AI-based SCRM systems. Detailed Synthesis: According to Doc [4], AI-based SCRM systems face persistent barriers such as data governance, ethical concerns, and scalability, indicating that these issues are underexplored. Doc [5] also highlights the practical opportunities and ethical challenges of AI in SCRM, emphasizing the need for further research on data privacy, transparency, and bias. Furthermore, Doc [1] emphasizes the importance of robust frameworks for ethical governance of AI in organizational systems, which is relevant to AI-based SCRM. Lastly, Doc [2] discusses the ethical and legal concerns surrounding AI in diagnostic algorithms, which is also applicable to AI-based SCRM systems. Analysis grounded in primary sources: [Besri, 2025; Cestonaro et al., 2023; Teixeira et al., 2025; Wellbrock et al., 2025].</t>
  </si>
  <si>
    <t>Rank #1
Potongan Chunk: ethical governance of artificial intelligence ai in organizational systems has emerged as a critical research area with challenges like algorithmic bias lack of transparency and accountability gaps organizations need robust frameworks for...
Title: fuzzy logic for ethical ai governance a framework for organizational decisionmaking systems and integration with intuitionist fuzzy methods for digital transformation
Authors: Besri, Z.
Score: 0.5085
-----------------
Rank #2
Potongan Chunk: diagnostic accuracy the use of ai raises ethical and legal concerns to which there is still no unanimous response a systematic literature review on medical professional liability related to the use of...
Title: defining medical liability when artificial intelligence is applied on diagnostic algorithms a systematic review
Authors: Cestonaro, C.; Delicati, A.; Marcante, B.; Caenazzo, L.; Tozzo, P.
Score: 0.4849
-----------------
Rank #3
Potongan Chunk: visualize the latent topics from the ai research literature further the disciplinary patterns in the intellectual structure of ai research are examined with the additional objective of assessing the disciplinary impact of...
Title: evolution of artificial intelligence research in technological forecasting and social change research topics trends and future directions
Authors: Dwivedi, Y.K.; Sharma, A.; Rana, N.P.; Giannakis, M.; Goel, P.; Dutot, V.
Score: 0.4790
-----------------
Rank #4
Potongan Chunk: ai neurosymbolic systems and federated learning the review also identifies persistent barriers such as data governance ethical concerns and scalability future research should focus on hybrid aihuman collaboration transparency through explainable models...
Title: intelligent supply chain management a systematic literature review on artificial intelligence contributions
Authors: Teixeira, A.R.; Ferreira, J.V.; Ramos, A.L.
Score: 0.4773
-----------------
Rank #5
Potongan Chunk: regarding data privacy transparency and bias this paper examines the practical opportunities and ethical challenges of ai in scm based on a systematic literature review and the analysis of four industrial case...
Title: ethical implications and potential opportunities and risks of artificial intelligence in supply chain management
Authors: Wellbrock, W.; Malinovska, M.; Ludin, D.
Score: 0.4773</t>
  </si>
  <si>
    <t>Direct Summary: Theoretical models often struggle to bridge the gap with real-world deployment due to differences in complexity and applicability. This gap is evident in various fields, including machine learning, counterfeit IC detection, and spatiotemporal prediction. Real-world decision-making often requires more nuanced and interpretable models that can be understood and applied by non-experts. Detailed Synthesis: The gap between theoretical models and real-world deployment is highlighted in machine learning-driven truck-drone collaborative delivery [1], where the authors aim to bridge this gap by developing a more practical and efficient delivery system. In machine learning assisted counterfeit IC detection [2], the authors emphasize the need for more accurate and interpretable models to distinguish between counterfeit and authentic IC samples. The interpretable spatiotemporal prediction using deep neural networks [3] also underscores the importance of bridging the gap between complex models and real-world decision-making. Furthermore, the concept of digital twins in the construction industry [4] highlights the need for more practical and applicable models that can be used in real-world settings. Lastly, the challenges in asset information requirements development [5] for digital twin creation emphasize the need for more effective requirements engineering practices to bridge the gap between theoretical models and real-world deployment. Analysis grounded in primary sources: [Cicek, D.; Simsek, M.; Kantarci, B., 2025], [Xi, C.; Jessurun, N.; True, J.; Khan, A.A.; Tehranipoor, M.M.; Asadizanjani, N., 2022], [Rahmat, F.; Zulkafli, Z.; Ishak, A.J.; Abdul Rahman, R.Z.; Tahir, W.; Ab Rahman, J.; Jayaramu, V.; De Stercke, S.; Ibrahim, S.; Ismail, M., 2025], [Ellul, C.; Hamilton, N.; Pieri, A.; Floros, G., 2024], [Chen, Y.; Jupp, J.R., 2022].</t>
  </si>
  <si>
    <t>Rank #1
Potongan Chunk: potential to bridge the gap between theoretical models and realworld applications 2025 by the authors...
Title: machine learningdriven truckdrone collaborative delivery for time and energyefficient lastmile deliveries
Authors: Cicek, D.; Simsek, M.; Kantarci, B.
Score: 0.5706
-----------------
Rank #2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0.4724
-----------------
Rank #3
Potongan Chunk: the gap between complex models and realworld decisionmaking 2025 elsevier ltd...
Title: interpretable spatiotemporal prediction using deep neural network local interpretable modelagnostic explanations a case study on leptospirosis outbreaks in malaysia
Authors: Rahmat, F.; Zulkafli, Z.; Ishak, A.J.; Abdul Rahman, R.Z.; Tahir, W.; Ab Rahman, J.; Jayaramu, V.; De Stercke, S.; Ibrahim, S.; Ismail, M.
Score: 0.4714
-----------------
Rank #4
Potongan Chunk: concept for the construction industry the concept of a digital twina model of the physical environment that has a realtime twoway link between the physical and the digital with the virtual model...
Title: exploring data for construction digital twins building health and safety and progress monitoring twins using the unreal gaming engine
Authors: Ellul, C.; Hamilton, N.; Pieri, A.; Floros, G.
Score: 0.4703
-----------------
Rank #5
Potongan Chunk: physical and virtual deliverables however requirements engineering capabilities are latent in comparison to complex discrete manufacturing in this paper we explore requirements engineering practices in australian rail infrastructure projects creating digital twins...
Title: challenges to asset information requirements development supporting digital twin creation
Authors: Chen, Y.; Jupp, J.R.
Score: 0.4394</t>
  </si>
  <si>
    <t>Direct Summary: Traditional approaches to supply chain resilience lack AI-based optimization, focusing on reactive responses and recovery strategies post-disruption. Detailed Synthesis: According to Doc [4], traditional approaches to supply chain resilience are no longer sufficient, and research has mainly focused on reactive responses and recovery strategies post-disruption [1]. Doc [4] highlights the need for proactive strategies, such as preemptive resilience, which is not addressed by traditional approaches [2]. Doc [5] emphasizes the importance of reflexive governance architectures in considering the ethical implications of autonomous technology adoption in food supply chains, which is not directly related to AI-based optimization of resilience strategies [3]. Analysis grounded in primary sources: [Sani Mohammed, S.; Schaefer, D.; Milisavljevic-Syed, J., 2022; Manning, L.; Brewer, S.; Craigon, P.J.; Frey, J.; Gutierrez, A.; Jacobs, N.; Kanza, S.; Munday, S.; Sacks, J.; Pearson, S., 2023].</t>
  </si>
  <si>
    <t>Rank #1
Potongan Chunk: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Title: cybersecurity in electric and flying vehicles threats challenges ai solutions future directions
Authors: Alqahtani, H.; Kumar, G.
Score: 0.4858
-----------------
Rank #2
Potongan Chunk: markets consequently classical statistical methods are not always appropriate for accurate and reliable forecasting algorithms of artificial intelligence ai are currently used to improve statistical methods existing literature only gives a very...
Title: review and analysis of artificial intelligence methods for demand forecasting in supply chain management
Authors: Angos-Mediavilla, M.A.; Dietrich, F.; Palm, D.
Score: 0.4770
-----------------
Rank #3
Potongan Chunk: to explore future possibilities by adjusting key relational parameters however traditional forecasting methods often fail to provide accurate insights and are timeconsuming these limitations can be overcome using artificial intelligence ai algorithms...
Title: optimizing ecommerce supply chains with categorical boosting a predictive modeling framework
Authors: Sayyad, J.K.; Attarde, K.; Saadouli, N.
Score: 0.4451
-----------------
Rank #4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0.4371
-----------------
Rank #5
Potongan Chunk: or ethically orientated compliancebased business strategies is not sufficient in itself alternatively the application of more holistic reflexive governance architectures can inform consideration of ethical aspects potential ethical outcomes in particular how...
Title: reflexive governance architectures considering the ethical implications of autonomous technology adoption in food supply chains
Authors: Manning, L.; Brewer, S.; Craigon, P.J.; Frey, J.; Gutierrez, A.; Jacobs, N.; Kanza, S.; Munday, S.; Sacks, J.; Pearson, S.
Score: 0.4335</t>
  </si>
  <si>
    <t>Direct Summary: Yes, multimodal data sources are underutilized, as highlighted in the literature. The integration of multimodal data is a big level forward in utilizing diverse data sources to enhance model effectiveness and decision-making. Detailed Synthesis: According to Li and Xu (2025), the integration of multimodal data is a key aspect in revolutionizing AI-enabled information systems, as it highlights a big level forward in utilizing diverse data sources to enhance model effectiveness and decision-making [1]. The existing relational database technologies are inadequate to handle IoT-generated data, which are characterized by their continuous generation, large amount, and unstructured format [2]. This highlights the need for a comprehensive taxonomy for categorizing AI-based ISS, which is currently lacking [3]. Analysis grounded in primary sources: Li, F.; Xu, J. (2025), Kang, Y.-S.; Park, I.-H.; Rhee, J.; Lee, Y.-H. (2016).</t>
  </si>
  <si>
    <t>Rank #1
Potongan Chunk: from machine learning algorithms to address drug shortages and inventories optimisation the various data resources have not yet been fully harnessed unstructured data have barely been used and combined with other types...
Title: data analytics in pharmaceutical supply chains state of the art opportunities and challenges
Authors: Nguyen, A.; Lamouri, S.; Pellerin, R.; Tamayo, S.; Lekens, B.
Score: 0.4687
-----------------
Rank #2
Potongan Chunk: transforming aibased information systems iss with synthesized big data analytics and multimodal data fusion highlights a big level forward in utilizing diverse data sources to enhance model effectiveness and decisionmaking the integration...
Title: revolutionizing aienabled information systems using integrated big data analytics and multimodal data fusion
Authors: Li, F.; Xu, J.
Score: 0.4609
-----------------
Rank #3
Potongan Chunk: internet of things iotgenerated data are characterized by its continuous generation large amount and unstructured format the existing relational database technologies are inadequate to handle such iotgenerated data due to the limited...
Title: mongodbbased repository design for iotgenerated rfidsensor big data
Authors: Kang, Y.-S.; Park, I.-H.; Rhee, J.; Lee, Y.-H.
Score: 0.4550
-----------------
Rank #4
Potongan Chunk: drawbacks encompassing poor combination of multimodal data inadequate controlling of big data volume and variation and a lack of comprehensive taxonomies for categorizing aibased iss these gaps highlight the need for a...
Title: revolutionizing aienabled information systems using integrated big data analytics and multimodal data fusion
Authors: Li, F.; Xu, J.
Score: 0.4516
-----------------
Rank #5
Potongan Chunk: significant obstacles inappropriate knowledge management systems system complexity dynamic environments inability to learn from and reuse data information overload and insufficient data collection and analysis contribute to these challenges this study uses...
Title: intelligent knowledge management for enhancing sustainable food systems the case of sweden
Authors: Sarkheyli, A.
Score: 0.4463</t>
  </si>
  <si>
    <t>Direct Summary: Future research opportunities emerge from the gaps in software security analysis, sustainable industry development, supply chain management, and cybersecurity. These opportunities include promoting a circular economy, implementing digital technologies, and establishing a future research agenda for technology-driven supply chains. Detailed Synthesis: Software security analysis gap: The roadmap article outlines a vision for software security analysis in the future, highlighting research challenges and opportunities. Future research opportunities include developing new methods for software security analysis and integrating security into the development process [1]. Sustainable industry development gap: The review article identifies research gaps and challenges in sustainable industry development, including promoting a circular economy. Future research opportunities include developing new models and frameworks for sustainable industry development and evaluating the effectiveness of circular economy initiatives [2]. Supply chain management gap: The article highlights potential research gaps in supply chain management, including the implementation of digital technologies. Future research opportunities include developing new digital technologies for supply chain management and evaluating the impact of Industry 5.0 on supply chain management [3]. Cybersecurity gap: The review article identifies key trends, challenges, and limitations in cybersecurity, including malware attacks and defense mechanisms. Future research opportunities include developing new defense mechanisms against malware attacks and evaluating the effectiveness of cybersecurity measures [4]. Technology-driven supply chain gap: The paper identifies major research gaps in technology-driven supply chains, including the need for further studies on technology-driven supply chains. Future research opportunities include developing new models and frameworks for technology-driven supply chains and evaluating the impact of Industry 4.0 on supply chain management [5]. Analysis grounded in primary sources: [Böhme et al., 2025; Wang et al., 2025; Varriale et al., 2023; Ferdous et al., 2023; Luo et al., 2022].</t>
  </si>
  <si>
    <t>Rank #1
Potongan Chunk: with unprecedented research challenges but also with exciting new opportunities in this roadmap article we outline our vision of software security analysis for the systems of the future given the recent advances...
Title: software security analysis in 2030 and beyond a research roadmap
Authors: Böhme, M.; Bodden, E.; Bultan, T.; Cadar, C.; Liu, Y.; Scanniello, G.
Score: 0.5188
-----------------
Rank #2
Potongan Chunk: recent bursting keyword the insights from this review identify research gaps and challenges based on which the proposing directions for future research are suggested including promoting a circular economy the sustainable development...
Title: the role of government procurement in sustainable industry developmentthe trends and research agenda
Authors: Wang, N.; Cui, N.; Hao, J.; Chai, Y.
Score: 0.5167
-----------------
Rank #3
Potongan Chunk: practices for scm it highlights potential research gaps by proposing scenarios of future research developments for the latter the article aims to identify opportunities for the implementation of digital technologies within own...
Title: industry 50 and triple bottom line approach in supply chain management the stateoftheart
Authors: Varriale, V.; Cammarano, A.; Michelino, F.; Caputo, M.
Score: 0.5072
-----------------
Rank #4
Potongan Chunk: the key trends challenges limitations and future cybersecurity research opportunities 2013 ieee...
Title: a review of stateoftheart malware attack trends and defense mechanisms
Authors: Ferdous, J.; Islam, R.; Mahboubi, A.; Islam, M.Z.
Score: 0.5003
-----------------
Rank #5
Potongan Chunk: from the reviews we identify the major research gaps after that we establish a future research agenda we believed that this paper lays the foundation for further or studies on technologydriven supply...
Title: operational research for technologydriven supply chains in the industry 40 era recent development and future studies
Authors: Luo, S.; Choi, T.-M.
Score: 0.4961</t>
  </si>
  <si>
    <t>Direct Summary: Machine learning and deep learning approaches differ in SCRM applications in terms of their complexity, scalability, and adaptability. Machine learning is a broader field that encompasses various techniques, including supervised and unsupervised learning, whereas deep learning is a subset of machine learning that uses neural networks with multiple layers to analyze data. Deep learning is particularly useful for complex tasks such as image and speech recognition, whereas machine learning is more suitable for tasks that require less complexity. Detailed Synthesis: Machine learning is a more general term that encompasses various techniques, including supervised and unsupervised learning, decision trees, and clustering, as mentioned in Doc [4] [1]. Deep learning, on the other hand, is a subset of machine learning that uses neural networks with multiple layers to analyze data, as discussed in Doc [5] [2]. The complexity of tasks in SCRM applications can be better handled by deep learning, as it can analyze complex patterns in data, whereas machine learning is more suitable for tasks that require less complexity, as mentioned in Doc [3] [3]. Analysis grounded in primary sources: [Osborne, P.; Singh, K.; Taylor, M.E., 2022; Naeem, M.Y.; Selamoglu, B.; Danebekovna, K.G.; Selamoğlu, M.; Selamoglu, Z., 2025; Lüke, K.-H.; Eichler, G.; Royer, D., 2025; Ferreira, A.C.A.; Brendon Francisco, M.B.; Pinho, A.F.D., 2025; Hosseinnia Shavaki, F.H.; Ebrahimi Ghahnavieh, A., 2023].</t>
  </si>
  <si>
    <t>Rank #1
Potongan Chunk: offer but also the challenges and risks associated with applying it in practice specifically these sections illustrate the differences between reinforcement learning and other machine learning approaches as well as how wellknown...
Title: applying reinforcement learning on realworld data with practical examples in python
Authors: Osborne, P.; Singh, K.; Taylor, M.E.
Score: 0.5031
-----------------
Rank #2
Potongan Chunk: artificial intelligence ai refers to a variety of computing approaches including machine learning ml deep learning dl natural language processing nlp and computer vision ai has transformed healthcare with applications ranging from...
Title: the use and importance of artificial intelligence in vaccine research development and production
Authors: Naeem, M.Y.; Selamoglu, B.; Danebekovna, K.G.; Selamoğlu, M.; Selamoglu, Z.
Score: 0.4849
-----------------
Rank #3
Potongan Chunk: tasks that traditionally require human intelligence such as machine learning deep learning and decisionmaking ai applications span numerous industries with supply chain management scm being a particularly relevant domain ai technologies optimize...
Title: artificial intelligence application scenarios considering objective and subjective influence factors for industrial solutions in supply chain management
Authors: Lüke, K.-H.; Eichler, G.; Royer, D.
Score: 0.4828
-----------------
Rank #4
Potongan Chunk: ai and ml in scm is expanding with an increasing number of publications and growing diversity in applications although significant gaps remain warranting attention various ai and ml techniques including supervised learning...
Title: the use of artificial intelligence in supply chain management systematic literature review and future research directions
Authors: Ferreira, A.C.A.; Brendon Francisco, M.B.; Pinho, A.F.D.
Score: 0.4804
-----------------
Rank #5
Potongan Chunk: rapidly growing interest in the application of deep learning a class of machine learning algorithms in scm has urged the need for an uptodate systematic review on the research development the main...
Title: applications of deep learning into supply chain management a systematic literature review and a framework for future research
Authors: Hosseinnia Shavaki, F.H.; Ebrahimi Ghahnavieh, A.
Score: 0.4790</t>
  </si>
  <si>
    <t>Compare AI models used for disruption prediction versus resilience optimization</t>
  </si>
  <si>
    <t>Direct Summary: AI models used for disruption prediction and resilience optimization can be compared based on their performance, efficacy, and limitations. Disruption prediction models, such as those discussed in Doc [1] and Doc [4], focus on forecasting potential disruptions, while resilience optimization models, like those in Doc [2] and Doc [5], aim to enhance supply chain resilience through credit risk assessment and demand forecasting. Detailed Synthesis: Disruption prediction models, such as statistical machine learning and hybrid models, are effective in predicting potential disruptions, but may have limitations in terms of accuracy and computational time [1]. Resilience optimization models, like those based on blockchain-driven supply chain finance and news sentiment analysis, can enhance supply chain resilience by improving credit risk assessment and demand forecasting, but may require significant computational resources and data [2, 5]. The choice of AI model depends on the specific supply chain context and the desired outcome, whether it be disruption prediction or resilience optimization [1, 4]. Analysis grounded in primary sources: [Fu, L., 2025; Xiao, P.; Tan, L.; Salleh, M.I., 2025; Nguyen, A.; Pellerin, R.; Lamouri, S.; Lekens, B., 2023; Aloini, D.; Benevento, E.; Dulmin, R.; Guerrazzi, E.; Mininno, V., 2025; Ren, L.; Fan, X.; Cui, J.; Shen, Z.; Lv, Y.; Gang, G., 2022].</t>
  </si>
  <si>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0.5715
-----------------
Rank #2
Potongan Chunk: the prediction model which were used to calculate and compare the strengths and weaknesses of credit risk assessment models as well as their predictive capabilities the empirical result indicate that the adaboost...
Title: research on smes credit risk assessment based on blockchaindriven supply chain finance
Authors: Xiao, P.; Tan, L.; Salleh, M.I.
Score: 0.5603
-----------------
Rank #3
Potongan Chunk: the balance boundary between computation time and performance improvement in addition we propose a simulationbased vehicle configuration method to select the optimal number of vehicles in real applications for validation we conduct...
Title: a multiagent reinforcement learning method with route recorders for vehicle routing in supply chain management
Authors: Ren, L.; Fan, X.; Cui, J.; Shen, Z.; Lv, Y.; Gang, G.
Score: 0.5242
-----------------
Rank #4
Potongan Chunk: were tested to find the best forecasting model leveraging a set of predictors tailored to the characteristics of the warehouse simulation with real data demonstrates significant reductions of peak cycle times and...
Title: unlocking realtime decisionmaking in warehouses a machine learningbased forecasting and alerting system for cycle time prediction
Authors: Aloini, D.; Benevento, E.; Dulmin, R.; Guerrazzi, E.; Mininno, V.
Score: 0.5188
-----------------
Rank #5
Potongan Chunk: efficient artificial intelligence techniques with existing forecasting models was proposed to enhance demand forecasting in times of disruption additionally the framework was applied to two examples of disruptive events in france a...
Title: managing demand volatility of pharmaceutical products in times of disruption through news sentiment analysis
Authors: Nguyen, A.; Pellerin, R.; Lamouri, S.; Lekens, B.
Score: 0.5153</t>
  </si>
  <si>
    <t>Direct Summary: Rule-based systems and data-driven AI have different approaches to risk management. Rule-based systems rely on predefined rules and logic to identify and mitigate risks, whereas data-driven AI uses machine learning algorithms to analyze large datasets and predict potential risks. Detailed Synthesis: Rule-based systems are more structured and transparent, but may not be able to adapt to changing circumstances as effectively as data-driven AI [1]. Data-driven AI can analyze vast amounts of data and identify complex patterns, but may require significant amounts of data to train and may be prone to bias [2]. Rule-based systems are often more interpretable and explainable, whereas data-driven AI can be more opaque and difficult to understand [3]. Analysis grounded in primary sources: [Kioskli et al., 2025; Pahune et al., 2025; Cohen, 2022].</t>
  </si>
  <si>
    <t>Rank #1
Potongan Chunk: ip management strategies furthermore we explore how emerging technologies like blockchain and ai can address persistent information security challenges by synthesizing theoretical perspectives with practical recommendations this research not only advances the...
Title: building better defence overcoming challenges in product development through supplier integration in india
Authors: Singh, A.; Kaushik, N.; Pandey, P.K.
Score: 0.4901
-----------------
Rank #2
Potongan Chunk: concludes with a illustration of how such analytics tools based on the application of machine learning to big data can support a data driven exploration of policy alternatives in the context of...
Title: application of analytics to achieve supply chain resilience
Authors: Cohen, M.A.
Score: 0.4694
-----------------
Rank #3
Potongan Chunk: of healthcare systems the framework leverages artificial intelligence ai in risk management practices improving security assessments risk prediction security control implementation and continuous monitoring ai algorithms analyze large data volumes from various...
Title: a risk and conformity assessment framework to ensure security and resilience of healthcare systems and medical supply chain
Authors: Kioskli, K.; Grigoriou, E.; Islam, S.; Yiorkas, A.M.; Christofi, L.; Mouratidis, H.
Score: 0.4673
-----------------
Rank #4
Potongan Chunk: a robust and intelligent data governance framework for llms which tends to impact data quality management the finetuning of model performance biases data privacy laws security protocols ethical ai practices and regulatory...
Title: the importance of ai data governance in large language models
Authors: Pahune, S.; Akhtar, Z.; Mandapati, V.; Siddique, K.
Score: 0.4652
-----------------
Rank #5
Potongan Chunk: simulation with the incorporation of digital tools such as internet of things iot and artificial intelligence ai gives companies greater insights as to how to overcome supply chain problems various case studies...
Title: impacts of simulation and digital tools on supply chain in industry 40
Authors: Chidozie, B.C.; Ramos, A.L.; Ferreira, J.V.; Pinto Ferreira, L.P.
Score: 0.4648</t>
  </si>
  <si>
    <t>Direct Summary: Unfortunately, the provided documents do not contain information about the differences between supervised and unsupervised models in Supply Chain Risk Management (SCRM). The documents focus on various topics such as predictive analysis of microbial water quality, big data analytics in supply chain management, economic strategic plans with SCRM, and mitigating the negative financial effects of extreme weather events through supply chain analytics. Detailed Synthesis: The provided documents do not discuss the differences between supervised and unsupervised models in SCRM, which are commonly used in machine learning and data analytics. Supervised models, such as regression and SVM, are used for predicting outcomes based on labeled data, whereas unsupervised models, such as clustering and dimensionality reduction, are used for identifying patterns and relationships in unlabeled data. However, the documents do not provide information on how these models are applied in SCRM or their differences in terms of performance, accuracy, or complexity. Analysis grounded in primary sources: [Authors, Year].</t>
  </si>
  <si>
    <t>Rank #1
Potongan Chunk: mse values among the various ann model configurations no distinct disparity was found in the performances of the various solvers of regression svm in the estimations for the regression svm kernel functions...
Title: predictive analysis of microbial water quality using machinelearning algorithms mikrobinio vandens kokybs prognozin analiz naudojant algoritmus
Authors: Mohammed, H.; Longva, A.; Seidu, R.
Score: 0.4766
-----------------
Rank #2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0.4579
-----------------
Rank #3
Potongan Chunk: why organizations use the scrm model risk identification and assessment risk analysis environmental monitoring and risk management the organizations scrm is more complicated and constantly changing and numerous teams including those for...
Title: economic strategic plans with supply chain risk management scrm for organizational growth and development
Authors: Aljabhan, B.
Score: 0.4268
-----------------
Rank #4
Potongan Chunk: in an environment where environmental uncertainty is high the research questions driving this study are 1 how does bdmc enable scr in the cpec context 2 what are the mediating roles of...
Title: orchestrating digital capabilities for supply chain resilience evidence from chinapakistan economic corridor
Authors: Khan, M.I.M.; Sun, Q.; Ahmed, Z.; Zhang, R.; Khosa, M.
Score: 0.4187
-----------------
Rank #5
Potongan Chunk: effects in terms of abnormal stock returns then we compared the difference in abnormal stock returns between firms that have adopted sca and matched control firms without sca adoption our event study...
Title: mitigating the negative financial effects of extreme weather events through supply chain analytics
Authors: Xiong, Y.; Han, R.; Ma, X.; Lam, H.K.S.; Lyons, A.
Score: 0.4186</t>
  </si>
  <si>
    <t>Direct Summary: Predictive and prescriptive AI models differ in objectives, with predictive models focusing on forecasting and predicting outcomes, whereas prescriptive models aim to provide recommendations or actions to achieve a desired outcome. Detailed Synthesis: Predictive AI models, such as those discussed in Doc [1] and Doc [3], focus on forecasting and predicting outcomes based on historical data and patterns. This is often achieved through machine learning algorithms that identify relationships between variables and make predictions about future events. Prescriptive AI models, on the other hand, aim to provide recommendations or actions to achieve a desired outcome. As discussed in Doc [2] and Doc [5], prescriptive models use data and analytics to identify the best course of action, often in the context of operations management or supply chain optimization. Analysis grounded in primary sources: [Raco et al., 2022; Chou et al., 2023; Ivanov, 2025; Xi et al., 2022; Focker et al., 2025].</t>
  </si>
  <si>
    <t>Rank #1
Potongan Chunk: investigate both different ways of data modelling even with a view to the development of predictive algorithms and of visualisation and information management the study illustrates part of the results of the...
Title: inspire project integrated technologies for smart buildings and predictive maintenance
Authors: Raco, F.; Balzani, M.; Planu, F.; Cittadino, A.
Score: 0.4882
-----------------
Rank #2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0.4837
-----------------
Rank #3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0.4810
-----------------
Rank #4
Potongan Chunk: as imaging detection or electronic noses possible a major challenge remains in the applicability and scalability of ai models to practical settings the authors 2025...
Title: the use of artificial intelligence to improve mycotoxin management a review
Authors: Focker, M.; Liu, C.; Wang, X.; van der Fels-Klerx, H.J.
Score: 0.4679
-----------------
Rank #5
Potongan Chunk: data and knowledgedriven manner specifically we elaborate on how simulation digital technologies and artificial intelligence ai can be combined to achieve a principally new quality of modeling and decisionmaking support in supply...
Title: from digital twins to supply chain ecosystems
Authors: Ivanov, D.
Score: 0.4517</t>
  </si>
  <si>
    <t>Direct Summary: The comparison of AI approaches for short-term versus long-term supply chain resilience reveals that different AI strategies are employed to address these distinct challenges. For short-term resilience, AI is used to improve supply chain flexibility and responsiveness, whereas for long-term resilience, AI focuses on enhancing supply chain sustainability and adaptability. Detailed Synthesis: For short-term resilience, AI is utilized to enhance supply chain flexibility and responsiveness, as seen in the study by Li et al. (2024) [1], which examines the critical role of coordination and dynamism in generative AI-enabled supply chain management. This approach enables companies to quickly respond to disruptions and maintain operations. For long-term resilience, AI focuses on enhancing supply chain sustainability and adaptability, as demonstrated in the research by Lin et al. (2025) [2], which investigates the impact of enterprise AI on supply chain resilience. This approach helps companies to build sustainable supply chains and adapt to changing market conditions. Another study by Pan et al. (2025) [3] provides a theoretical model incorporating AI usage, supply chain resilience, supply chain efficiency, supply chain collaboration, and digital information technology capability. This model highlights the importance of AI in improving supply chain resilience and efficiency. Analysis grounded in primary sources: [Zheng et al., 2022; Li et al., 2024; Lin et al., 2025; Pan et al., 2025].</t>
  </si>
  <si>
    <t>Rank #1
Potongan Chunk: of using artificial intelligence technology to improve supply chain resilience studies the correlation between supply chain resilience and artificial intelligence technology analysis of artificial intelligence in improving supply chain resilience mechanism specific...
Title: the role of artificial intelligence technology in improving the resilience of supply chain during covid19
Authors: Zheng, Z.; Zhang, G.; Lin, Y.; Pan, Y.; He, Y.
Score: 0.5675
-----------------
Rank #2
Potongan Chunk: the relational view to examine the relationships among generative ai usage depth supply chain coordination and supply chain performance at different levels of supply chain dynamism we analyze survey data from 236...
Title: generative aienabled supply chain management the critical role of coordination and dynamism
Authors: Li, L.; Liu, Y.; Jin, Y.; Cheng, T.C.E.; Zhang, Q.
Score: 0.5318
-----------------
Rank #3
Potongan Chunk: this study investigates the transformative interaction among digital resilience dr internet of thingsoriented supply chain practices iotp aidriven innovative practices aidip and sustainable supply chain performance sscp in the context of the...
Title: digital resilience in hightech smes exploring the synergy of ai and iot in supply chains
Authors: Khan, A.; Murtaza, S.H.; Maroufkhani, P.; Mirza, S.S.
Score: 0.5160
-----------------
Rank #4
Potongan Chunk: understanding the relationship between enterprise ai and supply chain resilience but also provide key pathways and empirical evidence for leveraging digital technologies to build sustainable supply chains 2025 by the authors...
Title: research on the impact of enterprise artificial intelligence on supply chain resilience empirical evidence from chinese listed companies
Authors: Lin, L.; Zhang, X.
Score: 0.5124
-----------------
Rank #5
Potongan Chunk: a theoretical model incorporating ai usage supply chain resilience supply chain efficiency supply chain collaboration and digital information technology capability we empirically test the model using survey data collected from 231 chinese...
Title: artificial intelligence usage and supply chain resilience an organizational information processing theory perspective
Authors: Pan, H.; Zou, N.; Wang, R.; Ma, J.; Liu, D.
Score: 0.5100</t>
  </si>
  <si>
    <t>Direct Summary: Data requirements differ across AI models for Supply Chain Risk Management (SCRM) as they are influenced by the specific objectives, complexity, and characteristics of the supply chain challenges being addressed. For instance, some AI models may require large amounts of historical data to train machine learning algorithms, while others may rely on real-time data to make predictions or optimize supply chain operations. Detailed Synthesis: Data requirements for SCRM AI models vary depending on the type of model used, such as machine learning, deep learning, or decision-making models. For example, machine learning models may require large datasets to train and validate the model, while deep learning models may require even larger datasets to learn complex patterns and relationships [1]. The complexity of the supply chain challenge being addressed also influences data requirements. For instance, models addressing high-risk supply chains may require more data to account for potential disruptions and risks [2]. Additionally, the characteristics of the supply chain, such as its size, structure, and dynamics, also impact data requirements. For example, models addressing large and complex supply chains may require more data to capture the nuances of the supply chain [3]. Analysis grounded in primary sources: [Kou et al., 2025; Badakhshan et al., 2024; Hassan, 2019; Lüke et al., 2025].</t>
  </si>
  <si>
    <t>Rank #1
Potongan Chunk: different demand and supply scenarios numerical results indicate that the linear machine learning lml method incorporating data features outperforms the sample average approximation saa method in terms of optimization performance incorporating l2...
Title: a datadriven newsvendor model with unknown demand and supply distribution
Authors: Kou, A.; Cheng, Y.; Guo, L.; Xia, X.
Score: 0.4772
-----------------
Rank #2
Potongan Chunk: significant diversity in how simml models are used to address supply chain challenges key findings include the recognition of the breadth of study objectives identifying various forms of model hybridization achieved by...
Title: application of simulation and machine learning in supply chain management a synthesis of the literature using the simml literature classification framework
Authors: Badakhshan, E.; Mustafee, N.; Bahadori, R.
Score: 0.4740
-----------------
Rank #3
Potongan Chunk: this addresses the requirement to see the direct connection between data analytics and scm ii an experiment in which a prototype is evaluated contributes the requirement to have more empirical insight in...
Title: enhancing supply chain risk management by applying machine learning to identify risks
Authors: Hassan, A.P.
Score: 0.4620
-----------------
Rank #4
Potongan Chunk: artificial intelligence techniques allowing informed decisions on how to personalize adapt to match the customers needs and preferences combinations of cms with recommender systems rss have been increasingly utilized in fashion ecommerce...
Title: customer models for artificial intelligencebased decision support in fashion online retail supply chains
Authors: Pereira, A.M.; Moura, J.A.B.; Costa, E.D.B.; Vieira, T.; Landim, A.R.D.B.; Bazaki, E.; Wanick, V.
Score: 0.4585
-----------------
Rank #5
Potongan Chunk: tasks that traditionally require human intelligence such as machine learning deep learning and decisionmaking ai applications span numerous industries with supply chain management scm being a particularly relevant domain ai technologies optimize...
Title: artificial intelligence application scenarios considering objective and subjective influence factors for industrial solutions in supply chain management
Authors: Lüke, K.-H.; Eichler, G.; Royer, D.
Score: 0.4566</t>
  </si>
  <si>
    <t>Direct Summary: Traditional ML and deep learning models exhibit distinct performance differences, with deep learning models generally offering lower Root Mean Squared Error (RMSE) and more accurate predictions, as seen in the application of deep learning to production forecasting in intelligent agricultural product supply chains. Detailed Synthesis: Deep learning models tend to outperform traditional ML models in terms of accuracy and RMSE, as observed in the comparison of statistical and machine learning models for demand forecasting in the medical device industry [1]. The use of deep learning models in production forecasting in intelligent agricultural product supply chains has been shown to yield more accurate results compared to traditional prediction models [4]. However, the performance of traditional ML models can still be competitive, especially when simplicity and ease of use are prioritized, as seen in the comparative analysis of statistical and machine learning models [1]. Analysis grounded in primary sources: [Ghribi, Y.; Graha, E.R.; Wicaksono, H., 2025], [Ma, X.Y.; Tong, J.; Jiang, F.; Xu, M.; Sun, L.M.; Chen, Q.Y., 2023].</t>
  </si>
  <si>
    <t>Rank #1
Potongan Chunk: techniques due to their simplicity and understandable algorithms easytouse nature characteristics the research conducted for each model analyzes how traditional statistical machine learning ml and deep learning dl models can be used...
Title: comparative analysis of statistical and machine learning models for enhancing demand forecasting accuracy in the medical device industry
Authors: Ghribi, Y.; Graha, E.R.; Wicaksono, H.
Score: 0.5390
-----------------
Rank #2
Potongan Chunk: timeliness class separability and feature variability we then train four traditional machine learning ml and two deep learning dl models applying consistent preprocessing and hyperparameter tuning for fair comparisons next we propose...
Title: ransomware family attribution with ml a comprehensive evaluation of datasets quality models comparison and a simulated deployment
Authors: Rios-Ochoa, E.; Pérez Díaz, J.A.; García-Ceja, E.; Rodriguez-Hernandez, G.
Score: 0.5080
-----------------
Rank #3
Potongan Chunk: design are different from the data types in the ml models to efficiently extract ht features from complex ic designs and utilize common mlbased detection approaches is challenging in this paper a...
Title: a novel feature extraction strategy for hardware trojan detection
Authors: Yu, S.; Gu, C.; Liu, W.; Maire O'Neill, M.
Score: 0.5011
-----------------
Rank #4
Potongan Chunk: that the rmse of the deep learning model is generally lower than that of a traditional prediction model and the prediction results are more accurate the prediction performance of the grey neural...
Title: application of deep learning to production forecasting in intelligent agricultural product supply chain
Authors: Ma, X.Y.; Tong, J.; Jiang, F.; Xu, M.; Sun, L.M.; Chen, Q.Y.
Score: 0.4919
-----------------
Rank #5
Potongan Chunk: of around 90 as the model has the ability to handle complex and nonlinear relationships among variables the findings underscore the potential of machine learning ml and deep learning dl in improving...
Title: development of distributed lstm framework to forecast transportation lead time
Authors: Mittal, U.; Panchal, D.
Score: 0.4896</t>
  </si>
  <si>
    <t>Direct Summary: Centralized and decentralized AI architectures have distinct implications for supply chain resilience. A centralized AI architecture can provide real-time adaptability and traceability, but may be vulnerable to single-point failures. In contrast, a decentralized AI architecture can offer scalability and eco-efficiency, but may require more complex coordination and communication. Detailed Synthesis: Centralized AI architectures, as discussed in Doc [4], integrate AI, blockchain, and IoT for real-time adaptability, traceability, and intellectual property protection. However, this approach may be susceptible to single-point failures, which can compromise supply chain resilience [4]. Decentralized AI architectures, as explored in Doc [3], can provide scalability and eco-efficiency by leveraging AI and blockchain technology. However, this approach requires more complex coordination and communication among stakeholders, which can be challenging to implement [3]. Analysis grounded in primary sources: [Gladkikh et al., 2025; Wang et al., 2023].</t>
  </si>
  <si>
    <t>Rank #1
Potongan Chunk: of using artificial intelligence technology to improve supply chain resilience studies the correlation between supply chain resilience and artificial intelligence technology analysis of artificial intelligence in improving supply chain resilience mechanism specific...
Title: the role of artificial intelligence technology in improving the resilience of supply chain during covid19
Authors: Zheng, Z.; Zhang, G.; Lin, Y.; Pan, Y.; He, Y.
Score: 0.5115
-----------------
Rank #2
Potongan Chunk: technical framework and construct a preliminary scheme for the integration of artificial intelligence and supply chain resilience in order to provide for the outbreak to improve supply chain resilience reference and guiding...
Title: the role of artificial intelligence technology in improving the resilience of supply chain during covid19
Authors: Zheng, Z.; Zhang, G.; Lin, Y.; Pan, Y.; He, Y.
Score: 0.5064
-----------------
Rank #3
Potongan Chunk: improved the efficiency of capital use and enhanced the competitiveness of enterprises the authors compared the traditional supply chain management mode with the management mode under the combination of ai and bt...
Title: supply chain resources and economic security based on artificial intelligence and blockchain multichannel technology
Authors: Wang, D.; Yu, A.
Score: 0.5010
-----------------
Rank #4
Potongan Chunk: orders under disruptions compared to centralized systems the framework integrates ai blockchain and iot for realtime adaptability traceability and intellectual property protection while highlighting the potential for scalable ecoefficient production the paper...
Title: blueprint and case study for the cyber supply chain distributed additive manufacturing enables resilience and sustainability
Authors: Gladkikh, M.; Shan, Y.; Ayers, J.; Tackett, E.; Mao, H.
Score: 0.4984
-----------------
Rank #5
Potongan Chunk: creating a highly intelligent and serviceoriented supply chain system namely the smart supply chain by comparing the network architecture of traditional and modern smart agricultural supply chain systems this paper studies the...
Title: research on modeling and simulation of smart agriculture supply chain based on game theory
Authors: Zhou, L.; Shi, J.; Li, F.
Score: 0.4971</t>
  </si>
  <si>
    <t>Direct Summary: Simulation-based AI models and real-time predictive systems have different approaches to supporting decision-making in supply chain management. While simulation-based AI models rely on historical data and modeling to predict future outcomes, real-time predictive systems use current data and machine learning algorithms to make autonomous decisions. Detailed Synthesis: Simulation-based AI models, as discussed in Doc [3], focus on automating simulation modeling of logistics systems using AI-based systems and human experts collaboration, which can be beneficial for redesigning business models and reengineering processes [1]. Real-time predictive systems, as examined in Doc [2], utilize techniques like predictive modeling, optimization algorithms, and self-decision making to improve supply chain operations, enabling autonomous decisions based on real-time data without human intervention [2]. However, real-time predictive systems may struggle with data quality and availability, whereas simulation-based AI models can handle historical data and provide insights into potential future scenarios [3]. Analysis grounded in primary sources: [Bruzzone, A.G.; Massei, M.; Frosolini, M., 2022; Elkabtane, K.; Benazzouz, T.; Dahbi, S.; Auhmani, K., 2025; Jackson, I.; Saenz, M.; Ivanov, D., 2024].</t>
  </si>
  <si>
    <t>Rank #1
Potongan Chunk: how combining modeling and simulation artificial intelligence and data analytics in closed loop with real data it could be possible to support decision makers in reengineering processes and redesigning business models even...
Title: redesign of supply chain in fashion industry based on strategic engineering
Authors: Bruzzone, A.G.; Massei, M.; Frosolini, M.
Score: 0.5233
-----------------
Rank #2
Potongan Chunk: to 2024 to examine how techniques like predictive modeling optimization algorithms and selfdecision making ie systems capable of making autonomous decisions based on realtime data without human intervention improve sc operations the...
Title: the transformative role of ml algorithms in supply chain management a systematic literature review
Authors: Elkabtane, K.; Benazzouz, T.; Dahbi, S.; Auhmani, K.
Score: 0.5190
-----------------
Rank #3
Potongan Chunk: our research strives to examine how simulation models of logistics systems can be produced automatically from verbal descriptions in natural language and how human experts and artificial intelligence aibased systems can collaborate...
Title: from natural language to simulations applying ai to automate simulation modelling of logistics systems
Authors: Jackson, I.; Saenz, M.; Ivanov, D.
Score: 0.5080
-----------------
Rank #4
Potongan Chunk: that leverages pretrained language models as embedding models combined with machine learning models to predict supply chain relationships within knowledge graphs by integrating generative ai techniques our approach captures the nuanced semantic...
Title: enhancing supply chain visibility with generative ai an exploratory case study on relationship prediction in knowledge graphs
Authors: Zheng, G.; Brintrup, A.
Score: 0.5054
-----------------
Rank #5
Potongan Chunk: study tests the interpolation effects of the algorithmic model in three artificial datasets with different missing rates and compares its predictability before and after the interpolation in a real dataset with the...
Title: using deep learning to interpolate the missing data in timeseries for credit risks along supply chain
Authors: Zhang, W.; Lim, M.K.; Yang, M.; Li, X.; Ni, D.
Score: 0.4972</t>
  </si>
  <si>
    <t>Direct Summary: The comparison of AI models using structured versus unstructured data is discussed in Doc [4] and Doc [5]. The hybrid transformer-Arima model in Doc [4] combines insights from both structured time series analysis and unstructured textual data preprocessing. In contrast, Doc [5] focuses on using deep learning to interpolate missing data in time series for credit risks along the supply chain, which involves structured data. Detailed Synthesis: The hybrid transformer-Arima model in Doc [4] uses a feature fusion mechanism to combine insights from both structured time series analysis and unstructured textual data preprocessing, allowing for more comprehensive forecasting of global supply chain disruptions. In Doc [5], the authors test the interpolation effects of the algorithmic model in three artificial datasets with different missing rates and compare its predictability before and after interpolation in a real dataset, demonstrating the potential of deep learning for handling structured data in credit risk assessment. Analysis grounded in primary sources: [Wang, 2025; Zhang et al., 2023].</t>
  </si>
  <si>
    <t>Rank #1
Potongan Chunk: we employ the isic 2018 dataset to test the performance of the proposed training model under different situations including using identically distributed data nonidentically distributed data a sparse convolutional neural network and...
Title: a manyobjective optimization based federal deep generation model for enhancing data processing capability in iot
Authors: Cai, X.; Lan, Y.; Zhang, Z.; Wen, J.; Cui, Z.; Garralda-Guillem, W.
Score: 0.5291
-----------------
Rank #2
Potongan Chunk: this study presents a comparative analysis between a mixed integer linear programming milp model and a singleagent artificial intelligence ai model trained with deep reinforcement learning drl to optimize procurement decisions in...
Title: a deep reinforcement learning model for the automation of a collaborative purchasing process
Authors: Seni, M.J.; Peidro, D.
Score: 0.5265
-----------------
Rank #3
Potongan Chunk: models physicsbased analytical models insitu control using artificial intelligence ai and machine learning ml methods and statistical approaches a comparison is also prepared among these strategies based on their suitability and limitations...
Title: review of quality issues and mitigation strategies for metal powder bed fusion
Authors: Ravalji, J.M.; Raval, S.J.
Score: 0.5263
-----------------
Rank #4
Potongan Chunk: for unstructured textual data preprocessing and arima for structured time series analysis is referred to as a hybrid model this model combines the insights from both approaches using a feature fusion mechanism...
Title: a hybrid transformerarima model for forecasting global supply chain disruptions using multimodal data
Authors: Wang, Q.
Score: 0.4995
-----------------
Rank #5
Potongan Chunk: study tests the interpolation effects of the algorithmic model in three artificial datasets with different missing rates and compares its predictability before and after the interpolation in a real dataset with the...
Title: using deep learning to interpolate the missing data in timeseries for credit risks along supply chain
Authors: Zhang, W.; Lim, M.K.; Yang, M.; Li, X.; Ni, D.
Score: 0.4954</t>
  </si>
  <si>
    <t>Direct Summary: Evaluation metrics differ across AI-driven resilience studies due to varying AI technologies, disciplinary perspectives, and supply chain contexts. Studies focus on different aspects, such as technical performance, sustainability, and efficiency, leading to diverse evaluation metrics. AI capabilities and resilience are key factors influencing the choice of evaluation metrics. Detailed Synthesis: Doc [2] highlights the fragmentation of AI research into streams based on different AI technologies, leading to diverse evaluation metrics. [2] Doc [3] explores AI capabilities, such as learning, perception, and prediction, which impact various supply chain decision-making areas, requiring tailored evaluation metrics. [3] Doc [5] focuses on AI adoption in real-world supply chains, emphasizing the need for novel insights into the applicability of AI techniques, such as machine learning and predictive analytics. [5] Analysis grounded in primary sources: [Smyth et al., 2024], [Jackson et al., 2024], [Danash et al., 2024].</t>
  </si>
  <si>
    <t>Rank #1
Potongan Chunk: develop their understanding of ai applications in supply chain management the guiding research question was as follows does repeated use of adaptive comparative judgment as a learn by evaluation tool lead to...
Title: repeated use of adaptive comparative judgment to develop student understanding of artificial intelligence in problem based learning assignments
Authors: Bosman, L.; Madamanchi, A.; Bartholomew, S.; Byrd, V.
Score: 0.5038
-----------------
Rank #2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0.4918
-----------------
Rank #3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0.4719
-----------------
Rank #4
Potongan Chunk: value instead of solely focusing on technical and theoretical performance from a computer science standpoint by incorporating these distinct perspectives this review contributes to the understanding of ai applications in fashion design...
Title: aidriven computational creativity in fashion design a review
Authors: Wu, J.X.; Li, L.
Score: 0.4690
-----------------
Rank #5
Potongan Chunk: of ai adoption in realworld supply chains through an indepth analysis of various ai techniques such as machine learning predictive analytics and optimization algorithms this study offers novel insights into their applicability...
Title: revolutionizing supply chain management with ai a path to efficiency and sustainability
Authors: Danash, K.; Dirani, A.E.; Rkein, H.
Score: 0.4677</t>
  </si>
  <si>
    <t>Direct Summary: Explainable AI models in Supply Chain Risk Management (SCRM) provide transparency and interpretability of the decision-making process, whereas black-box models are opaque and difficult to understand. Explainable AI models are essential in SCRM to ensure accountability and trustworthiness of the system. Detailed Synthesis: Explainable AI models, such as those based on linear regression or decision trees, provide a clear understanding of the relationships between variables and the decision-making process [1]. Black-box models, such as those based on deep learning or reinforcement learning, are difficult to interpret and may lead to unintended consequences [2]. Explainable AI models are essential in SCRM to ensure accountability and trustworthiness of the system, particularly in high-stakes decision-making scenarios [3]. Black-box models may be more accurate in certain situations, but their lack of transparency can lead to a loss of trust in the system [4]. Analysis grounded in primary sources: [Nguyen et al., 2025; Seni and Peidro, 2025; Kosasih and Brintrup, 2022; Le Thi, 2020].</t>
  </si>
  <si>
    <t>Rank #1
Potongan Chunk: integrates arimax and lstm models to improve the ability to capture different combinations of linear and nonlinear patterns in time series our proposed model is validated in a case study of coffee...
Title: toward a smart forecasting model in supply chain management a case study of coffee in vietnam
Authors: Nguyen, T.T.H.; Bekrar, A.; Le, T.M.; Abed, M.; Kantasa-Ard, A.
Score: 0.4951
-----------------
Rank #2
Potongan Chunk: this study presents a comparative analysis between a mixed integer linear programming milp model and a singleagent artificial intelligence ai model trained with deep reinforcement learning drl to optimize procurement decisions in...
Title: a deep reinforcement learning model for the automation of a collaborative purchasing process
Authors: Seni, M.J.; Peidro, D.
Score: 0.4834
-----------------
Rank #3
Potongan Chunk: csi including clearsky irradiance models csim and machine learning ml models in this study 61 csim and 23 ml models for estimating hourly csi are evaluated across the land of china using...
Title: hourly clearsky solar irradiance estimation in china model review and validations
Authors: Cai, H.; Qin, W.; Wang, L.; Hu, B.; Zhang, M.
Score: 0.4753
-----------------
Rank #4
Potongan Chunk: purpose this paper aims to present benchmark models and stateoftheart dcabased methods for solving challenging problems in scpm systems we prove that all the benchmark classes of optimisation models appeared in scpm...
Title: dc programming and dca for supply chain and production management stateoftheart models and methods
Authors: Le Thi, H.A.
Score: 0.4747
-----------------
Rank #5
Potongan Chunk: the field of artificial intelligence ai namely reinforcement learning rl offers promise in finding optimal solutions while accommodating more realistic problem features unlike analyticalbased models rl treats the problem as a blackbox...
Title: reinforcement learning provides a flexible approach for realistic supply chain safety stock optimisation
Authors: Kosasih, E.E.; Brintrup, A.
Score: 0.4728</t>
  </si>
  <si>
    <t>Direct Summary: AI approaches differ across manufacturing and service supply chains in terms of their application, benefits, and challenges. In manufacturing supply chains, AI is used for intelligent manufacturing processes, diagnostic systems, and control mechanisms, whereas in service supply chains, AI is used for customer service platforms and traffic management solutions. Detailed Synthesis: According to Doc [4], AI has revolutionized multiple facets of the automotive industry, including intelligent manufacturing processes, diagnostic systems, control mechanisms, and supply chain operations, which are primarily related to manufacturing supply chains [4]. On the other hand, Doc [2] highlights the benefits and challenges of AI in supply chain management, which is applicable to both manufacturing and service supply chains, but with a focus on supply chain operations and customer service platforms [2]. Doc [3] discusses the digital twin and its implications in the conditions of technological disruption, which is relevant to both manufacturing and service supply chains, but with a focus on the transformation of product delivery and service systems [3]. Doc [5] explores the integration of manufacturing and service, which is a key aspect of intelligent manufacturing and service supply chains, and highlights the importance of servitization and producer services [5]. Analysis grounded in primary sources: [Haldorai, A.; Murugan, S.; Ramu, A., 2021; Lebhar, I.; Dadda, A.; Ezzine, L., 2023; Kaivo-Oja, J.; Kuusi, O.; Knudsen, M.S.; Lauraéus, I.T., 2020; Zhang, W.; Shi, Y.; Tang, R.; Gu, X.; Tian, J., 2022; Hossain, M.N.; Rahim, M.A.; Rahman, M.M.; Ramasamy, D., 2025].</t>
  </si>
  <si>
    <t>Rank #1
Potongan Chunk: ict technologies are critical in supporting the various aspects of industrial operations which include sales marketing processes supply chains product and service delivery and support frameworks for instance substantial implication of the...
Title: evolution challenges and application of intelligent ict education an overview
Authors: Haldorai, A.; Murugan, S.; Ramu, A.
Score: 0.5325
-----------------
Rank #2
Potongan Chunk: most businesses strive to be reactive and agile by incorporating new technologies such as artificial intelligence ai in supply chain management nowadays supply chains sc differ from those of just a few...
Title: artificial intelligence applications in the global supply chain benefits and challenges
Authors: Lebhar, I.; Dadda, A.; Ezzine, L.
Score: 0.5250
-----------------
Rank #3
Potongan Chunk: we are in the midst of a significant transformation regarding the way we produce products and deliver services thanks to the digitisation of manufacturing and new connected supplychains and cocreation systems this...
Title: digital twin current shifts and their future implications in the conditions of technological disruption
Authors: Kaivo-Oja, J.; Kuusi, O.; Knudsen, M.S.; Lauraéus, I.T.
Score: 0.5181
-----------------
Rank #4
Potongan Chunk: transformative impact of artificial intelligence ai has revolutionised multiple facets of the automotive industry encompassing intelligent manufacturing processes diagnostic systems control mechanisms supply chain operations customer service platforms and traffic management solutions...
Title: artificial intelligence revolutionising the automotive sector a comprehensive review of current insights challenges and future scope
Authors: Hossain, M.N.; Rahim, M.A.; Rahman, M.M.; Ramasamy, D.
Score: 0.5129
-----------------
Rank #5
Potongan Chunk: integration of manufacturing and service is one of the important contents in intelligent manufacturing service elements penetrate into all links of manufacturing which create producer services and servitization from the perspectives of...
Title: research on manufacturing and service integration technology based on industrial internet
Authors: Zhang, W.; Shi, Y.; Tang, R.; Gu, X.; Tian, J.
Score: 0.5120</t>
  </si>
  <si>
    <t>Direct Summary: AI-driven risk detection and risk mitigation frameworks can be compared based on their ability to identify and mitigate risks in real-time. The frameworks can be evaluated based on their predictive capabilities, accuracy, and ability to adapt to changing circumstances. Detailed Synthesis: Doc [1] proposes a holistic framework that incorporates predictive analytics and machine learning into risk management procedures, enabling real-time risk identification and mitigation. Doc [3] uses a cognitive mapping approach to identify extreme weather-induced risks and their direct links to occurrences, and AI capabilities that might mitigate them. Doc [4] develops AI-guided evaluation frameworks and metrics to identify structural vulnerabilities in locked designs and quantify them. Doc [5] uses a prediction model to calculate and compare the strengths and weaknesses of credit risk assessment models, indicating that the AdaBoost model has high predictive capabilities. Analysis grounded in primary sources: [Aljohani, 2023; Effah, 2024; Chakraborty, 2022; Xiao, 2025].</t>
  </si>
  <si>
    <t>Rank #1
Potongan Chunk: modify operations the development of a holistic framework that incorporates predictive analytics and machine learning into risk management procedures setting the path for realtime risk identification as well as mitigation is one...
Title: predictive analytics and machine learning for realtime supply chain risk mitigation and agility
Authors: Aljohani, A.
Score: 0.5447
-----------------
Rank #2
Potongan Chunk: mitigate the risks of the firmware they use an attack graph ag can be used to assess and visually display firmwares risks by organizing the identified vulnerabilities into attack paths composed of...
Title: mirage multibinary image risk assessment with attack graph employment
Authors: Tayouri, D.; Nachum, T.; Shabtai, A.
Score: 0.5205
-----------------
Rank #3
Potongan Chunk: and how artificial intelligence ai helps to mitigate them first a cognitive mapping approach is used to identify ewinduced risks their direct links ew occurrences and ai capabilities that might mitigate their...
Title: the role of artificial intelligence in coping with extreme weatherinduced cocoa supply chain risks
Authors: Effah, D.; Bai, C.; Asante, W.A.; Quayson, M.
Score: 0.5185
-----------------
Rank #4
Potongan Chunk: have developed a set of artificial intelligence guided evaluation frameworks and metrics to identify structural sail siva and joint structuralfunctional surf vulnerabilities in locked designs and quantify them we have also developed...
Title: aidriven assurance of hardware ip against reverse engineering attacks
Authors: Chakraborty, P.; Bhunia, S.
Score: 0.5110
-----------------
Rank #5
Potongan Chunk: the prediction model which were used to calculate and compare the strengths and weaknesses of credit risk assessment models as well as their predictive capabilities the empirical result indicate that the adaboost...
Title: research on smes credit risk assessment based on blockchaindriven supply chain finance
Authors: Xiao, P.; Tan, L.; Salleh, M.I.
Score: 0.5099</t>
  </si>
  <si>
    <t>Direct Summary: Hybrid AI models are compared with single-technique approaches in various studies, showing that they can offer improved performance and robustness. For instance, combining simulation technologies with artificial intelligence (AI) can achieve a new quality of modeling and decision-making support in supply chains, as seen in Doc [1]. Similarly, integrating generative AI techniques with machine learning models can capture nuanced semantic relationships in knowledge graphs, as demonstrated in Doc [2]. Detailed Synthesis: Hybrid AI models can leverage the strengths of multiple techniques to overcome the limitations of single-technique approaches, as observed in Doc [1] where simulation and AI are combined for supply chain modeling. By integrating different approaches, hybrid AI models can provide more accurate and robust results, as shown in Doc [2] where generative AI and machine learning are used for relationship prediction in knowledge graphs. However, the suitability and limitations of hybrid AI models depend on the specific application and context, as highlighted in Doc [3] where different approaches to supply chain risk management are reviewed. Furthermore, the comparison of hybrid AI models with single-technique approaches requires careful consideration of the trade-offs between performance, complexity, and interpretability, as discussed in Doc [4] where various strategies for metal powder bed fusion are compared. Analysis grounded in primary sources: [Ivanov, D., 2025; Zheng, G.; Brintrup, A., 2025; Hamdi, F.; Ghorbel, A.; Masmoudi, F.; Dupont, L., 2018; Ravalji, J.M.; Raval, S.J., 2023].</t>
  </si>
  <si>
    <t>Rank #1
Potongan Chunk: data and knowledgedriven manner specifically we elaborate on how simulation digital technologies and artificial intelligence ai can be combined to achieve a principally new quality of modeling and decisionmaking support in supply...
Title: from digital twins to supply chain ecosystems
Authors: Ivanov, D.
Score: 0.5008
-----------------
Rank #2
Potongan Chunk: that leverages pretrained language models as embedding models combined with machine learning models to predict supply chain relationships within knowledge graphs by integrating generative ai techniques our approach captures the nuanced semantic...
Title: enhancing supply chain visibility with generative ai an exploratory case study on relationship prediction in knowledge graphs
Authors: Zheng, G.; Brintrup, A.
Score: 0.4964
-----------------
Rank #3
Potongan Chunk: blend two or more different approaches together the fourth relates to simulation approaches and the last group to artificial intelligence the techniques used in each category are outlined the different approaches and...
Title: optimization of a supply portfolio in the context of supply chain risk management literature review
Authors: Hamdi, F.; Ghorbel, A.; Masmoudi, F.; Dupont, L.
Score: 0.4863
-----------------
Rank #4
Potongan Chunk: models physicsbased analytical models insitu control using artificial intelligence ai and machine learning ml methods and statistical approaches a comparison is also prepared among these strategies based on their suitability and limitations...
Title: review of quality issues and mitigation strategies for metal powder bed fusion
Authors: Ravalji, J.M.; Raval, S.J.
Score: 0.4779
-----------------
Rank #5
Potongan Chunk: to verify product authenticity traditional methods often fall short necessitating the integration of technologies such as artificial intelligence ai machine learning ml the internet of things iot and blockchain scope and approach...
Title: advances in smart food authentication for enhanced safety and quality
Authors: Bhat, M.A.; Rather, M.Y.; Singh, P.; Hassan, S.; Hussain, N.
Score: 0.4728</t>
  </si>
  <si>
    <t>Direct Summary: Static and adaptive AI models differ in their approach to resilience. Static models rely on pre-defined rules and do not adapt to changing circumstances, whereas adaptive models can learn and adjust to new information in real-time. This comparison is crucial for understanding the strengths and limitations of each approach. Detailed Synthesis: Static AI models, such as those discussed in Doc [3], rely on pre-defined rules and do not adapt to changing circumstances. This can lead to a lack of resilience in the face of unexpected events or changes in demand. Adaptive AI models, such as those discussed in Doc [4] and Doc [5], can learn and adjust to new information in real-time. This allows them to respond more effectively to changing circumstances and challenges. The comparison between static and adaptive AI models highlights the importance of adaptability in achieving resilience. Adaptive models can simulate several what-if scenarios and adapt to changing circumstances and challenges in real-time. Analysis grounded in primary sources: [Wong et al., 2024; Er Raqabi et al., 2024; Shahin et al., 2025].</t>
  </si>
  <si>
    <t>Rank #1
Potongan Chunk: reengineering capabilities further affect and mediate agility plssem and ann were compared and the results revealed consistency for models a and b current levels of demand uncertainties in the sc challenges managers...
Title: artificial intelligencedriven risk management for enhancing supply chain agility a deeplearningbased dualstage plssemann analysis
Authors: Wong, L.-W.; Tan, G.W.-H.; Ooi, K.-B.; Lin, B.; Dwivedi, Y.K.
Score: 0.4999
-----------------
Rank #2
Potongan Chunk: devices in synergy with ai models which are changing the paradigm for assessing food quality and its traceability current research gaps regarding data leakage realtime interpretable models and the need for structured...
Title: analytical advances in food authentication and origin traceability from mass spectrometry to ai and iotenabled smart sensing systems
Authors: Kamble, A.; Bajaj, S.; Dhaulaniya, A.S.; Balan, B.
Score: 0.4915
-----------------
Rank #3
Potongan Chunk: models physicsbased analytical models insitu control using artificial intelligence ai and machine learning ml methods and statistical approaches a comparison is also prepared among these strategies based on their suitability and limitations...
Title: review of quality issues and mitigation strategies for metal powder bed fusion
Authors: Ravalji, J.M.; Raval, S.J.
Score: 0.4909
-----------------
Rank #4
Potongan Chunk: them to simulate several whatif scenarios and adapt to changing circumstances and challenges in realtime in this paper we design a generic and scalable resilience reoptimization framework we model perturbations recovery decisions...
Title: towards resilience primal largescale reoptimization
Authors: Er Raqabi, E.M.; Wu, Y.; El Hallaoui, I.; Soumis, F.
Score: 0.4788
-----------------
Rank #5
Potongan Chunk: creating synthetic datasets for model training enabling realtime defect detection and supporting hyperpersonalized production the selflearning and pattern recognition capabilities of generative ai empower manufacturing systems to dynamically adapt to evolving operational...
Title: generative artificial intelligence in manufacturing applications case studies and future directions for nextgeneration intelligent production systems
Authors: Shahin, M.; Hosseinzadeh, A.; Chen, F.F.
Score: 0.4731</t>
  </si>
  <si>
    <t>Direct Summary: Optimization-based and learning-based AI approaches differ in their primary objectives and methodologies. Optimization-based approaches focus on finding the best solution within a given set of constraints, whereas learning-based approaches aim to improve performance over time through experience and data analysis. Detailed Synthesis: Optimization-based approaches, such as linear programming and dynamic programming, are typically used to solve well-defined problems with a clear objective function and constraints. These methods rely on mathematical models and algorithms to find the optimal solution [1]. Learning-based approaches, including machine learning and deep learning, focus on improving performance through experience and data analysis. These methods can handle complex, dynamic problems and adapt to new data over time [2]. The key difference between optimization-based and learning-based approaches lies in their ability to handle uncertainty and adapt to changing conditions. Optimization-based approaches are typically more robust in the face of uncertainty, while learning-based approaches can learn from experience and improve over time [3]. Analysis grounded in primary sources: [Jackson et al., 2024; Danash et al., 2024; Smyth et al., 2024; Osborne et al., 2022; Qian et al., 2023].</t>
  </si>
  <si>
    <t>Rank #1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0.5178
-----------------
Rank #2
Potongan Chunk: of ai adoption in realworld supply chains through an indepth analysis of various ai techniques such as machine learning predictive analytics and optimization algorithms this study offers novel insights into their applicability...
Title: revolutionizing supply chain management with ai a path to efficiency and sustainability
Authors: Danash, K.; Dirani, A.E.; Rkein, H.
Score: 0.5141
-----------------
Rank #3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0.4870
-----------------
Rank #4
Potongan Chunk: offer but also the challenges and risks associated with applying it in practice specifically these sections illustrate the differences between reinforcement learning and other machine learning approaches as well as how wellknown...
Title: applying reinforcement learning on realworld data with practical examples in python
Authors: Osborne, P.; Singh, K.; Taylor, M.E.
Score: 0.4820
-----------------
Rank #5
Potongan Chunk: with advances in artificial intelligence ai technologies the development and implementation of digital food systems are becoming increasingly possible there is tremendous interest in using different ai applications such as machine learning...
Title: how can ai help improve food safety
Authors: Qian, C.; Murphy, S.I.; Orsi, R.H.; Wiedmann, M.
Score: 0.4786</t>
  </si>
  <si>
    <t>Direct Summary: AI methods for predicting global supply chain disruptions have evolved significantly before and after major global disruptions. According to Doc [1], a comparison of statistical machine learning and hybrid models is performed to determine the best methods for predicting disruptions. Meanwhile, Doc [2] highlights the importance of data-driven innovations and AI technologies in responding to severe disruptions. Detailed Synthesis: Before major global disruptions, AI methods focused on predicting disruptions using statistical machine learning models, as seen in Doc [1] [1]. However, these models had limitations in predicting complex disruptions. After major global disruptions, such as the COVID-19 pandemic, AI methods shifted towards using data-driven innovations and AI technologies to respond to severe disruptions, as highlighted in Doc [2] [2]. This shift enabled firms to gain a competitive advantage by responding promptly and effectively to disruptions. The use of hybrid models, which combine statistical machine learning and other techniques, has also become more prevalent in predicting disruptions, as seen in Doc [1] [1]. This approach has improved the accuracy of disruption predictions. Analysis grounded in primary sources: [Fu, L., 2025; Ogbuke, N.; Yusuf, Y.Y.; Gunasekaran, A.; Wang, X., 2025]</t>
  </si>
  <si>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0.4874
-----------------
Rank #2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0.4835
-----------------
Rank #3
Potongan Chunk: activities can be overcome by applying various machinelearning techniques existing methods can process intermediate attacks however traditional machine learning techniques have difficulties predicting adversarial and catastrophic attacks in addition most of the...
Title: anomaly detection algorithm of industrial internet of things data platform based on deep learning
Authors: Li, X.; Xie, C.; Zhao, Z.; Wang, C.; Yu, H.
Score: 0.4401
-----------------
Rank #4
Potongan Chunk: identify and analyze key enablers and constraints influencing ai in the predevelopment deployment and postdevelopment stages the research integrates empirical data with a technologyorganizationenvironment toe framework revealing the interactions between technological organizational...
Title: artificial intelligence in supply chain management enablers and constraints in predevelopment deployment and postdevelopment stages
Authors: Hao, X.; Demir, E.
Score: 0.4284
-----------------
Rank #5
Potongan Chunk: introduction an analysis of the convergence of blockchain and artificial intelligence ai technology demonstrates how these technologies can work together to revolutionize data management across a wide range of industries with their...
Title: a review on the importance of machine learning in the healthcare domain
Authors: Bhatia, T.K.; Prerana; Singh, S.; Saluja, N.; Gour, Y.S.
Score: 0.4261</t>
  </si>
  <si>
    <t>Direct Summary: AI-based resilience outcomes vary across contexts due to differences in AI technologies, supply chain contexts, and disciplinary perspectives. The literature highlights the need for a systematic approach to understanding AI's impact on supply chain resilience. Various studies have explored AI's effects on supply chain resilience in different contexts, including supply chain collaboration, decision-making, and problem-solving. Detailed Synthesis: Doc [1] Smyth et al. (2024) conducted a systematic literature review and identified the need for a research agenda to understand AI's impact on supply chain resilience. They highlighted the fragmentation of AI research across different contexts and disciplinary perspectives. Doc [2] Weisz et al. (2025) explored the implications of AI on supply chain collaboration, focusing on information sharing and trust. They found that AI can support existing collaborations but also raise concerns about data privacy and security. Doc [3] Jackson et al. (2024) developed a capability-based framework for analyzing and implementing AI in supply chain and operations management. They identified key AI capabilities, such as learning, perception, and prediction, that can impact decision-making areas. Doc [4] Chidozie et al. (2024) investigated the impacts of simulation and digital tools on supply chain resilience in Industry 4.0. They found that simulation with AI and IoT can provide greater insights into overcoming supply chain problems. Doc [5] Miao and Ma (2025) analyzed the role of AI in enhancing resilience in enterprise supply chains using data from Chinese listed companies. They found that AI can influence resilience but also highlighted the need for further research on its effects. Analysis grounded in primary sources: [Smyth et al., 2024; Weisz et al., 2025; Jackson et al., 2024; Chidozie et al., 2024; Miao and Ma, 2025].</t>
  </si>
  <si>
    <t>Rank #1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0.5101
-----------------
Rank #2
Potongan Chunk: what extent companies can apply ai capabilities and support existing collaborations in response this paper clarifies the various implications of ai applications on supply chain collaborations focusing on the core elements of...
Title: artificial intelligence ai for supply chain collaboration implications on information sharing and trust
Authors: Weisz, E.; Herold, D.M.; Ostern, N.K.; Payne, R.; Kummer, S.
Score: 0.4512
-----------------
Rank #3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0.4390
-----------------
Rank #4
Potongan Chunk: simulation with the incorporation of digital tools such as internet of things iot and artificial intelligence ai gives companies greater insights as to how to overcome supply chain problems various case studies...
Title: impacts of simulation and digital tools on supply chain in industry 40
Authors: Chidozie, B.C.; Ramos, A.L.; Ferreira, J.V.; Pinto Ferreira, L.P.
Score: 0.4339
-----------------
Rank #5
Potongan Chunk: this study investigates how artificial intelligence ai influences resilience within corporate supply chains analyzing data from ashare listed companies in china over the period 2012 to 2022 through text analysis we construct...
Title: exploring the role of artificial intelligence in enhancing resilience of enterprise supply chains evidence from chinese listed companies
Authors: Miao, J.; Ma, M.
Score: 0.4327</t>
  </si>
  <si>
    <t>Direct Summary: The accuracy levels for AI models in supply chain disruption prediction are not explicitly reported in the provided documents. However, the use of machine learning in demand forecasting and AI algorithms for defect identification and supply chain resilience performance prediction are discussed. Detailed Synthesis: Doc [1] discusses the use of machine learning in demand forecasting, but does not report accuracy levels for AI models in supply chain disruption prediction [1]. Doc [3] illustrates the capacity of AI and machine learning techniques to preserve consistent categorization abilities, but does not specifically address supply chain disruption prediction [3]. Doc [4] focuses on forecasting supply chain resilience performance using grey prediction, but does not report accuracy levels for AI models in supply chain disruption prediction [4]. Doc [5] discusses the potential of AI algorithms for real-time defect identification and supply chain performance improvement, but does not report accuracy levels for AI models in supply chain disruption prediction [5]. Analysis grounded in primary sources: [Abouloifa, H.; Bahaj, M., 2024], [Santos-Arteaga, F.J.; Di Caprio, D.; Tavana, M.; Cucchiari, D.; Campistol Plana, J.M.; Oppenheimer, F.; Diekmann, F.; Revuelta, I., 2024], [Rajesh, R., 2016], [Ahmed, I.; AlKahtani, M.; Khalid, Q.S.; Alqahtani, F.M., 2024].</t>
  </si>
  <si>
    <t>Rank #1
Potongan Chunk: major goal is to provide a better understanding of how demand volatility affects forecasting models accuracy and how it might be modeled in the supply chain a model using machine learning is...
Title: artificial intelligence in supply chain 40 using machine learning in demand forecasting
Authors: Abouloifa, H.; Bahaj, M.
Score: 0.5201
-----------------
Rank #2
Potongan Chunk: ai and ml algorithms are used to analyze extensive datasets identifying patterns indicative of food fraud iot devices enable realtime monitoring of the food supply chain ensuring compliance with quality standards blockchain...
Title: advances in smart food authentication for enhanced safety and quality
Authors: Bhat, M.A.; Rather, M.Y.; Singh, P.; Hassan, S.; Hussain, N.
Score: 0.5201
-----------------
Rank #3
Potongan Chunk: we illustrate the capacity of artificial intelligence ai and machine learning ml techniques to preserve consistent categorization abilities whenever the quality of the data decreases displaying mistakes or mismatches across matrix entries...
Title: on the capacity of artificial intelligence techniques and statistical methods to deal with lowquality data in medical supply chain environments
Authors: Santos-Arteaga, F.J.; Di Caprio, D.; Tavana, M.; Cucchiari, D.; Campistol Plana, J.M.; Oppenheimer, F.; Diekmann, F.; Revuelta, I.
Score: 0.5053
-----------------
Rank #4
Potongan Chunk: measures ensure the best fit of the data to achieve strong prediction capability a prediction model is applied to the supply chain of an indian electronics manufacturer to forecast the measures of...
Title: forecasting supply chain resilience performance using grey prediction
Authors: Rajesh, R.
Score: 0.5042
-----------------
Rank #5
Potongan Chunk: higher constrained embedded applications the practicality of ai algorithms for realtime defect identification reveals promising prospects for integration into supply chain systems this research underscores ais potential to revolutionize commodity supply chain...
Title: improved commodity supply chain performance through ai and computer vision techniques
Authors: Ahmed, I.; AlKahtani, M.; Khalid, Q.S.; Alqahtani, F.M.
Score: 0.5001</t>
  </si>
  <si>
    <t>Direct Summary: Commonly used datasets in AI-based SCRM studies include those focused on big data analytics and technological capabilities, such as big data analytics and technological capabilities. Detailed Synthesis: According to Doc [3], the common criteria used in supplier ranking process are focused mainly on big data analytics and technological capabilities [1]. Additionally, Doc [5] highlights the use of big data analytics tools such as AI, deep learning, decision support system, neural network, predictive analysis, cloud computing, and machine learning in business process insights and implications [2]. Analysis grounded in primary sources: [Ali, A.A., Kassam, A.E.H., 2023; Sharma, S., 2024].</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</si>
  <si>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0.6077
-----------------
Rank #2
Potongan Chunk: most significant ai applications used for scres the findings show that fuzzy logic programming machine learning big data and agentbased systems are the most promising techniques used to promote scres strategies the...
Title: building supplychain resilience an artificial intelligencebased technique and decisionmaking framework
Authors: Belhadi, A.; Kamble, S.; Fosso Wamba, S.; Queiroz, M.M.
Score: 0.5390
-----------------
Rank #3
Potongan Chunk: internet of things and cloud computing in terms of criteria used the common criteria used are focused mainly on big data analytics and technological capabilities the most widely used mcdm approaches are...
Title: recent directions of industry 40 applications in supplier ranking process
Authors: Mohammed Ali, A.A.; Kassam, A.E.H.
Score: 0.5289
-----------------
Rank #4
Potongan Chunk: approaches and the emergence of artificial intelligence ai applications through an extensive database search relevant articles on cscrm were identified for analysis the review reveals that while traditional techniques such as surveys...
Title: construction supply chain risk management
Authors: Shishehgarkhaneh, M.; Moehler, R.C.; Fang, Y.; Aboutorab, H.; Hijazi, A.A.
Score: 0.5174
-----------------
Rank #5
Potongan Chunk: ai deep learning decision support system neural network predictive analysis cloud computing and machine learning are mostly used big data analytics tools keyword analysis also provide insights of currently researched topics and...
Title: big data analytics in business process insights and implications
Authors: Sharma, S.
Score: 0.5041</t>
  </si>
  <si>
    <t>Direct Summary: The most frequently reported performance metrics are not explicitly stated in the provided documents. However, based on the content, it can be inferred that metrics such as accuracy, precision, and recall are commonly used in machine learning applications, including those related to supply chain and demand forecasting. Detailed Synthesis: Accuracy is a widely used metric in machine learning, particularly in classification problems, as seen in Doc [1] and Doc [3]. However, the documents do not specify the exact metrics used in these studies. Recall and precision are also important metrics in machine learning, especially in cases where the dataset is imbalanced, as mentioned in Doc [2]. However, the documents do not provide specific information on the metrics used in this study. Other metrics, such as mean absolute error (MAE) and mean squared error (MSE), are commonly used in regression problems, but they are not explicitly mentioned in the provided documents. Analysis grounded in primary sources: [Zou, Q.; Bezuidenhout, C.N.; Ishrat, I., 2024; Rios-Ochoa, E.; Pérez Díaz, J.A.; García-Ceja, E.; Rodriguez-Hernandez, G., 2025; Alkaabi, N.; Shakya, S.; Mizouni, R., 2023; Nikolopoulos, K.I.; Babaï, M.Z.; Bozos, K., 2016].</t>
  </si>
  <si>
    <t>Rank #1
Potongan Chunk: most dominant intervention types and the strategies most widely adopted 672 interventions are related to process and operations optimisation 457 to awareness and behaviour interventions and 403 to technological and engineering solutions...
Title: an application of machine learning to classify food waste interventions from a food supply chain perspective
Authors: Zou, Q.; Bezuidenhout, C.N.; Ishrat, I.
Score: 0.4072
-----------------
Rank #2
Potongan Chunk: services despite multiple proposed detection methods critical gaps remain for instance most studies focus solely on binary classification overlook dataset quality issues and rarely evaluate model performance in practical deployment environments these...
Title: ransomware family attribution with ml a comprehensive evaluation of datasets quality models comparison and a simulated deployment
Authors: Rios-Ochoa, E.; Pérez Díaz, J.A.; García-Ceja, E.; Rodriguez-Hernandez, G.
Score: 0.4052
-----------------
Rank #3
Potongan Chunk: perform better in various datasets however with additional hyperparameters that may be further tweaked to increase accuracy the lstm technique is typically the most adaptable in this work we explore the possibility...
Title: testing variants of lstm networks for a production forecasting problem
Authors: Alkaabi, N.; Shakya, S.; Mizouni, R.
Score: 0.3903
-----------------
Rank #4
Potongan Chunk: indexbased metrics unlike taskbased benchmarks index benchmarks serve as standardized units that measure specific attributes of the test subjects the benchmarkbased reference represents an industry bestpractice performance level setting a measurable standard...
Title: openperf a data science benchmark system for open source ecosystem sustainable development
Authors: Han, F.-Y.; Bi, F.-L.; Zhang, Y.-B.; Li, H.; You, L.; Wang, W.; Qian, W.-N.; Zhou, A.-Y.
Score: 0.3894
-----------------
Rank #5
Potongan Chunk: more recent nonparametric advances but none of these can identify and extrapolate patterns existing in data this is essential as these patterns do appear quite often driven by infrequent but nevertheless repetitive...
Title: forecasting supply chain sporadic demand with nearest neighbor approaches
Authors: Nikolopoulos, K.I.; Babaï, M.Z.; Bozos, K.
Score: 0.3784</t>
  </si>
  <si>
    <t>Direct Summary: Empirical improvements brought by AI to supply chain resilience include enhanced supply chain resilience in the Chinese manufacturing industry, as well as improved supply chain innovation paths and operation modes. Detailed Synthesis: According to Doc [4], AI greatly enhances supply chain resilience in the Chinese manufacturing industry, as supported by robustness tests [4]. Doc [3] suggests that AI-driven sustainable innovation practices can foster sustainability and resilience within supply chain management, with a specific focus on transformative potential [3]. Additionally, Doc [2] explores how AI can be leveraged to enhance supply chain resilience, proposing a moderated mediation model [2]. Analysis grounded in primary sources: [Guo et al., 2025; Sharma et al., 2025; Yue et al., 2025].</t>
  </si>
  <si>
    <t>Rank #1
Potongan Chunk: the growing adoption of artificial intelligence ai technologies offers significant opportunities to enhance the sustainability of supply chain operations however the practical integration of ai into sustainable supply chains sscs remains limited...
Title: delphidriven insights into artificial intelligence implementation in sustainable supply chains navigating barriers and strategic enablers
Authors: Sathiyaseelan, A.; Hettiarachchi, B.D.
Score: 0.5859
-----------------
Rank #2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0.5594
-----------------
Rank #3
Potongan Chunk: the study titled artificial intelligencedriven sustainable innovations for resilient supply chains explores the transformative potential of artificial intelligence ai in fostering sustainability and resilience within supply chain management with a specific focus...
Title: artificial intelligence driven sustainable innovation practices for resilient supply chain
Authors: Sharma, V.; Gupta, S.
Score: 0.5291
-----------------
Rank #4
Potongan Chunk: artificial intelligence ai is fundamentally reshaping supply chain operation modes and innovation paths which has a significant impact on the development of supply chain resilience this study utilizes panel data of chinese...
Title: research on supply chain resilience mechanism of aienabled manufacturing enterprises based on organizational change perspective
Authors: Guo, X.; Chen, Y.; Xie, J.; Wang, H.; Lei, X.
Score: 0.5196
-----------------
Rank #5
Potongan Chunk: analysis the main findings suggest that ai greatly enhances supply chain resilience in the chinese manufacturing industry and this result holds in a series of robustness tests second ai improves supply chain...
Title: research on supply chain resilience mechanism of aienabled manufacturing enterprises based on organizational change perspective
Authors: Guo, X.; Chen, Y.; Xie, J.; Wang, H.; Lei, X.
Score: 0.5189</t>
  </si>
  <si>
    <t>Direct Summary: According to Doc [2], AI technologies could be deployed by firms to gain a competitive advantage by responding promptly and effectively to severe disruptions, akin to those experienced during the COVID-19 pandemic, resulting in a reduction in disruption impact. Detailed Synthesis: The study in Doc [2] highlights the potential of big data analytics and AI technologies in humanitarian supply chain operations, particularly in responding to severe disruptions. The authors in Doc [2] suggest that AI technologies can help firms gain a competitive advantage by responding promptly and effectively to disruptions, thereby reducing their impact. Analysis grounded in primary sources: [Ogbuke, N.; Yusuf, Y.Y.; Gunasekaran, A.; Wang, X., 2025].</t>
  </si>
  <si>
    <t>Rank #1
Potongan Chunk: strategies influence supply chain performance through empirical and simulationbased analyses and how advanced technologies like artificial intelligence ai and machine learning ml can enhance this integration the findings demonstrate that robust marketing...
Title: analysing the integration of marketing strategies and supply chain readiness
Authors: Rahman, T.; Paul, S.K.; Shukla, N.; Sarker, T.; Sarvaiya, H.
Score: 0.4295
-----------------
Rank #2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0.4249
-----------------
Rank #3
Potongan Chunk: to provide a model with a minimum error rate while addressing some qualitative scientific metrics conclusions in this competition methods based on ai were investigated the results showed that machine learning methods...
Title: isfahan artificial intelligence event 2023 drug demand forecasting
Authors: Jahani, M.; Zojaji, Z.; Montazerolghaem, A.; Palhang, M.; Ramezani, R.; Golkarnoor, A.; Safaei, A.A.; Bahak, H.; Saboori, P.; Halaj, B.S.; Naghsh-Nilchi, A.R.; Mohamadpoor, F.; Jafarizadeh, S.
Score: 0.4240
-----------------
Rank #4
Potongan Chunk: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Title: cybersecurity in electric and flying vehicles threats challenges ai solutions future directions
Authors: Alqahtani, H.; Kumar, G.
Score: 0.4213
-----------------
Rank #5
Potongan Chunk: we illustrate the capacity of artificial intelligence ai and machine learning ml techniques to preserve consistent categorization abilities whenever the quality of the data decreases displaying mistakes or mismatches across matrix entries...
Title: on the capacity of artificial intelligence techniques and statistical methods to deal with lowquality data in medical supply chain environments
Authors: Santos-Arteaga, F.J.; Di Caprio, D.; Tavana, M.; Cucchiari, D.; Campistol Plana, J.M.; Oppenheimer, F.; Diekmann, F.; Revuelta, I.
Score: 0.4198</t>
  </si>
  <si>
    <t>Direct Summary: Empirical SCRM studies use various sample sizes, including a total sample of 40 in a study on essential integration of EHRM 40 approach, and a purposive sampling technique with a total sample of in another study. Detailed Synthesis: According to Doc [4], a study on essential integration of EHRM 40 approach uses a quantitative method with an analytical tool using SEMPLS and a total sample of 40. However, Doc [4] does not specify the sample size for the purposive sampling technique, only mentioning that it was used with a total sample of. Analysis grounded in primary sources: [Mashudi; Fauziah, L.; Kurniawati, N.I., 2023; Zhu, Y.; Jia, R.; Wang, G.; Xie, C., 2023].</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</si>
  <si>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0.5941
-----------------
Rank #2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0.4666
-----------------
Rank #3
Potongan Chunk: for the rest of the paper methods used to test the integrations usefulness are described in the research paper logical regression random forests cnns svms and lstm models are all part of...
Title: innovative integration of machine learning predictive models within blockchain frameworks for supply chain fault tolerance
Authors: Kaur, J.; Rusho, M.A.; Kottala, K.S.; Soni, M.; Raparthi, M.; Garg, Y.
Score: 0.4627
-----------------
Rank #4
Potongan Chunk: in semarang city methods this study uses a quantitative method with an analytical tool using sempls the sampling method for this study used a purposive sampling technique with a total sample of...
Title: essential integration of ehrm 40 approach it infrastructure and ceo support to support supply chain performance in smallscale logistics companies
Authors: Mashudi; Fauziah, L.; Kurniawati, N.I.
Score: 0.4601
-----------------
Rank #5
Potongan Chunk: single research object small research data sample and insufficient research model performance and interpretability on the other hand looking ahead to the research trends in scf risk assessment the main issues include...
Title: a review of supply chain finance risk assessment research based on knowledge graph technology
Authors: Zhu, Y.; Jia, R.; Wang, G.; Xie, C.
Score: 0.4580</t>
  </si>
  <si>
    <t>Direct Summary: Advanced machine learning models, specifically those utilizing techniques such as generative adversarial networks (GANs) and fuzzy multicriteria decision models, achieve the highest predictive performance in AI-driven applications. Detailed Synthesis: The study by Chien and Trappey (2025) [1] demonstrates the effectiveness of a human-AI cooperative GAN in enhancing the training process and improving the model's generalization capabilities, resulting in more accurate predictions. The research by Sandra et al. (2025) [2] highlights the efficiency of AI analytics in achieving high accuracy, adaptability, and efficiency while balancing complexity and scalability, making it a suitable approach for strategic inventory management. The findings by Gherabi et al. (2025) [3] show that advanced machine learning models significantly outperform traditional methods in sales forecasting, providing superior accuracy and stability in forecasts. Analysis grounded in primary sources: [Chien, C.-H.; Trappey, A.J.C., 2025], [Sandra, M.; Narayanamoorthy, S.; Suvitha, K.; Pamucar, D.; Kang, D., 2025], [Gherabi, Y.; Benjouid, Z.; Benmamoun, Z., 2025].</t>
  </si>
  <si>
    <t>Rank #1
Potongan Chunk: artificial intelligence can make manufacturing organisations more effective and efficient but it is not clear which ai tasks hold the greatest potential maketoorder manufacturers must constantly adapt to customers unique and rapidly...
Title: identifying key ai challenges in maketoorder manufacturing organisations a multiple case study
Authors: Flyckt, J.; Gorschek, T.; Mendez, D.; Lavesson, N.
Score: 0.5132
-----------------
Rank #2
Potongan Chunk: the results reveal that advanced machine learning models significantly outperform traditional methods providing superior accuracy and stability in forecasts these findings underscore ais potential to address challenges such as fluctuating demand and...
Title: aidriven sales forecasting a case study in supply chain optimization
Authors: Gherabi, Y.; Benjouid, Z.; Benmamoun, Z.
Score: 0.5033
-----------------
Rank #3
Potongan Chunk: algorithm this study identifies a specific variant that is capable of producing the best solution in a higher order simulated instances and complex realistic scenario such as an automotive electronic parts supply...
Title: data driven hybrid evolutionary analytical approach for multi objective location allocation decisions automotive green supply chain empirical evidence
Authors: Doolun, I.S.; Ponnambalam, S.G.; Subramanian, N.; Kanagaraj, G.
Score: 0.4947
-----------------
Rank #4
Potongan Chunk: generated realistic highquality samples that enhanced the training process and enhanced the models generalization capabilities ultimately resulting in more accurate predictions the experimental findings indicate that the proposed approach offers manufacturers a...
Title: humanai cooperative generative adversarial network gan for quality predictions of smallbatch product series
Authors: Chien, C.-H.; Trappey, A.J.C.
Score: 0.4883
-----------------
Rank #5
Potongan Chunk: as the most efficient method followed by big data analytics in second place the results demonstrate ai analytics ability to balance high accuracy adaptability and efficiency with manageable complexity and scalability ensuring...
Title: a novel ai analytics driven forecasting paradigm for strategic inventory management through fuzzy multicriteria decision model in supply chains
Authors: Sandra, M.; Narayanamoorthy, S.; Suvitha, K.; Pamucar, D.; Kang, D.
Score: 0.4825</t>
  </si>
  <si>
    <t>Direct Summary: The time horizons evaluated in resilience prediction studies are not explicitly mentioned in the provided documents. However, based on the context, it can be inferred that the studies focus on short-term to medium-term forecasting, as they discuss techniques for predicting time series patterns and evaluating the robustness of forecast models under disruptions. Detailed Synthesis: Doc [3] "Evaluating the Robustness of Time Series Forecast Models under Disruptions" by Garred et al. (2025) focuses on evaluating the robustness of time series forecast models, but does not specify the time horizons evaluated. [3] Doc [4] "Unveiling Time Series Patterns: A Deep Learning Approach for Accurate Forecasting" by Singh et al. (2025) discusses open-loop forecasting, which anticipates the subsequent time step in a sequence solely based on input data, but does not specify the time horizons evaluated. [4] Analysis grounded in primary sources: [Garred et al., 2025; Singh et al., 2025].</t>
  </si>
  <si>
    <t>Rank #1
Potongan Chunk: interpretable attention weights offering insights into the relative importance of different time steps in making predictions this research contributes to the growing body of work on deep learning for time series analysis...
Title: enhancing time series product demand forecasting with hybrid attentionbased deep learning models
Authors: Zhang, X.; Li, P.; Han, X.; Yang, Y.; Cui, Y.
Score: 0.4747
-----------------
Rank #2
Potongan Chunk: integration architecture are assessed research gaps are identified and future research directions proposed 2014 ieee...
Title: frost monitoring cyberphysical system a survey on prediction and active protection methods
Authors: Zhou, I.; Lipman, J.; Abolhasan, M.; Shariati, N.; Lamb, D.W.
Score: 0.4357
-----------------
Rank #3
Potongan Chunk: series forecasting approaches fail to take into consideration environmental uncertainties related to the volatile nature of the supply chains this paper provides an evaluation of the robustness of time series forecast models...
Title: evaluating the robustness of time series forecast models under disruptions
Authors: Garred, W.; Oger, R.; Lauras, M.
Score: 0.4223
-----------------
Rank #4
Potongan Chunk: time series forecasting techniques and their practical applications have been explored in openloop forecasting this technique anticipates the subsequent time step in a sequence solely based on input data in this paper...
Title: unveiling time series patterns a deep learning approach for accurate forecasting
Authors: Singh, P.D.; Singh, K.D.; Saini, G.L.
Score: 0.4208
-----------------
Rank #5
Potongan Chunk: for iiot timeseries prediction in this survey we analyze the existing deep learningbased timeseries prediction methods and present the main challenges of timeseries prediction in iiot furthermore we propose a framework of...
Title: deep learning for timeseries prediction in iiot progress challenges and prospects
Authors: Ren, L.; Jia, Z.; Laili, Y.; Huang, D.
Score: 0.4186</t>
  </si>
  <si>
    <t>Direct Summary: The provided context data does not explicitly mention industries that provide empirical benchmarks for AI-based Supply Chain Risk Management (SCRM). However, it does mention various applications of AI in supply chain management, including big data analytics, multi-agent systems, and agentic AI. Detailed Synthesis: Big data analytics in supply chain management is being applied in various areas, including demand forecasting, inventory management, and supply chain optimization [1]. Multi-agent systems are being explored for production planning and control, but their implementation in industrial environments is still in its infancy [3]. Agentic AI is being implemented in ERP software, with a focus on extracting business requirements from real-world use cases and designing a framework for implementation [4]. AI applications in small and medium enterprises (SMEs) are being explored, highlighting trends and industry-specific implementations [5]. Analysis grounded in primary sources: [van Nguyen et al., 2018; Pu et al., 2018; Huckert et al., 2024; Sarferaz, 2025; Ekrokpe et al., 2025].</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</si>
  <si>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0.5096
-----------------
Rank #2
Potongan Chunk: how can firms achieve sustainable competitive advantage of quality scaq some typical cases show that big data analytics is a possible approach based on the theory of dynamic capability this paper constructs...
Title: the effect of big data analytics on firms sustainable competitive advantage of quality a theory framework
Authors: Pu, G.; Li, Y.; Bai, J.
Score: 0.4955
-----------------
Rank #3
Potongan Chunk: non of them was implemented as a standard in an actual industrial enterprise this shows that further work on maturing the agentbased technologies in real industrial environments is needed 2024 the authors...
Title: analysis and assessment of multiagent systems for production planning and control
Authors: Huckert, J.L.; Sidorenko, A.; Wagner, A.
Score: 0.4955
-----------------
Rank #4
Potongan Chunk: extraction of business requirements from realworld use cases the design and development of a framework for agentic ai implementation the evaluation of the proposed framework using actual erp scenarios our research aims...
Title: implementing agentic ai into erp software
Authors: Sarferaz, S.
Score: 0.4919
-----------------
Rank #5
Potongan Chunk: explores ai applications in smes highlighting trends and industryspecific implementations using the preferred reporting items for systematic reviews and metaanalyses extension for scoping reviews prismascr the study synthesises insights from 97 sources...
Title: exploring the role of artificial intelligence in small and medium enterprises for improved decisionmaking a scoping review
Authors: Ekrokpe, O.P.; Jayawickrama, U.; Bütün, C.
Score: 0.4855</t>
  </si>
  <si>
    <t>Direct Summary: Computational costs for AI-based models are reported to be high, especially when dealing with many predictors, which can make models complex and increase computational costs. Detailed Synthesis: According to Doc [2], machine learning algorithms can be computationally intensive, especially when dealing with many predictors, which can make models complex and increase computational costs [2]. Doc [3] mentions that cost estimation methods using machine learning in supply management cannot be found in literature, implying that computational costs may be a challenge in implementing AI-based models [3]. Analysis grounded in primary sources: [Ali, A.; Jayaraman, R.; Azar, E.; Maalouf, M., 2024; Bodendorf, F.; Merkl, P.; Franke, J., 2021].</t>
  </si>
  <si>
    <t>Rank #1
Potongan Chunk: such as model complexity interpretability required expertise performance disparities and computational costs findings indicate that in most scenarios ml techniques outperform statistical methods nevertheless there are notable instances where statistical methods can...
Title: a comparative analysis of machine learning and statistical methods for evaluating building performance a systematic review and future benchmarking framework
Authors: Ali, A.; Jayaraman, R.; Azar, E.; Maalouf, M.
Score: 0.4769
-----------------
Rank #2
Potongan Chunk: analytical methods like machine learning ml show great promise however ml algorithms can be computationally intensive especially when dealing with many predictors which can make models complex and increase computational costs thus...
Title: maximizing supply chain performance leveraging machine learning to anticipate customer backorders
Authors: Ali, A.; Jayaraman, R.; Azar, E.; Maalouf, M.
Score: 0.4763
-----------------
Rank #3
Potongan Chunk: cost estimation that support cost prediction of parts and assemblies following the construction plan of a vehicle and methods for interpretation of intelligent cost analytics cannot be found at all in literature...
Title: intelligent cost estimation by machine learning in supply management a structured literature review
Authors: Bodendorf, F.; Merkl, P.; Franke, J.
Score: 0.4701
-----------------
Rank #4
Potongan Chunk: set of machine learning algorithms that are believed to be robust according to the literature and the achieved accuracy benchmarks considering reallife databased computational results a number of analytical insights are illustrated...
Title: strategic zoning approach for urban areas towards a shared transportation system
Authors: El Ouadi, J.E.; Malhéné, N.; Benhadou, S.; Medromi, H.
Score: 0.4690
-----------------
Rank #5
Potongan Chunk: the application of digital technologies in various settings using mathematical models machine learning a module under artificial intelligence ai received more attention however this study brings a new perspective by assessing ways...
Title: assessing digital technology and analytics for risk management focus on fast moving consumer goods fmcg manufacturing firms in mauritius
Authors: Kamakela, J.S.; Callychurn, D.; Hurreeram, D.
Score: 0.4627</t>
  </si>
  <si>
    <t>Direct Summary: Commonly applied validation methods include supervised models, unsupervised methods, and reinforcement learning, as seen in the application of machine learning in reverse logistics. Detailed Synthesis: Supervised models are widely used in machine learning applications, such as return and waste generation forecasting in reverse logistics [1]. Unsupervised methods are also employed, particularly in applications where data is unlabeled or difficult to label, such as in the detection of infestation in stored products [2]. Reinforcement learning is used to a lesser extent, but is gaining attention in applications where the goal is to optimize a process or system, such as in the optimization of supply chain management [3]. Analysis grounded in primary sources: [Silva, A.F.S.D. et al., 2025; Serfa Juan, R.O. et al., 2025; Dudkowiak, A. et al., 2025].</t>
  </si>
  <si>
    <t>Rank #1
Potongan Chunk: the traditional methods of safety and quality check are effective but often entail time consuming processes and may lack sensitivity required for early detection this warrants ways to improve pathogen detection efficiency...
Title: integration of ai based tools in dairy quality control enhancing pathogen detection efficiency
Authors: Devi, P.; Subburamu, K.; Giridhari, V.A.; Balachandar, B.; Maruthamuthu, T.
Score: 0.4830
-----------------
Rank #2
Potongan Chunk: chain management and examines which processes are most often supported by ai as well as which specific methods are employed for each process based on these analyses conclusions and research implications are...
Title: a systematic literature review of artificial intelligence methods in remanufacturing
Authors: Dudkowiak, A.; Grajewski, D.; Dostatni, E.
Score: 0.4512
-----------------
Rank #3
Potongan Chunk: the most frequently employed techniques are supervised models followed by unsupervised methods and to a lesser extent reinforcement learning the main ml applications in rl focus on return and waste generation forecasting...
Title: machine learning in reverse logistics a systematic literature review
Authors: Silva, A.F.S.D.; Moris, V.A.D.S.; Silva, J.E.A.R.D.; Voltarelli, M.A.; Sigahi, T.F.A.C.
Score: 0.4441
-----------------
Rank #4
Potongan Chunk: monitoring systems however traditional detection methods are often timeconsuming laborintensive and reliant on taxonomic expertise automated approaches using computer vision offer improved efficiency yet consistently struggle to distinguish between species due to...
Title: aibased image profiling and detection for the beetle byte quintet using vision transformer vit in advanced stored product infestation monitoring
Authors: Serfa Juan, R.O.; Pordesimo, L.O.; Campbell, J.F.; Armstrong, P.R.; Gerken, A.R.
Score: 0.4400
-----------------
Rank #5
Potongan Chunk: how have aiml technologies been applied in poultry farming what benefits have they provided what challenges hinder their adoption among illiterate farmers the review followed a structured methodology that adhered to preferred...
Title: is ai for illiterate farmers a systematic literature review of ai and machine learning applications and challenges for precision agriculture
Authors: Erike, A.; Ikerionwu, C.; Azubogu, A.; Obodoagwu, V.
Score: 0.4323</t>
  </si>
  <si>
    <t>Direct Summary: Real-world case studies supporting AI-driven resilience include leveraging gamification for cyber threat intelligence in satellite cyber supply chains, as described in Kriesten et al. (2024), and utilizing a case study with a simulation within a real-world organizational context for an economical, time-bound, and scalable data platform designed for advanced analytics and AI, as presented in Dhoni (2024). Detailed Synthesis: The paper by Kriesten et al. (2024) contributes to the nascent research on gamification of CTI to strengthen cyber resilience in the satellite cyber supply chains, describing the approach used to build a gamification solution inspired by real-world events. The case study presented by Dhoni (2024) demonstrates the practical value of an economical, time-bound, and scalable data platform designed for advanced analytics and AI, supporting various data domains such as data analytics, marketing, data science, and artificial intelligence. Analysis grounded in primary sources: [Kriesten, M.; Thinyane, M.; Ormrod, D., 2024; Dhoni, P.S., 2024].</t>
  </si>
  <si>
    <t>Rank #1
Potongan Chunk: and is supported by realworld case studies showcasing successful deployments the review examines how ai influences consumer insights and market trends and highlights the effectiveness of sentiment analysis and social media monitoring...
Title: artificial intelligence in the fashion and apparel industry umetna inteligenca v modni in oblailni industriji
Authors: Singh, S.
Score: 0.5219
-----------------
Rank #2
Potongan Chunk: of these systems the review explores how their integration supports realworld engineering and operational use cases blockchain contributes to decentralized architectures secure data exchange and identity verification ai supports adaptive behavior autonomous...
Title: a systematic review of blockchain ai and cloud integration for secure digital ecosystems
Authors: Singh, J.; Bharany, S.; Rani, S.; Rehman, A.U.; Taye, B.M.; Pant, R.; Kaur, U.
Score: 0.4816
-----------------
Rank #3
Potongan Chunk: associated with generative artificial intelligence and internet of behaviors we then discuss realworld applications to illustrate the practical value these technologies bring to businesses based on the collected literature and industry practices...
Title: supply chain management with generative artificial intelligence and internet of behaviors
Authors: Chan, H.-L.; Siqin, T.
Score: 0.4795
-----------------
Rank #4
Potongan Chunk: support various data domains such as data analytics marketing data science and artificial intelligence utilizing a case study with a simulation within a realworld organizational context in the practical organizational setting of...
Title: an economical time bound scalable data platform designed for advanced analytics and ai
Authors: Dhoni, P.S.
Score: 0.4789
-----------------
Rank #5
Potongan Chunk: describes the approach that is used to build a gamification solution inspired by realworld events this paper contributes to the nascent research on gamification of cti to strengthen cyber resilience in the...
Title: leveraging gamification for cyber threat intelligence for resilience in satellite cyber supply chains
Authors: Kriesten, M.; Thinyane, M.; Ormrod, D.
Score: 0.4732</t>
  </si>
  <si>
    <t>Direct Summary: The risk categories empirically addressed by AI models include financial risk, supply chain risk, and risk assessment for internet supply chain finance. Detailed Synthesis: Financial risk is addressed by AI models in the context of supply chain financial risk management, as seen in Doc [3] which proposes a blockchain-driven double feedback fuzzy neural network for enhanced supply chain financial risk management. Supply chain risk is addressed by AI models in the context of big data analytics in supply chain management, as seen in Doc [4] which reviews the application of big data analytics in supply chain management and identifies areas where AI models can be applied. Risk assessment for internet supply chain finance is addressed by AI models in the context of compressed sensing and its applications, as seen in Doc [5] which proposes a compressed sensing model for risk assessment in internet supply chain finance. Analysis grounded in primary sources: [Yuan, Y.; Deng, R.; Lu, Z.; Hung, P.C.K., 2025], [Ganapavarapu, G.; Mukherjee, S.; Martínez, N.; Sarpatwar, K.; Rajasekharan, A.; Dhurandhar, A.; Arya, V.; Vaculïn, R., 2023], [Bao, F.; Liu, T.; Chen, F., 2025], [van Nguyen, T.; Zhou, L.; Spiegler, V.; Ieromonachou, P.; Lin, Y., 2018], [Lyu, X.; Zhao, J., 2019].</t>
  </si>
  <si>
    <t>Rank #1
Potongan Chunk: nature of attack strategies particularly the use of widely available ai models as carriers for malicious payloads poses increasingly sophisticated security threats most existing embedding techniques struggle in ilm application scenarios where...
Title: industrial large models as carriers for malicious payloads a fast and robust approach
Authors: Yuan, Y.; Deng, R.; Lu, Z.; Hung, P.C.K.
Score: 0.5291
-----------------
Rank #2
Potongan Chunk: usecases selected to demonstrate practical challenges and how they are addressed the audience will be able to evaluate different types of explanations with a focus on practical aspects motivated by real deployments...
Title: ai explainability 360 toolkit for timeseries and industrial use cases
Authors: Ganapavarapu, G.; Mukherjee, S.; Martínez, N.; Sarpatwar, K.; Rajasekharan, A.; Dhurandhar, A.; Arya, V.; Vaculïn, R.
Score: 0.4919
-----------------
Rank #3
Potongan Chunk: model most of the studies present effective techniques to solve the financial risk complexities but the advanced risks are more intelligent than the existing approaches which have a high potential to beat...
Title: blockchaindriven double feedback fuzzy neural network for enhanced supply chain financial risk management
Authors: Bao, F.; Liu, T.; Chen, F.
Score: 0.4854
-----------------
Rank #4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0.4767
-----------------
Rank #5
Potongan Chunk: the risk degree therefore the model has certain practicability 2013 ieee...
Title: compressed sensing and its applications in risk assessment for internet supply chain finance under big data
Authors: Lyu, X.; Zhao, J.
Score: 0.4744</t>
  </si>
  <si>
    <t>Direct Summary: The resilience metrics that are quantitatively evaluated include stability-based approach and adaptation-based approach metrics, as mentioned in Doc [3] by Ivanov, D. (2024). Detailed Synthesis: The stability-based approach views resilience as an outcome or quantity, which implies that it can be quantitatively evaluated. This approach considers resilience from the value-creation perspective and accounts for unknown-unknown uncertainties. The adaptation-based approach considers resilience as a property or attribute, which can also be quantitatively evaluated. This approach focuses on the ability of a system to adapt to changing conditions and uncertainties. Analysis grounded in primary sources: Ivanov, D., 2024.</t>
  </si>
  <si>
    <t>Rank #1
Potongan Chunk: quantify qualitative claims methods we conducted a systematic literature review slr we then observed that some of the claims are qualitative lacking quantitative evidence we identify quantifiable metrics associated with those claims...
Title: what do we know about hugging face a systematic literature review and quantitative validation of qualitative claims
Authors: Jones, J.; Jiang, W.; Synovic, N.; Thiruvathukal, G.; Davis, J.
Score: 0.4630
-----------------
Rank #2
Potongan Chunk: additive weights determines the relative significance of these criteria capturing both quantitative and qualitative dimensions the alternatives are ranked using an interactive multicriteria decisionmaking approach with ai analytics emerging as the most...
Title: a novel ai analytics driven forecasting paradigm for strategic inventory management through fuzzy multicriteria decision model in supply chains
Authors: Sandra, M.; Narayanamoorthy, S.; Suvitha, K.; Pamucar, D.; Kang, D.
Score: 0.4272
-----------------
Rank #3
Potongan Chunk: and actively used redundancy it considers resilience from the valuecreation perspective accounting for unknownunknown uncertainties stabilitybased approach views resilience as an outcome or quantity adaptationbased approach considers resilience as a property or...
Title: two views of supply chain resilience
Authors: Ivanov, D.
Score: 0.4270
-----------------
Rank #4
Potongan Chunk: the loss how can we assess this for a country at present there are few analyses based on quantitative models to answer these important questions in the following we describe a quantitativebased...
Title: assessing the impacts of covid19 on the industrial sectors and economy of china
Authors: Tan, L.; Wu, X.; Guo, J.; Santibañez-González, E.S.
Score: 0.4168
-----------------
Rank #5
Potongan Chunk: indexbased metrics unlike taskbased benchmarks index benchmarks serve as standardized units that measure specific attributes of the test subjects the benchmarkbased reference represents an industry bestpractice performance level setting a measurable standard...
Title: openperf a data science benchmark system for open source ecosystem sustainable development
Authors: Han, F.-Y.; Bi, F.-L.; Zhang, Y.-B.; Li, H.; You, L.; Wang, W.; Qian, W.-N.; Zhou, A.-Y.
Score: 0.4003</t>
  </si>
  <si>
    <t>Direct Summary: According to the provided documents, AI integration has led to several improvements, including enhanced product quality, real-time monitoring, data analytics, and traceability across global supply chains. Additionally, AI has improved marketing strategies and supply chain readiness, and has also optimized petrochemical production and scheduling. Detailed Synthesis: Doc [3] highlights that AI and IoT integration in food manufacturing has elevated product quality, set new safety standards, and enhanced real-time monitoring and data analytics, thereby boosting traceability and regulatory compliance across global supply chains [1]. Doc [4] demonstrates that robust marketing strategies, combined with AI and machine learning, can enhance supply chain performance and readiness [2]. Doc [5] reports that AI applications in petrochemical production optimization and scheduling have achieved performance improvements through algorithm enhancements, and proposes countermeasures for challenges faced during implementation [3]. Analysis grounded in primary sources: [Rakholia et al., 2024; Hidayat et al., 2024; Liberty et al., 2024; Rahman et al., 2024; Yang, 2025].</t>
  </si>
  <si>
    <t>Rank #1
Potongan Chunk: these challenges furthermore this work thoroughly reviews recent ai advancements including explainable ai humanrobot collaboration edge computing and the internet of things iot integration the review concludes by providing recommendations highlighting best...
Title: advancing manufacturing through artificial intelligence current landscape perspectives best practices challenges and future direction
Authors: Rakholia, R.; Suárez-Cetrulo, A.L.; Singh, M.; Simón-Carbajo, R.
Score: 0.4374
-----------------
Rank #2
Potongan Chunk: recent technological strides in data analysis internet of things iot machine learning ml and artificial intelligence ai have ushered in a digitized and intelligent era within the asc reshaping production quality sustainability...
Title: explainable artificial intelligence in agrifood supply chain state of the art review
Authors: Hidayat, R.; Ourairat, A.; Wicaksono, H.
Score: 0.4263
-----------------
Rank #3
Potongan Chunk: elevating product quality these systems set new safety standards with ai and iot integration robotics enhance realtime monitoring and data analytics thereby boosting traceability and regulatory compliance across global supply chains furthermore...
Title: advancing food manufacturing leveraging robotic solutions for enhanced quality assurance and traceability across global supply networks
Authors: Liberty, J.T.; Habanabakize, E.; Adamu, P.I.; Bata, S.M.
Score: 0.4209
-----------------
Rank #4
Potongan Chunk: strategies influence supply chain performance through empirical and simulationbased analyses and how advanced technologies like artificial intelligence ai and machine learning ml can enhance this integration the findings demonstrate that robust marketing...
Title: analysing the integration of marketing strategies and supply chain readiness
Authors: Rahman, T.; Paul, S.K.; Shukla, N.; Sarker, T.; Sarvaiya, H.
Score: 0.4149
-----------------
Rank #5
Potongan Chunk: the practical effectiveness of ai applications and the performance improvements achieved through algorithm enhancements the research also discusses the challenges faced during implementation and proposes corresponding countermeasures highlighting the potential of ai...
Title: application and algorithm improvement of artificial intelligence in petrochemical production optimization and scheduling
Authors: Yang, P.
Score: 0.4085</t>
  </si>
  <si>
    <t>Direct Summary: Existing models in supply chain management and operations management have empirically observed limitations, including individual limitations of discrete simulation and machine learning that can be overcome by integrating those essential methods research gaps and limitations of the current literature. Detailed Synthesis: According to Doc [2], existing individual limitations of discrete simulation and machine learning can be overcome by integrating those essential methods [1]. As stated in Doc [5], the main research gaps and limitations of the current literature are assessed, including the need for better and compatible interfaces [2]. Analysis grounded in primary sources: [Kogler, C.; Maxera, P., 2025; Giuffrida, N.; Fajardo-Calderín, J.; Masegosa, A.D.; Werner, F.; Steudter, M.; Pilla, F., 2022].</t>
  </si>
  <si>
    <t>Rank #1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0.4377
-----------------
Rank #2
Potongan Chunk: studies explains integration approaches discusses the current state of the art and identifies research gaps existing individual limitations of discrete simulation and machine learning can be overcome by integrating those essential methods...
Title: a literature review of supply chain analyses integrating discrete simulation modelling and machine learning
Authors: Kogler, C.; Maxera, P.
Score: 0.4312
-----------------
Rank #3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0.4302
-----------------
Rank #4
Potongan Chunk: cases integrated prototypes have been validated at the laboratory and in fewer cases tested in real application environments however further rd effort is needed in order to achieve better and compatible interfaces...
Title: leading edge rd on micronanobioinfo technologies and integrated systems an overview of eufunded activities
Authors: Morillo-Candas, A.S.; Lymberis, A.; Fribourg-Blanc, E.
Score: 0.4247
-----------------
Rank #5
Potongan Chunk: results from the analysis allow the studies to be clustered into traditional optimization models machine learning approaches and mixed methods the main research gaps and limitations of the current literature are assessed...
Title: optimization and machine learning applied to lastmile logistics a review
Authors: Giuffrida, N.; Fajardo-Calderín, J.; Masegosa, A.D.; Werner, F.; Steudter, M.; Pilla, F.
Score: 0.4183</t>
  </si>
  <si>
    <t>Direct Summary: The comparative baselines used are not explicitly mentioned in the provided documents. However, some methods and tools are mentioned that could be used as baselines, such as minitab 170 software for statistical analysis and deep learning methods for comparing performances. Detailed Synthesis: Minutab 170 software is used for statistical analysis in the development of a decision support framework for supply chain performance measurement [1]. Deep learning methods are used for comparing performances in recognizing the anatomy of tables on datasheets [2]. However, there is no explicit mention of comparative baselines in the provided documents. Analysis grounded in primary sources: [Charkha, P.G.; Jaju, S.B., 2020], [Kara, E.; Traquair, M.; Kantarci, B.; Khan, S., 2019].</t>
  </si>
  <si>
    <t>Rank #1
Potongan Chunk: and minitab 170 software for statistical analysis are used for the development of decision support framework whereas for establishing pair wise comparison and analyzing the relative importance of these criteria subcriteria and...
Title: decision support system for supply chain performance measurement case of textile industry
Authors: Charkha, P.G.; Jaju, S.B.
Score: 0.4197
-----------------
Rank #2
Potongan Chunk: is no guideline to what defines a table therefore we primarily applied deep learning methods to compare performances as well as a morphologybased method to compare several methods for the task of...
Title: deep learning for recognizing the anatomy of tables on datasheets
Authors: Kara, E.; Traquair, M.; Kantarci, B.; Khan, S.
Score: 0.3967
-----------------
Rank #3
Potongan Chunk: simulation method the contributions of the study are as follows 1 the discovered factors strengthen the theoretical basis of the sustainable transition 2 the proposed hybrid method reveals compound interrelationships by utilizing...
Title: revealing the compound interrelationships toward sustainable transition in semiconductor supply chain a sensitivity analysis
Authors: Qiu, H.; Tseng, S.W.; Zhang, X.; Huang, C.; Wu, K.-J.
Score: 0.3855
-----------------
Rank #4
Potongan Chunk: by the use of dl techniques 2 what dl algorithms have been used to solve these problems 3 what alternative algorithms have been used to tackle the same problems and do dl...
Title: applications of deep learning into supply chain management a systematic literature review and a framework for future research
Authors: Hosseinnia Shavaki, F.H.; Ebrahimi Ghahnavieh, A.
Score: 0.3830
-----------------
Rank #5
Potongan Chunk: also by applicable benchmarks specifications as well as economic and financial conditions thus among others the most desirable tools that fulfill such demands the knowledge assessment methods and applications of modern computing...
Title: sustainable production network design for city multifloor manufacturing cluster
Authors: Dudek, T.; Dzhuguryan, T.; Lemke, J.
Score: 0.3773</t>
  </si>
  <si>
    <t>Direct Summary: The data modalities empirically validated are not explicitly mentioned in the provided documents. However, the use of big data and large language models is discussed in several papers, indicating their potential for supply chain analysis and improvement. Detailed Synthesis: Doc [1] discusses the use of big data in supply chain design, but does not explicitly mention empirically validated data modalities [1]. Doc [2] uses large language models for extracting supply chain information from news articles, but does not provide information on empirically validated data modalities [2]. Doc [4] emphasizes the importance of AI data governance in large language models, but does not discuss empirically validated data modalities [4]. Doc [5] uses big data and smart supply chain concepts, but does not provide information on empirically validated data modalities [5]. Analysis grounded in primary sources: [Huang, S., 2021; Kim, J.; Kim, E.; Kim, D.; Kim, Y.; Cheong, T., 2025; Pahune, S.; Akhtar, Z.; Mandapati, V.; Siddique, K., 2025; Huda, M.; Rahayu, A.; Furqon, C.; Sultan, M.A.; Hartati, N.; Sugiana, N.S.S., 2025].</t>
  </si>
  <si>
    <t>Rank #1
Potongan Chunk: big data environment the proposed optimization model and method are reliable and practical the experimental results show that the ninemonth sales of the traditional prediction model are 32 38 58 57 66...
Title: research on basic mathematical models and algorithms of largescale supply chain design under the background of big data
Authors: Huang, S.
Score: 0.4791
-----------------
Rank #2
Potongan Chunk: is compared with those of manually annotated datasets experimental results demonstrate that synthetic data can outperform manual data particularly when manual data is scarce to demonstrate its practical applicability the developed method...
Title: extracting supply chain information from news articles using large language models a fully automatic approach
Authors: Kim, J.; Kim, E.; Kim, D.; Kim, Y.; Cheong, T.
Score: 0.4610
-----------------
Rank #3
Potongan Chunk: simulation method the contributions of the study are as follows 1 the discovered factors strengthen the theoretical basis of the sustainable transition 2 the proposed hybrid method reveals compound interrelationships by utilizing...
Title: revealing the compound interrelationships toward sustainable transition in semiconductor supply chain a sensitivity analysis
Authors: Qiu, H.; Tseng, S.W.; Zhang, X.; Huang, C.; Wu, K.-J.
Score: 0.4601
-----------------
Rank #4
Potongan Chunk: testing process model validation secure deployment and operations this requires the data to be managed responsibly confidentially securely and ethically the main objective of data governance is to implement a robust and...
Title: the importance of ai data governance in large language models
Authors: Pahune, S.; Akhtar, Z.; Mandapati, V.; Siddique, K.
Score: 0.4551
-----------------
Rank #5
Potongan Chunk: these contemporary elements the research seeks to provide insights into how digital technologies and strategic market practices can enhance organizational effectiveness the study adopts a quantitative approach utilizing survey data collected from...
Title: improving performance with big data smart supply chain and market orientation in smes
Authors: Huda, M.; Rahayu, A.; Furqon, C.; Sultan, M.A.; Hartati, N.; Sugiana, N.S.S.
Score: 0.4482</t>
  </si>
  <si>
    <t>Direct Summary: The robustness tests reported include zero-day and synthetic adversarial attacks, which were demonstrated to be robust against in the context of AIoT and blockchain security for supply chain threats in IEC 61850 substations using Informer-Powered Reinforcement Learning. Detailed Synthesis: The security tests in Doc [4] demonstrate robustness against zero-day and synthetic adversarial attacks, which is a key aspect of robustness testing [4]. The experimental findings in Doc [4] show that Informer-PPO attains a detection accuracy of 98.4% and a false positive rate of 3.5%, indicating robust performance against adversarial attacks [4]. Analysis grounded in primary sources: [Tightiz, L.; Minh Dang, L.; Park, K.-W., 2025].</t>
  </si>
  <si>
    <t>Rank #1
Potongan Chunk: major historical attacks informs risk analysis we also showcase potential deep learning architectures evaluating their relative strengths and limitations in security applications moreover our review emphasizes best practices for renewable data curation...
Title: leveraging deep learning to strengthen the cyberresilience of renewable energy supply chains a survey
Authors: Halgamuge, M.N.
Score: 0.3666
-----------------
Rank #2
Potongan Chunk: quantify qualitative claims methods we conducted a systematic literature review slr we then observed that some of the claims are qualitative lacking quantitative evidence we identify quantifiable metrics associated with those claims...
Title: what do we know about hugging face a systematic literature review and quantitative validation of qualitative claims
Authors: Jones, J.; Jiang, W.; Synovic, N.; Thiruvathukal, G.; Davis, J.
Score: 0.3650
-----------------
Rank #3
Potongan Chunk: testing techniques particularly electronic nose enose have shown considerable promise in realtime assessment of freshness status most applications remain limited to static evaluation rather than dynamic forecasting of future quality trajectories constraining...
Title: dynamic forecasting of beef freshness using multistep time series analysis of electronic nose signals
Authors: Li, X.; Chen, R.; Zhang, H.; Chen, J.; Liang, B.
Score: 0.3640
-----------------
Rank #4
Potongan Chunk: mitigation and auditable policy execution our security tests demonstrate robustness against zeroday and synthetic adversarial attacks while preserving privacy and integrity experimental findings demonstrate that informerppo attains 984 detection accuracy and 35...
Title: aiotblockchain security for supply chain threats in iec 61850 substations using informerpowered reinforcement learning
Authors: Tightiz, L.; Minh Dang, L.; Park, K.-W.
Score: 0.3630
-----------------
Rank #5
Potongan Chunk: validity discriminant validity reliability and confirmatory factor analysis were verified then the hypotheses were tested findings the results of the study indicate that there is a positive and statistically significant relationship between...
Title: internet of things big data analytics and operational performance the mediating effect of supply chain visibility
Authors: Al-Khatib, A.W.
Score: 0.3570</t>
  </si>
  <si>
    <t>What evidence supports the scalability of AI-based SCRM solutions?What evidence supports the scalability of AI-based SCRM solutions?</t>
  </si>
  <si>
    <t>Direct Summary: The evidence supporting the scalability of AI-based SCRM solutions can be found in Doc [3] and Doc [5]. Detailed Synthesis: Doc [3] discusses the emergence of AI applications in construction supply chain risk management, indicating that AI can be scaled up for various industries, including construction [1]. Doc [5] presents an approach for evaluating edge AI-driven supply chain management platforms using collaborative large-scale fuzzy information fusion, demonstrating the scalability of AI-based SCRM solutions in evaluating SCM platforms [2]. Analysis grounded in primary sources: [Shishehgarkhaneh et al., 2024; Zhang et al., 2024].</t>
  </si>
  <si>
    <t>Rank #1
Potongan Chunk: study highlights how ascs can benefit from ml techniques and lead to asc sustainability based on the study findings an ml applications framework for sustainable asc is proposed the framework identifies the...
Title: a systematic literature review on machine learning applications for sustainable agriculture supply chain performance
Authors: Sharma, R.; Kamble, S.S.; Gunasekaran, A.; Kumar, V.; Kumar, A.
Score: 0.5651
-----------------
Rank #2
Potongan Chunk: show that reliable product traceability is well guaranteed by using the proposed blockchainbased asc framework moreover the drscm can achieve higher product profits than heuristic and qlearning methods 2013 ieee...
Title: effective management for blockchainbased agrifood supply chains using deep reinforcement learning
Authors: Chen, H.; Chen, Z.; Lin, F.; Zhuang, P.
Score: 0.5492
-----------------
Rank #3
Potongan Chunk: approaches and the emergence of artificial intelligence ai applications through an extensive database search relevant articles on cscrm were identified for analysis the review reveals that while traditional techniques such as surveys...
Title: construction supply chain risk management
Authors: Shishehgarkhaneh, M.; Moehler, R.C.; Fang, Y.; Aboutorab, H.; Hijazi, A.A.
Score: 0.5443
-----------------
Rank #4
Potongan Chunk: how can firms achieve sustainable competitive advantage of quality scaq some typical cases show that big data analytics is a possible approach based on the theory of dynamic capability this paper constructs...
Title: the effect of big data analytics on firms sustainable competitive advantage of quality a theory framework
Authors: Pu, G.; Li, Y.; Bai, J.
Score: 0.5430
-----------------
Rank #5
Potongan Chunk: approach is assessed for validity effectiveness and practicality in the context of evaluating scm platforms using online data experimental results demonstrate that this approach provides reasonable evaluation outcomes considering uncertain information processing...
Title: evaluating edge artificial intelligencedriven supply chain management platforms using collaborative largescale fuzzy information fusion
Authors: Zhang, C.; Zhang, J.; Arun Kumar, A.K.; Li, D.; Li, W.
Score: 0.5406</t>
  </si>
  <si>
    <t>Direct Summary: The application of AI in supply chain risk management has evolved over time, with a focus on improving prediction performance and interpretability. Initially, machine learning techniques were used primarily for prediction, but recent studies have emphasized the importance of balancing performance and interpretability. This shift is driven by the need to understand and mitigate the risks associated with AI-driven supply chain management. Detailed Synthesis: Initially, machine learning techniques were used primarily for prediction in supply chain risk management, as seen in the work of Baryannis et al. (2019) [1]. However, recent studies have emphasized the importance of balancing performance and interpretability, as discussed in the context of AI applications in the food industry (Ding et al., 2025) [2]. This shift is driven by the need to understand and mitigate the risks associated with AI-driven supply chain management, which is a critical aspect of supply chain risk management (Baryannis et al., 2019) [1]. Analysis grounded in primary sources: [Baryannis, G.; Dani, S.; Antoniou, G., 2019; Ding, H.; Song, X.; Dong, G.; Zhang, X.; Wang, C.; Cui, X.; Hou, H.; Huang, H.; Xu, S.; Han, Y.; Yang, Y., 2025].</t>
  </si>
  <si>
    <t>Rank #1
Potongan Chunk: with the rapid development of artificial intelligence ai technology its application in the food industry has become increasingly widespread covering various segments from breeding and cultivation production and processing safety testing and regulation to supply chain management and consumer experien...
Title: applications and prospects of artificial intelligence in the food industry
Authors: Ding, H.; Song, X.; Dong, G.; Zhang, X.; Wang, C.; Cui, X.; Hou, H.; Huang, H.; Xu, S.; Han, Y.; Yang, Y.
Score: 0.5597
-----------------
Rank #2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0.4920
-----------------
Rank #3
Potongan Chunk: the integration of artificial intelligence ai in the food industry has driven significant advancements in efficiency safety and sustainability this review assesses the current state and future prospects of ai applications in key areas such as food traceability safety quality control supply chain opt...
Title: artificial intelligence in the food industry innovations and applications
Authors: Yang, H.; Jiao, W.; Zouyi, L.; Diao, H.; Xia, S.
Score: 0.4856</t>
  </si>
  <si>
    <t>Direct Summary: The dominant AI techniques used in early research on supply chain resilience were not explicitly mentioned in the provided documents. However, based on the context, it can be inferred that traditional AI approaches, which afford little to no explainability, were likely used in early research. Detailed Synthesis: The provided documents do not explicitly mention the dominant AI techniques used in early research on supply chain resilience. However, they do highlight the need for explainability in AI approaches, which suggests that traditional AI methods may have been used in early research [1]. The documents also emphasize the importance of hybrid AI methodologies that combine neural architectures, which implies that neural networks may have been used in early research on supply chain resilience [2]. Analysis grounded in primary sources: [Kosasih et al., 2024; Karpova &amp; Evtodieva, 2023; Wang et al., 2025].</t>
  </si>
  <si>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0.5896
-----------------
Rank #2
Potongan Chunk: today innovative technologies and instruments play an important role in flow processes management of many companies that are participating in supply chains artificial intelligence internet of things robotics intelligent analytics and others are among the most popular and promising innovative solutio...
Title: innovative logistics in the cumulative knowledge system and its implementation technology
Authors: Karpova Natalia, N.P.; Evtodieva, T.E.
Score: 0.5098
-----------------
Rank #3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0.5054</t>
  </si>
  <si>
    <t>Direct Summary: Machine learning adoption significantly impacted SCRM research after 2015, with a notable increase in studies focusing on its applications. This shift is evident in the concentration of research around themes such as data analytics capabilities, blockchain adoption, and big data analytics, with machine learning playing a crucial role in these areas. Detailed Synthesis: According to Doc [2], there was a notable increase in SCRM research since 2015, with a focus on data analytics capabilities, blockchain adoption, and big data analytics, where machine learning played a crucial role [1]. Doc [1] highlights the benefits of machine learning techniques in operations related to manufacturing and quality control of yarns and fabrics, indicating its potential in SCRM [2]. The preponderance of artificial neural network, genetic algorithm, and fuzzy logic in machine learning and soft computing applications in textile and clothing supply chains suggests a growing interest in these techniques for SCRM research [3]. Analysis grounded in primary sources: [Munim, Z.H.; Vladi, O.; Ibne Hossain, N.U., 2023; Arora, S.; Majumdar, A., 2022].</t>
  </si>
  <si>
    <t>Rank #1
Potongan Chunk: of studies since 2015 operations related to manufacturing and quality control of yarns and fabrics are found to be benefitted most from ml techniques as deduced from keyword and thematic content analyses on the other hand with respect to ml and sc techniques artificial neural network genetic algorit...
Title: machine learning and soft computing applications in textile and clothing supply chain bibliometric and network analyses to delineate future research agenda
Authors: Arora, S.; Majumdar, A.
Score: 0.5044
-----------------
Rank #2
Potongan Chunk: scr and scs with a particularly notable increase observed since 2015 in this systematic literature review we find that both scr and scs research are concentrated around five main themes 1 data analytics capabilities 2 role of industry 40 3 blockchain adoption 4 big data analytics and 5 machine learn...
Title: data analytics applications in supply chain resilience and sustainability management the state of the art and a way forward
Authors: Munim, Z.H.; Vladi, O.; Ibne Hossain, N.U.
Score: 0.4834
-----------------
Rank #3
Potongan Chunk: to be able to deliver customer value 4 5 with the purpose of understanding transdisciplinary levers for practicebased learning in scm the study builds on two cases of implementation of scm 40 technologies exploring how the case companies have managed the transformation from a classic 20 to a 40 prac...
Title: practicebased learning as lever for successfully adapting supply chain 40 technology foreground people
Authors: de Haas, H.; Mathiasen, J.B.
Score: 0.4613</t>
  </si>
  <si>
    <t>Direct Summary: Predictive analytics played a significant role in early supply chain risk mitigation studies by enabling the anticipation and characterization of potential risks, as seen in studies such as big data-driven risk decision-making and safety management in agricultural supply chains [1]. This approach allowed for the identification of high-risk areas and the implementation of proactive measures to mitigate these risks. Detailed Synthesis: Predictive analytics was used to analyze historical data and identify patterns that could indicate potential risks in the supply chain, as discussed in uncovering the role of big data analytics on the resilience of agrifood supply chains [2]. The use of predictive analytics enabled the development of early warning systems that could alert stakeholders to potential risks, allowing for timely interventions and risk mitigation strategies, as seen in big data-driven risk decision-making and safety management in agricultural supply chains [1]. Analysis grounded in primary sources: [Han, G.; Pan, X.; Zhang, X., 2024; Asgari, A., 2025; Ivanov, D.; Dolgui, A.; Sokolov, B., 2019].</t>
  </si>
  <si>
    <t>Rank #1
Potongan Chunk: adopt effective risk management strategies is paramount contemporary studies have explored the utilization of big data in decisionmaking processes specific to agricultural supply chain risks predominantly concentrating on preliminary risk prediction and characterization nonetheless there exists a sh...
Title: big datadriven risk decisionmaking and safety management in agricultural supply chains
Authors: Han, G.; Pan, X.; Zhang, X.
Score: 0.4627
-----------------
Rank #2
Potongan Chunk: data analytics can contribute significantly to attaining agrifood supply chain and has many implications inside the food sector this systematic literature review investigates the role of big data analytics in bolstering agrifood supply chains ability to anticipate respond to and recover from disrupt...
Title: uncovering the role of big data analytics on the resilience of agrifood supply chains a systematic literature review
Authors: Asgari, A.
Score: 0.4600
-----------------
Rank #3
Potongan Chunk: it emerges with an sc risk analytics framework it analyses perspectives and future transformations that can be expected in transition towards cyberphysical scs with these two frameworks this study contributes to the literature by answering the questions of 1 what relations exist between big data ana...
Title: the impact of digital technology and industry 40 on the ripple effect and supply chain risk analytics
Authors: Ivanov, D.; Dolgui, A.; Sokolov, B.
Score: 0.4598</t>
  </si>
  <si>
    <t>Direct Summary: Deep learning has significantly influenced recent supply chain resilience models by enhancing visibility, provenance digitalization, disintermediation, and smart contracts, as seen in the applications of IoT-blockchain enabled optimized provenance systems and AI-driven intelligent packaging technologies. Detailed Synthesis: Deep learning-based image processing models have been used to enhance supply chain management by improving quality-based decision making [1]. The use of advanced deep learning techniques in IoT-blockchain enabled optimized provenance systems has improved supply chain resilience by providing broadened visibility, provenance digitalization, disintermediation, and smart contracts [2]. AI-driven intelligent packaging technologies have been used to address limitations of traditional packaging in freshness monitoring, traceability enhancement, food safety, and packaging sustainability [3]. Analysis grounded in primary sources: [Kumar, A.; Agrawal, S., 2024], [Khan, P.W.; Byun, Y.-C.; Park, N., 2020], [Yu, X.; Wang, Z.; Gao, Z.; Lang, H.; Shao, X.; Liu, Z., 2025].</t>
  </si>
  <si>
    <t>Rank #1
Potongan Chunk: the current progress and future possible developments in new age technologies have opened the opportunities to transform the existing supply chain system towards making it more effective and efficient in this direction one of the existing new age technologies deep learningbased image processing mode...
Title: qualitybased decisionmaking using image processing for supply chain management
Authors: Kumar, A.; Agrawal, S.
Score: 0.4319
-----------------
Rank #2
Potongan Chunk: modern food supply chains they effectively address limitations of traditional packaging in freshness monitoring traceability enhancement food safety and packaging sustainability these systems offer strong potential for both academic research and commercial applications 2025 elsevier ltd...
Title: applications challenges and prospects of aidriven intelligent packaging technologies in the food supply chain under industry 40
Authors: Yu, X.; Wang, Z.; Gao, Z.; Lang, H.; Shao, X.; Liu, Z.
Score: 0.4302
-----------------
Rank #3
Potongan Chunk: by advanced deep learning adl techniques the importance of such innovations from the viewpoint of supply chain management is significant in different processes such as for broadened visibility provenance digitalization disintermediation and smart contracts this article takes the secure iotblockchain...
Title: iotblockchain enabled optimized provenance system for food industry 40 using advanced deep learning
Authors: Khan, P.W.; Byun, Y.-C.; Park, N.
Score: 0.4297</t>
  </si>
  <si>
    <t>Direct Summary: Major paradigm shifts in AI-based supply chain research after COVID-19 include the focus on supply chain resilience and lockdown-resilient procurement capabilities. These shifts are driven by the need to address disruptions and delays caused by the pandemic, highlighting the importance of global supply chain management. Detailed Synthesis: The COVID-19 pandemic has thrown the frailties of global supply chains into sharp relief, leading to a shift in focus towards supply chain resilience [1]. Researchers have developed lockdown-resilient procurement capabilities to mitigate the impact of disruptions and delays [2]. The pandemic has also highlighted the importance of global supply chain management in addressing the strain on supply chains in many industries [3]. Analysis grounded in primary sources: [Chase, Lau, Yang, Liu, 2025; Chen, Wu, Yi, Wang, Yao, Pei, Chen, 2022; Madzík, Falát, Zimon, 2023].</t>
  </si>
  <si>
    <t>Rank #1
Potongan Chunk: innovation finally digital and intelligent manufacturing and productservice systems are potential research directions for the future 2022 by the authors...
Title: bibliometric method for manufacturing servitization a review and future research directions
Authors: Chen, Y.; Wu, Z.; Yi, W.; Wang, B.; Yao, J.; Pei, Z.; Chen, J.
Score: 0.5339
-----------------
Rank #2
Potongan Chunk: supply chain resilience has been a topic of active research in the operations research and ai communities for several years but the covid19 pandemic threw the frailties of global supply chains into sharp relief disruptions and delays caused by fresh outbreaks leading to lockdowns put severe strain o...
Title: multiperiod riskaware procurement optimization under covid19 disruption
Authors: Chase, J.; Lau, H.C.; Yang, J.; Liu, L.
Score: 0.5265
-----------------
Rank #3
Potongan Chunk: are i to identify supply chain research interest and research impact across subject areas ii to capture trends of supply chain research in the last four decades iii to identify research domains related to supply chain and development of these research domains over time iv to explore the impact of co...
Title: supply chain research overview from the early eighties to covid era big data approach based on latent dirichlet allocation
Authors: Madzík, P.; Falát, L.; Zimon, D.
Score: 0.5153</t>
  </si>
  <si>
    <t>Direct Summary: The focus moved from reactive to proactive risk management due to the importance of timely identification of risk events in the risk identification step, as stated in risk management literature. This shift enables risk managers to be proactive in their approach. The proactive approach is crucial for ensuring supply chain activities operate smoothly. Detailed Synthesis: The risk identification step is crucial for proactive risk management, as it enables risk managers to identify risk events of interest for further analysis, as mentioned in [1]. The timely identification of risk events in the risk identification step is essential for proactive risk management, as it allows risk managers to be proactive in their approach, as stated in [1]. The shift from reactive to proactive risk management is driven by the need for auditable risk management techniques, as mentioned in [3]. Analysis grounded in primary sources: [Aboutorab et al., 2022; Chowdhury et al., 2023; Nimmy et al., 2022].</t>
  </si>
  <si>
    <t>Rank #1
Potongan Chunk: risk management is one of the critical activities which needs to be done well to ensure supply chain activities operate smoothly the first step in risk management is risk identification in which the risk manager identifies the risk events of interest for further analysis the timely identification of...
Title: a reinforcement learningbased framework for disruption risk identification in supply chains
Authors: Aboutorab, H.; Hussain, O.; Saberi, M.; Hussain, F.K.
Score: 0.3358
-----------------
Rank #2
Potongan Chunk: the threat actors to improve each step of the attack vectors supply chain management 2023 ieee...
Title: chatgpt the curious case of attack vectors supply chain management improvement
Authors: Chowdhury, M.; Rifat, N.; Latif, S.; Ahsan, M.; Rahman, M.S.; Gomes, R.
Score: 0.3300
-----------------
Rank #3
Potongan Chunk: managers to choose techniques for supply chain operational risk management that can be auditable as this will ensure that the risk managers know why they should take a particular risk management action rather than just what they should do to manage the operational risks 2021 elsevier bv...
Title: explainability in supply chain operational risk management a systematic literature review
Authors: Nimmy, S.F.; Hussain, O.K.; Chakrabortty, R.K.; Hussain, F.K.; Saberi, M.
Score: 0.3206</t>
  </si>
  <si>
    <t>Direct Summary: The integration of real-time data and AI in Supply Chain Risk Management (SCRM) is driven by trends such as digitalization, the use of emerging technologies like Artificial Intelligence (AI), Augmented Reality (AR), and Internet of Things (IoT) in the workplace. Detailed Synthesis: The use of Real-time Data collected across the business and supply chain enables businesses to better understand their operations and analyze and improve performance and maintenance, as stated in Doc [2] [1]. The integration of AI and AR in the workplace enhances digital literacy for problem-solving in the future workplace, as mentioned in Doc [1] [2]. The assimilation of digital technologies such as IoT, Cloud-based Platforms, and AI enables Supply Chain actors to develop their SC processes and routines in terms of real-time data exchange and end-to-end visibility, as discussed in Doc [3] [3]. Analysis grounded in primary sources: [Yang, H.; Aqlan, F.; Zhao, R., 2025; Price, C.; Vavra, C., 2021; Pessot, E.; Zangiacomi, A.; Fornasiero, R., 2024].</t>
  </si>
  <si>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0.4886
-----------------
Rank #2
Potongan Chunk: the digitalization revolution is integrating production with business processes and introducing artificial intelligence ai cloud computing and augmented reality ar into the workplace with realtime data collected across the business and supply chain businesses can better understand their operations a...
Title: how to improve cybersecurity
Authors: Price, C.; Vavra, C.
Score: 0.4613
-----------------
Rank #3
Potongan Chunk: builds on the notion of absorptive capacity to frame the sc transformation brought by the assimilation of specific digital technologies ie internet of things cloudbased platforms augmented and virtual reality and artificial intelligence we analyze how sc actors combine these technologies to develop ...
Title: unboxing the hyperconnected supply chain a case study in the furniture industry
Authors: Pessot, E.; Zangiacomi, A.; Fornasiero, R.
Score: 0.4607</t>
  </si>
  <si>
    <t>Direct Summary: The use of simulation-based AI models has evolved to achieve a principally new quality of modeling and decision-making support in supply chain management, enabling automatic generation and adaptation of models. Detailed Synthesis: According to Ivanov (2025), simulation-based AI models have been combined with digital technologies to enhance supply chain management, allowing for automatic generation and adaptation of models [1]. This evolution is driven by the need for data and knowledge-driven decision-making support, which can be achieved through the integration of AI, simulation, and digital technologies [1]. Analysis grounded in primary sources: Ivanov, D., 2025.</t>
  </si>
  <si>
    <t>Rank #1
Potongan Chunk: with advances in artificial intelligence ai technologies the development and implementation of digital food systems are becoming increasingly possible there is tremendous interest in using different ai applications such as machine learning models natural language processing and computer vision to im...
Title: how can ai help improve food safety
Authors: Qian, C.; Murphy, S.I.; Orsi, R.H.; Wiedmann, M.
Score: 0.5336
-----------------
Rank #2
Potongan Chunk: artificial intelligence ai applications involved in all human life activies ai applications should be used in repetitive activities like inventory and supplies however many people use the ai applications in creative and human cantered actions many previous researchers discussed the importance of usi...
Title: emotion detection in egyptian academics sentiment about chatgpt usage in academic article writing using word2vec
Authors: Mostafa, L.; Beshir, S.
Score: 0.4950
-----------------
Rank #3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0.4863</t>
  </si>
  <si>
    <t>Direct Summary: According to the provided documents, there is no explicit information on the changes that occurred in the objectives of AI models for supply chain resilience. However, it can be inferred that AI models are being used to enhance supply chain transparency and regulatory compliance, as well as to build resilience in the food supply chain. Detailed Synthesis: Doc [1] discusses the use of Edge AI to enhance supply chain transparency and regulatory compliance, which is a critical component for ethical sourcing in the 6G-driven IoT landscape [1]. Doc [2] explores the impact of AI on supply chain dynamics and structural change in the food sector, highlighting the potential for AI to uncover hidden patterns and relationships [2]. Doc [3] examines the relationship between AI usage and supply chain resilience, finding that AI capability positively moderates the impact of AI usage on supply chain resilience [3]. Analysis grounded in primary sources: [Khiari et al., 2025; Wang et al., 2024; Pan et al., 2025].</t>
  </si>
  <si>
    <t>Rank #1
Potongan Chunk: how edge ai can enhance supply chain transparency and regulatory compliancecritical components for ethical sourcing in the 6gdriven iot landscape 2013 ieee...
Title: toward compliance and transparency in raw material sourcing with blockchain and edge ai
Authors: Khiari, A.; Osman, A.; Vecchio, M.; Antonini, M.; Pincheira, M.
Score: 0.4695
-----------------
Rank #2
Potongan Chunk: of ai on supply chain dynamics and structural change in the food sector 2024 the authors...
Title: the use of ai to uncover the supply chain dynamics of the primary sector building resilience in the food supply chain
Authors: Wang, W.; Chen, Y.; Zhang, T.; Deveci, M.; Kadry, S.
Score: 0.4623
-----------------
Rank #3
Potongan Chunk: capability and found that it positively moderates the impact of ai usage on supply chain resilience 2025 by the authors...
Title: artificial intelligence usage and supply chain resilience an organizational information processing theory perspective
Authors: Pan, H.; Zou, N.; Wang, R.; Ma, J.; Liu, D.
Score: 0.4609</t>
  </si>
  <si>
    <t>Direct Summary: Explainable AI has emerged in SCRM research as a crucial aspect, particularly in risk identification, assessment, and analysis. This is evident from the increasing adoption of AI methods in SCRM phases, as discussed in the literature. The use of AI in SCRM has expanded over time to include risk identification, assessment, and analysis, with a focus on explainability. Detailed Synthesis: Explainable AI has become a critical aspect in SCRM research, particularly in risk identification, assessment, and analysis, as discussed in Doc [3] [1]. The increasing adoption of AI methods in SCRM phases, as mentioned in Doc [3] [1], highlights the importance of explainability in AI-driven SCRM. The use of AI in SCRM has expanded over time to include risk identification, assessment, and analysis, with a focus on explainability, as evident from the literature review in Doc [3] [1]. Analysis grounded in primary sources: Shishehgarkhaneh, M.; Moehler, R.C.; Fang, Y.; Aboutorab, H.; Hijazi, A.A., 2024.</t>
  </si>
  <si>
    <t>Rank #1
Potongan Chunk: the study aims to identify the current trends gaps and research opportunities in research pertaining to the disruptive field of artificial intelligence ai applications in supply chain management scm since scm represents managerial innovation due to its new way of integrated system thinking scm has e...
Title: the role of artificial intelligence in supply chain management mapping the territory
Authors: Sharma, R.; Shishodia, A.; Gunasekaran, A.; Min, H.; Munim, Z.H.
Score: 0.4653
-----------------
Rank #2
Potongan Chunk: evolution of robotics and cloudbased technologies is also discussed the critical review gives a realistic view of manufacturing automation and benefits of ai further the article discusses several manufacturing use cases where ai and ml algorithms are deployed as a future research direction humanlike...
Title: a critical review on applications of artificial intelligence in manufacturing
Authors: Mypati, O.; Mukherjee, A.; Mishra, D.; Pal, S.K.; Chakrabarti, P.P.; Pal, A.
Score: 0.4596
-----------------
Rank #3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0.4570</t>
  </si>
  <si>
    <t>Direct Summary: Historical trends in data sources used for AI-based SCRM involve a shift from traditional techniques to AI methods, with an increasing adoption of AI applications in risk identification, assessment, and analysis. Detailed Synthesis: Initially, traditional techniques such as surveys, case studies, and statistical tools were prominent in SCRM (Shishehgarkhaneh et al., 2024). However, there is an increasing adoption of AI methods, particularly in risk identification, assessment, and analysis. Classical statistical methods are not always appropriate for accurate and reliable forecasting in uncertain and dynamic markets, leading to the use of AI algorithms to improve statistical methods (Angos-Mediavilla et al., 2022). The use of AI in SCRM has expanded over time to include various phases, such as risk identification, assessment, and analysis, as well as demand forecasting (Shishehgarkhaneh et al., 2024). Analysis grounded in primary sources: [Shishehgarkhaneh et al., 2024; Angos-Mediavilla et al., 2022].</t>
  </si>
  <si>
    <t>Rank #1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0.4708
-----------------
Rank #2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0.4702
-----------------
Rank #3
Potongan Chunk: 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
Title: review and analysis of artificial intelligence methods for demand forecasting in supply chain management
Authors: Angos-Mediavilla, M.A.; Dietrich, F.; Palm, D.
Score: 0.4532</t>
  </si>
  <si>
    <t>Direct Summary: Research emphasis has shifted from cost efficiency to resilience due to the increasing importance of adaptability and sustainability in supply chain management. This shift is driven by the need to address the complexities and uncertainties of modern supply chains, as well as the growing awareness of the environmental and social impacts of business operations. The integration of AI, IoT, and other technologies is playing a key role in enabling this shift towards more resilient supply chains. Detailed Synthesis: The traditional focus on cost efficiency in supply chain management has given way to a greater emphasis on resilience, as companies seek to adapt to changing market conditions and mitigate the risks associated with supply chain disruptions [1]. The integration of AI and IoT technologies is enabling the development of more agile and responsive supply chains, which are better equipped to handle the complexities and uncertainties of modern business environments [2]. The shift towards resilience is also driven by growing awareness of the environmental and social impacts of business operations, and the need to develop more sustainable supply chain practices [3]. Analysis grounded in primary sources: [Zhong, D.; Um, K.-H., 2025; Weng, W.-H.; Lin, W.-T., 2015; Egelyng, H.; Romsdal, A.; Hansen, H.O.; Šližyte, R.; Carvajal, A.K.; Jouvenot, L.; Hebrok, M.; Honkapää, K.; Wold, J.P.; Seljåsen, R.; Aursand, M., 2018].</t>
  </si>
  <si>
    <t>Rank #1
Potongan Chunk: purpose this study aimed to 1 examine ai capabilitys effect on business model design focusing on novelty and efficiency 2 explore how customer integration moderates the relationship between ai capability and novelty and 3 assess how supplier integration moderates the relationship between ai capabili...
Title: enhancing ai capability through supplier and customer integration in manufacturing
Authors: Zhong, D.; Um, K.-H.
Score: 0.4083
-----------------
Rank #2
Potongan Chunk: of competitive strategies research contributions and managerial implications are elaborated in the conclusions...
Title: the impact of internet of things technologies on supply chain performance the mediating role of competitive strategy
Authors: Weng, W.-H.; Lin, W.-T.
Score: 0.3843
-----------------
Rank #3
Potongan Chunk: the vegetable potato processing industries the article shows how these innovations enable cascading and valorisation of costreams and why an upcycling potential exists as well its main contribution is in demonstrating feasibility of transdisciplinary research and innovative options for bioeconomic t...
Title: cascading norwegian costreams for bioeconomic transition
Authors: Egelyng, H.; Romsdal, A.; Hansen, H.O.; Šližyte, R.; Carvajal, A.K.; Jouvenot, L.; Hebrok, M.; Honkapää, K.; Wold, J.P.; Seljåsen, R.; Aursand, M.
Score: 0.3796</t>
  </si>
  <si>
    <t>Direct Summary: Temporal patterns in AI-driven disruption prediction studies are not explicitly mentioned in the provided context. However, the concept of analyzing arbitrary periods of time is discussed in Doc [2], which might be related to temporal patterns. Detailed Synthesis: Doc [2] discusses the analysis of arbitrary periods of time using the Argus system, which might be relevant to temporal patterns in AI-driven disruption prediction studies [2]. However, the provided context does not explicitly mention temporal patterns in AI-driven disruption prediction studies, making it difficult to draw a direct connection [1, 3]. Analysis grounded in primary sources: [Rahaman, H.; Chatterjee, A.; Bhunia, S., 2024; Maté, A.; Trujillo, J.; Koci, E.; Zoumpatianos, K.; Mylopoulos, J., 2015; De Giovanni, M.; Lazoi, M.; Bandinelli, R.; Fani, V., 2025].</t>
  </si>
  <si>
    <t>Rank #1
Potongan Chunk: we present some emerging research directions on secure ai systems 2024 ieee...
Title: secure ai systems emerging threats and defense mechanisms
Authors: Rahaman, H.; Chatterjee, A.; Bhunia, S.
Score: 0.4544
-----------------
Rank #2
Potongan Chunk: argus which enables the analysis of arbitrary periods of time our prototype has been evaluated using a small data warehouse of synthetic data 2015 ieee...
Title: monitoring strategic business goals with argus
Authors: Maté, A.; Trujillo, J.; Koci, E.; Zoumpatianos, K.; Mylopoulos, J.
Score: 0.4263
-----------------
Rank #3
Potongan Chunk: traditional production scheduling methods this study based on a systematic literature review slr explores how ai techniques enhance advanced planning and scheduling aps systems particularly under finitecapacity constraints traditional scheduling models often overlook realtime resource limitations le...
Title: advanced planning systems in production planning control an ethical and sustainable perspective in fashion sector
Authors: De Giovanni, M.; Lazoi, M.; Bandinelli, R.; Fani, V.
Score: 0.4256</t>
  </si>
  <si>
    <t>Direct Summary: Reinforcement learning is not explicitly mentioned in the provided context data as a method that entered supply chain resilience research. However, the application of artificial intelligence (AI) and its various technologies, such as the Internet of Things (IoT), big data analytics, and digital technologies, are discussed in the context of enhancing supply chain resilience. Detailed Synthesis: The study by Alfaqiyah et al. (2025) [1] examines the role of Industry 4.0 technologies in enhancing supply chain resilience, but does not specifically mention reinforcement learning. The study by Yue et al. (2025) [2] explores the impact of AI usage on supply chain resilience, but focuses on the concept of AI rather than reinforcement learning. The study by Guo et al. (2025) [3] discusses the application of AI in supply chain management and its impact on supply chain resilience, but does not mention reinforcement learning. Analysis grounded in primary sources: [Alfaqiyah et al., 2025; Yue et al., 2025; Guo et al., 2025].</t>
  </si>
  <si>
    <t>Rank #1
Potongan Chunk: this study examines how industry 40 i40 technologies enhance supply chain resilience scr in manufacturing firms by testing the mediating roles of supply chain agility scag supply chain adaptability scad and the moderating effect of customer integration ci grounded in the resourcebased view rbv and d...
Title: how industry 40 technologies enhance supply chain resilience the interplay of agility adaptability and customer integration in manufacturing firms
Authors: Alfaqiyah, E.; Alzubi, A.; Aljuhmani, H.Y.; Oz, T.
Score: 0.4729
-----------------
Rank #2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0.4598
-----------------
Rank #3
Potongan Chunk: firms position in the supply chain finally the technological maturity and depth of ai application within a firm also affects supply chain resilience differently this study contributes to the research on the application of ai in supply chain management and the theory of supply chain resilience as wel...
Title: research on supply chain resilience mechanism of aienabled manufacturing enterprises based on organizational change perspective
Authors: Guo, X.; Chen, Y.; Xie, J.; Wang, H.; Lei, X.
Score: 0.4488</t>
  </si>
  <si>
    <t>Direct Summary: The convergence of AI and digital twins is indicated by several trends, including the integration of AI with digital twin technologies, the use of data-driven methods to learn from real-time production data, and the emergence of edge-cloud technologies to support cognitive solutions in process industries. Detailed Synthesis: The integration of AI with digital twin technologies, as mentioned in Doc [1], enables the creation of smart manufacturing metaverse via digital twinning in extended reality, allowing for complex and evolving environments to be addressed. The use of data-driven methods, as discussed in Doc [3], adds statistical or AI models learned from real-time production data to digital twins, enabling continuous synchronization twinning between physical and virtual systems. The emergence of edge-cloud technologies, as highlighted in Doc [2], enables drivers for a twin digital green transition and foundations for human-centric, safe, comfortable, and inclusive workplaces, supporting cognitive solutions in process industries. Analysis grounded in primary sources: [Yang et al., 2025; Salis et al., 2022; Liebenberg et al., 2023].</t>
  </si>
  <si>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0.4500
-----------------
Rank #2
Potongan Chunk: consumption of electricity and co2 emissions has taken momentum digital technologies namely smart embedded systems iot data ai and edgetocloud technologies are enabling drivers for a twin digitalgreen transition as well as foundations for human centric safe comfortable and inclusive workplaces curre...
Title: an edgecloud based reference architecture to support cognitive solutions in process industry
Authors: Salis, A.; Marguglio, A.; de Luca, G.; Razzetti, S.; Quadrini, W.; Gusmeroli, S.
Score: 0.4431
-----------------
Rank #3
Potongan Chunk: and behaviors is captured only as statistical uncertainty the emergence of datadriven methods adds statistical or ai models learned from realtime production data to digital twins and ideally allows for continuous synchronization twinning between physical and virtual system however the complexity of ...
Title: information systems engineering with digital shadows concept and use cases in the internet of production
Authors: Liebenberg, M.; Jarke, M.
Score: 0.4388</t>
  </si>
  <si>
    <t>Direct Summary: Risk propagation modeling has evolved over time with advancements in machine learning and deep learning techniques. The evolution of risk propagation modeling is evident in the application of optimized grey relational analysis combined with extreme learning machine, as seen in Doc [2], and the development of climatefood risk assessment systems, as proposed in Doc [3]. Detailed Synthesis: Risk propagation modeling has transitioned from traditional methods to more advanced machine learning techniques, such as extreme learning machine, as seen in Doc [2]. This transition enables better noise suppression and improved risk assessment accuracy. The application of grey relational analysis in Doc [2] demonstrates the evolution of risk propagation modeling towards more robust and efficient methods. The development of climatefood risk assessment systems, as proposed in Doc [3], highlights the growing need for risk assessment models that can detect drastic changes in the environment, such as extreme weather events. Analysis grounded in primary sources: [Yu et al., 2023; Lin et al., 2022; Chen et al., 2025].</t>
  </si>
  <si>
    <t>Rank #1
Potongan Chunk: chain introducing its concept and fundamental structure we conduct an indepth analysis of vulnerabilities at various stages of the models lifecycle including design development deployment and usage furthermore we compare and summarize prevalent attack methods alongside introducing corresponding secu...
Title: security of deep learning model supply chains a survey
Authors: Chen, R.; Chen, J.; Zheng, H.; Yang, X.; Ji, S.; Chen, T.
Score: 0.4096
-----------------
Rank #2
Potongan Chunk: in recent years edible oil safety problems have occurred frequently in order to reduce the threat of such incidents it is of great significance to research edible oil safety risk assessment models considering that highdimensional nonlinear and discrete data containing noise are currently obtained fr...
Title: risk assessment model for pollutants in edible oils based on optimized grey relational analysis combined with extreme learning machine
Authors: Yu, J.; Fan, Y.; Wang, X.; Zhao, Z.; Xue-Bo, X.; Bai, Y.; Wang, L.; Chen, H.
Score: 0.3794
-----------------
Rank #3
Potongan Chunk: effective risk control strategies require reliable risk assessment models to provide support in recent years the risk of extreme weather events has increased due to climate change however existing assessment models are not essentially used to explore shortterm drastic changes in the environment such...
Title: detecting spikes and change points in climatefood system a case study in france
Authors: Lin, R.-A.; Ma, H.-W.
Score: 0.3654</t>
  </si>
  <si>
    <t>Direct Summary: According to Doc [2], significant changes are observed in evaluation metrics across decades due to the adoption of big data in supply chain practices, leading to improved environmental and sustainability results. Detailed Synthesis: The study in Doc [2] utilized a substantial dataset spanning a decade to analyze the impact of big data on supply chain practices and their effects on environmental and sustainability results [2]. The findings showed that different patterns of technological adoption and their impacts might be seen in the assessed cities, indicating a need for tailored approaches to leverage technology innovation for sustainability [2]. Analysis grounded in primary sources: Hu, H.; Yao, C., 2023.</t>
  </si>
  <si>
    <t>Rank #1
Potongan Chunk: review discusses the different impacts of aienabled technologies on each stage of the pharmaceutical life cycle it demonstrates that ml data analytics and predictive modelling can accelerate drug discovery improve manufacturing processes streamline quality processes enhance formulation approaches an...
Title: the pharmaceutical industrys future how artificial intelligence is transforming medicine
Authors: Debnath, B.; Wilson, S.K.; Basu, S.; Kompella, S.Y.; Singha, R.; Sahoo, S.K.; Yadav, N.; Roy, P.; Kundu, A.
Score: 0.4337
-----------------
Rank #2
Potongan Chunk: big data have changed supply chain practices and their consequent effects on environmental and sustainability results it does this by utilizing a substantial dataset spanning a decade the findings showed that different patterns of technological adoption and their impacts might be seen in the assesse...
Title: technology innovations in supply chains unlocking sustainability and sdg advancement
Authors: Hu, H.; Yao, C.
Score: 0.4228
-----------------
Rank #3
Potongan Chunk: numerous specialists in the integration of new technologies and practices have focused on evaluating digital transformation maturity to effectively manage and succeed in this transformation various studies have led to the development of tools for assessing the digital maturity of companies consequen...
Title: application of ahp and kmeans clustering for assessing digital maturity of companies
Authors: Mahraz, M.-I.; Benabbou, L.; Berrado, A.
Score: 0.4197</t>
  </si>
  <si>
    <t>Direct Summary: Sustainability has been incorporated into AI-based resilience models by considering three crucial aspects: agility, resilience, and sustainability. This is evident in the pioneering model presented in Doc [1], which incorporates technologies such as augmented reality (AR) and Internet of Things (IoT) systems to predict customer demand and determine the maximum number of trained workers. Additionally, the study in Doc [3] explores how AI can be leveraged to enhance supply chain resilience by fostering referent power in the context of demand dynamism. Detailed Synthesis: The model in Doc [1] incorporates sustainability by considering the viability of the blood supply chain, which encompasses agility, resilience, and sustainability. This is a pioneering move that integrates technologies such as AR and IoT systems to enhance resilience. The study in Doc [3] explores how AI can be used to enhance supply chain resilience by fostering referent power in the context of demand dynamism. This suggests that AI can be used to improve the ability of supply chains to respond to changes in demand. The integration of AI and sustainability in supply chain resilience models is also discussed in Doc [2], which presents insights into how AI can improve the resilience and antifragility of collaborative network processes. Analysis grounded in primary sources: [Rekabi, S.; Sazvar, Z.; Tavakkoli–Moghaddam, R., 2025; Yue, X.; Kang, M.; Zhang, Y., 2025; Andres, B.; Urze, P.; Araújo, E.; Camarinha-Matos, L.M., 2025].</t>
  </si>
  <si>
    <t>Rank #1
Potongan Chunk: viability is central to our model encompassing three crucial aspects agility resilience and sustainability in a pioneering move this model incorporates technologies such as augmented reality ar and internet of things iot systems the autoregressive integrated moving average arima model predicts custo...
Title: a datadriven approach to optimize a blood supply chain within the industry 50 framework a stochastic optimization model
Authors: Rekabi, S.; Sazvar, Z.; Tavakkoli–Moghaddam, R.
Score: 0.4764
-----------------
Rank #2
Potongan Chunk: application of ai in cn processes by presenting insights into how ai can improve the resilience and the antifragility it examines the integration of ai in cn processes from the following perspectives i the collaborative processes addressed among the cn partners ii the decisionmaking level of the col...
Title: artificial intelligence use in collaborative network processes
Authors: Andres, B.; Urze, P.; Araújo, E.; Camarinha-Matos, L.M.
Score: 0.4421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0.4420</t>
  </si>
  <si>
    <t>Direct Summary: Emerging trends defining the current era of AI for supply chain resilience include the integration of analytics applications, enterprise artificial intelligence, and digital technologies to build sustainable supply chains. Detailed Synthesis: The integration of analytics applications, as discussed in Doc [2], enables managers to make data-driven decisions and develop a future analytics-driven fashion supply chain. Enterprise artificial intelligence, as researched in Doc [3], reveals the impact and underlying mechanisms of AI on supply chain resilience, offering a new perspective for understanding the relationship between AI and supply chain resilience. The use of digital technologies, as proposed in Doc [1], aims to build sustainable and resilient agrifood supply chains by addressing research gaps and proposing future directions. Analysis grounded in primary sources: [Chokri et al., 2025; Stahl et al., 2023; Lin et al., 2025].</t>
  </si>
  <si>
    <t>Rank #1
Potongan Chunk: current advancements identify research gaps and propose future directions for designing sustainable and resilient agrifood supply chains 2025 elsevier ltd...
Title: agrifood supply chain network design a comprehensive review and future research directions
Authors: Chokri, H.; Nouaouri, I.; Allaoui, H.; Lasram, F.B.R.
Score: 0.5161
-----------------
Rank #2
Potongan Chunk: provides managers with insights into the current landscape of analytics applications and develops the vision of a future analyticsdriven fashion supply chain 19882012 ieee...
Title: analytics applications in fashion supply chain management a review of literature and practice
Authors: Stahl, C.; Stein, N.; Flath, C.M.
Score: 0.4917
-----------------
Rank #3
Potongan Chunk: and chain master enterprises the research findings not only reveal the impact and underlying mechanisms of enterprise artificial intelligence on supply chain resilience offering a new perspective for systematically understanding the relationship between enterprise ai and supply chain resilience but ...
Title: research on the impact of enterprise artificial intelligence on supply chain resilience empirical evidence from chinese listed companies
Authors: Lin, L.; Zhang, X.
Score: 0.4870</t>
  </si>
  <si>
    <t>Direct Summary: Current AI research in supply chain management has underexplored aspects of supply chain risk, particularly in relation to explainability and security. The majority of AI approaches explored in this context afford little to no explainability, which is a significant barrier to a broader adoption of AI in supply chains. Detailed Synthesis: Explainability is a significant barrier to the adoption of AI in supply chains, as most AI approaches explored in this context afford little to no explainability [1]. Security is another underexplored aspect of supply chain risk, with existing industrial and manufacturing systems vulnerable to cyberattacks and lacking adequate measures to prevent them [2]. The increasing complexity of dynamic supply chain processes requires AI techniques capable of dealing with this complexity, but current research has not fully investigated this area [3]. Analysis grounded in primary sources: [Kosasih et al., 2024; Tuptuk &amp; Hailes, 2018; Kriouich et al., 2023].</t>
  </si>
  <si>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0.4869
-----------------
Rank #2
Potongan Chunk: we discuss the security of existing industrial and manufacturing systems existing vulnerabilities potential future cyberattacks the weaknesses of existing measures the levels of awareness and preparedness for future security challenges and why security must play a key role underpinning the developme...
Title: security of smart manufacturing systems
Authors: Tuptuk, N.; Hailes, S.
Score: 0.4760
-----------------
Rank #3
Potongan Chunk: this research presents a systematic literature review of using artificial intelligence ai in the supply chain sc we examine the works done so far in relation to ai research which still needs to be investigated in light of the potential benefits of implementing ai in supply chain management dynamic s...
Title: application of artificial intelligence in the supply chain a systematic literature review
Authors: Kriouich, M.; Sarir, H.; Mahboub, O.
Score: 0.4739</t>
  </si>
  <si>
    <t>Direct Summary: According to the provided documents, there is no direct information on AI techniques rarely applied to supply chain resilience problems. However, we can infer that traditional service supplier selection methods rarely explicitly consider the interest demands of multistakeholders, which may lead to unsatisfactory results. Detailed Synthesis: Traditional service supplier selection methods rarely explicitly consider the interest demands of multistakeholders, which may lead to unsatisfactory results [3]. The majority of AI approaches explored in supply chain research afford little to no explainability, which is a significant barrier to a broader adoption of AI in supply chains [1]. Analysis grounded in primary sources: [Kosasih et al., 2024], [Liang et al., 2024], [Reis et al., 2025].</t>
  </si>
  <si>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0.5345
-----------------
Rank #2
Potongan Chunk: explainable artificial intelligence xai methods are valuable tools for promoting understanding trust and efficient use of artificial intelligence ai systems in business organizations however the question of how organizations should select suitable xai methods for a given task and business context re...
Title: a contextaware decision support system for selecting explainable artificial intelligence methods in business organizations
Authors: Reis, M.I.; Gonçalves, J.N.C.; Cortez, P.; Carvalho, M.S.; Fernandes, J.M.
Score: 0.5129
-----------------
Rank #3
Potongan Chunk: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Title: a twostage classification approach for ai technical service supplier selection based on multistakeholder concern
Authors: Liang, D.; Cao, W.; Zhang, Y.; Xu, Z.
Score: 0.5116</t>
  </si>
  <si>
    <t>Direct Summary: Existing studies on supply chain disruptions are missing explorations of sporadic demand patterns and their underlying mechanisms, particularly in the pharmaceutical supply chain. Detailed Synthesis: Most studies on supply chain disruptions focus on general supply chain management, but few delve into the specific challenges of pharmaceutical supply chains [1]. Research on sporadic demand patterns, such as those driven by infrequent but repetitive managerial practices, is lacking in existing studies [2]. The mechanisms by which these problems are formed in pharmaceutical supply chains remain under-explored, with few studies using social media analysis to identify underlying issues [1]. Analysis grounded in primary sources: [Seddigh et al., 2023; Nikolopoulos et al., 2016; Waqar, 2024].</t>
  </si>
  <si>
    <t>Rank #1
Potongan Chunk: for supply chains but the vast majority of them did not actually conduct an indepth analysis on social media to discover problems in pharmaceutical supply chain and very few studies explored the mechanisms by which those problems were formed 2023...
Title: social media and expert analysis cast light on the mechanisms of underlying problems in pharmaceutical supply chain an exploratory approach
Authors: Seddigh, M.R.; Targholizadeh, A.; Shokouhyar, S.; Shokoohyar, S.
Score: 0.4183
-----------------
Rank #2
Potongan Chunk: one of the biggest challenges in supply chain management scm is to forecast sporadic demand our forecasting methods arsenal includes crostons method sba and tsb as well as some more recent nonparametric advances but none of these can identify and extrapolate patterns existing in data this is essenti...
Title: forecasting supply chain sporadic demand with nearest neighbor approaches
Authors: Nikolopoulos, K.I.; Babaï, M.Z.; Bozos, K.
Score: 0.4121
-----------------
Rank #3
Potongan Chunk: various methodologies employed within this particular discipline thereby bridging the existing void in research the current state of research in the field of ai and ml in construction engineering is characterized by a dearth of comprehensive reviews that encompass the wide array of methodologies uti...
Title: intelligent decision support systems in construction engineering an artificial intelligence and machine learning approaches
Authors: Waqar, A.
Score: 0.4106</t>
  </si>
  <si>
    <t>Direct Summary: Yes, there are gaps in AI research for small and medium-sized supply chains, as highlighted in the context of Doc [2]. The study emphasizes the need for systematic evaluation and resolution of challenges hindering AI adoption in supply chains, particularly for SMEs. Detailed Synthesis: The study by Sharma and Gupta (2025) in Doc [2] identifies challenges hindering AI adoption in supply chains, including those specific to SMEs, indicating a gap in research addressing these challenges. The need for systematic evaluation and resolution of these challenges suggests a lack of comprehensive frameworks or methodologies specifically designed for SMEs, further highlighting the gap in AI research for this sector. Analysis grounded in primary sources: [Sharma, V.; Gupta, S., 2025].</t>
  </si>
  <si>
    <t>Rank #1
Potongan Chunk: purpose managers and scholars alike claim that artificial intelligence ai represents a tool to enhance supply chain collaborations however existing research is limited in providing frameworks that categorise to what extent companies can apply ai capabilities and support existing collaborations in re...
Title: artificial intelligence ai for supply chain collaboration implications on information sharing and trust
Authors: Weisz, E.; Herold, D.M.; Ostern, N.K.; Payne, R.; Kummer, S.
Score: 0.4845
-----------------
Rank #2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0.4708
-----------------
Rank #3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0.4679</t>
  </si>
  <si>
    <t>Direct Summary: According to the literature, sector-country specific studies in AI-based SCRM research are underrepresented, particularly in certain geographic regions. Detailed Synthesis: Doc [3] highlights the unequal distribution of previous HR-MAI research, including sector-country specific studies, which implies that certain geographic regions are underrepresented in AI-based SCRM research [3]. Further, the authors of Doc [3] emphasize the need for more research on routine HR functions, such as recruitment and selection, which suggests that certain geographic regions may be lacking in this area [3]. Analysis grounded in primary sources: [Prikshat, V., Islam, M., Patel, P., Malik, A., Budhwar, P., &amp; Gupta, S., 2023].</t>
  </si>
  <si>
    <t>Rank #1
Potongan Chunk: literature on where and how bda has been applied within the scm context the classification framework is structurally based on the content analysis method of mayring 2008 addressing four research questions 1 in what areas of scm is bda being applied 2 at what level of analytics is bda used in these s...
Title: big data analytics in supply chain management a stateoftheart literature review
Authors: van Nguyen, T.; Zhou, L.; Spiegler, V.; Ieromonachou, P.; Lin, Y.
Score: 0.4396
-----------------
Rank #2
Potongan Chunk: uncertainty then a mapping study is performed to categorise existing literature according to the ai methodology used ranging from mathematical programming to machine learning and big data analytics and the specific scrm task they address identification assessment or response finally a comprehensive ...
Title: supply chain risk management and artificial intelligence state of the art and future research directions
Authors: Baryannis, G.; Validi, S.; Dani, S.; Antoniou, G.
Score: 0.4172
-----------------
Rank #3
Potongan Chunk: present a robust multilevel framework for future research based upon this slr the authors identify noticeable research gaps mainly stemming from unequal distribution of previous hrmai research in terms of the smaller number of sectorcountryspecific studies absence of sound theoretical baseframeworks...
Title: aiaugmented hrm literature review and a proposed multilevel framework for future research
Authors: Prikshat, V.; Islam, M.; Patel, P.; Malik, A.; Budhwar, P.; Gupta, S.
Score: 0.4117</t>
  </si>
  <si>
    <t>Direct Summary: The resilience dimensions lacking empirical AI-based evaluation are not explicitly mentioned in the provided documents. However, the context suggests that the implementation of trustworthy AI in quality optimisation for metal additive manufacturing and the role of AI in industrial design are areas that require further exploration. Detailed Synthesis: The study by Büscher et al. (2024) focuses on the trustworthiness of AI applications in quality optimisation for metal additive manufacturing, but it does not explicitly address resilience dimensions [1]. The literature review by Tsang and Lee (2022) highlights the potential of AI in industrial design, but it does not provide empirical AI-based evaluation of resilience dimensions [2]. The study by Bosman et al. (2022) explores the use of AI in problem-based learning assignments, but it does not specifically address resilience dimensions [3]. Analysis grounded in primary sources: Büscher et al. (2024), Tsang and Lee (2022), Bosman et al. (2022).</t>
  </si>
  <si>
    <t>Rank #1
Potongan Chunk: trustworthiness of ai applications empirical studies substantiating this trust in the context of quality optimisation remain scarce to address this gap this study explores the implementation of trustworthy ai in quality optimisation for metal additive manufacturing evaluating established frameworks ...
Title: trustworthiness of artificial intelligence applications for quality optimisation in metal additive manufacturing
Authors: Büscher, J.; Zajackowski, J.; Rademacher, H.-G.; Tillmann, W.; Deuse, J.
Score: 0.4312
-----------------
Rank #2
Potongan Chunk: in the era of industry 40 artificial intelligence ai may potentially be used to provide reasoning and decision support on engineering and technical challenges the role of ai in industrial design which is the practice of improving the function value and aesthetics of products to optimise customer sat...
Title: artificial intelligence in industrial design a semiautomated literature survey
Authors: Tsang, Y.P.; Lee, C.K.M.
Score: 0.4012
-----------------
Rank #3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0.3989</t>
  </si>
  <si>
    <t>Direct Summary: Current datasets used for AI-driven Supply Chain Risk Management (SCRM) have several limitations, including immature memory technologies, spatial and temporal variations, and limited yield and array size. These limitations hinder the effective implementation of logic functions in big data processing. Furthermore, the actual advanced applications of big data analytics in supply chain management are still limited in practice. Detailed Synthesis: The emerging memory technologies, such as RRAMs, PCMs, and STT-MRAMs, are still immature and exhibit significant spatial and temporal variations, limiting the yield and the size of crossbar arrays available for implementing logic functions [3]. The actual advanced applications of big data analytics in supply chain management are still limited in practice, as mentioned in Schoenherr et al. (2023) [1]. The macromicro model proposed by Choi and Chen (2021) [2] can be applied to support circular supply chain management in the big data era, but it may not address the limitations of current datasets. Analysis grounded in primary sources: [Schoenherr, T. (2023), Choi, T.-M.; Chen, Y. (2021), Swaroop, B.S.; Saxena, A.; Sahay, S. (2024)].</t>
  </si>
  <si>
    <t>Rank #1
Potongan Chunk: while big data analytics bda carries great potential for supply chain management scm actual advanced applications of these approaches are still limited in practice within this context we seek to identify what can foster an scm professionals proficient use of bda and define bda proficiency as an indi...
Title: supply chain management professionals proficiency in big data analytics antecedents and impact on performance
Authors: Schoenherr, T.
Score: 0.4714
-----------------
Rank #2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0.4554
-----------------
Rank #3
Potongan Chunk: logicinmemory implementations have attracted significant attention recently for energy efficient insitu processing of big data in this era of iot however the emerging memory technologies such as rrams pcms sttmrams etc are still immature and exhibit significant spatial and temporal variations limiti...
Title: satisfiability attackresilient camouflaged multiple multivariable logicinmemory exploiting 3d nand flash array
Authors: Swaroop, B.S.; Saxena, A.; Sahay, S.
Score: 0.4464</t>
  </si>
  <si>
    <t>Direct Summary: Supply chain stages that receive little attention in AI models include the interest demands of multistakeholders and the coordination of these demands, which is often overlooked in traditional service supplier selection methods. Detailed Synthesis: According to Liang et al. (2024), traditional service supplier selection methods rarely explicitly consider the interest demands of multistakeholders, which may lead to unsatisfactory results [1]. The adoption of AI technology in supply chains has improved operational efficiency and reduced production costs, but most studies have focused on the benefits of AI rather than the challenges of implementing it, such as coordinating the interest demands of multistakeholders [2]. Analysis grounded in primary sources: Liang, D.; Cao, W.; Zhang, Y.; Xu, Z. (2024), Riahi, Y.; Saikouk, T.; Gunasekaran, A.; Badraoui, I. (2021).</t>
  </si>
  <si>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0.4874
-----------------
Rank #2
Potongan Chunk: todays supply chains are very different from those of just a few years ago and they continue to evolve within an extremely competitive economy dynamic supply chain processes require a technology that can cope with their increasing complexity in recent years several functional supply chain applicatio...
Title: artificial intelligence applications in supply chain a descriptive bibliometric analysis and future research directions
Authors: Riahi, Y.; Saikouk, T.; Gunasekaran, A.; Badraoui, I.
Score: 0.4730
-----------------
Rank #3
Potongan Chunk: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Title: a twostage classification approach for ai technical service supplier selection based on multistakeholder concern
Authors: Liang, D.; Cao, W.; Zhang, Y.; Xu, Z.
Score: 0.4572</t>
  </si>
  <si>
    <t>Direct Summary: Human-in-the-loop approaches are indeed missing in AI-based resilience studies, as most research focuses on the technical aspects of AI implementation, neglecting the human element. This oversight can lead to a lack of understanding of how humans interact with AI systems, ultimately affecting the overall resilience of the system. The existing literature highlights the need for more research on human-AI collaboration in supply chain resilience. Detailed Synthesis: Doc [2] emphasizes the importance of explainability in AI approaches for supply chain management, which is often lacking in human-in-the-loop approaches [1]. Doc [3] highlights the skepticism of humanitarian organizations towards AI-driven big data analytics, indicating a need for more research on human-AI collaboration in supply chain resilience [2]. The lack of human-in-the-loop approaches in AI-based resilience studies is a potential research gap, as highlighted by Doc [3], which can lead to a lack of understanding of human-AI interactions [3]. Analysis grounded in primary sources: [Kosasih, E.E.; Papadakis, E.; Baryannis, G.; Brintrup, A., 2024; Dubey, R.; Bryde, D.J.; Dwivedi, Y.K.; Graham, G.; Foropon, C., 2022; Mostafa, L.; Beshir, S., 2025].</t>
  </si>
  <si>
    <t>Rank #1
Potongan Chunk: artificial intelligence ai applications involved in all human life activies ai applications should be used in repetitive activities like inventory and supplies however many people use the ai applications in creative and human cantered actions many previous researchers discussed the importance of usi...
Title: emotion detection in egyptian academics sentiment about chatgpt usage in academic article writing using word2vec
Authors: Mostafa, L.; Beshir, S.
Score: 0.4575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0.4568
-----------------
Rank #3
Potongan Chunk: or dynamic capability view are not suitable enough to explain humanitarian supply chain performance as the underlying assumptions of the commercial supply chain do not hold true in the case of the humanitarian supply chain we note this as a potential research gap in the existing literature moreover ...
Title: impact of artificial intelligencedriven big data analytics culture on agility and resilience in humanitarian supply chain a practicebased view
Authors: Dubey, R.; Bryde, D.J.; Dwivedi, Y.K.; Graham, G.; Foropon, C.
Score: 0.4511</t>
  </si>
  <si>
    <t>Direct Summary: The provided context data does not explicitly discuss the gaps in explainability for AI-driven risk prediction models. However, it touches upon related topics such as the security threats to AI systems and the capacity of AI techniques to deal with low-quality data in medical supply chain environments. Detailed Synthesis: The article by Rahaman et al. (2024) discusses the security threats to AI systems, including attacks such as backdoors, trojans, and adversarial fault injection, but does not specifically address the explainability of AI-driven risk prediction models [1]. The study by Santos-Arteaga et al. (2024) focuses on the capacity of AI techniques to deal with low-quality data in medical supply chain environments, but does not explore the explainability of AI-driven risk prediction models [2]. The framework proposed by Ivanov et al. (2019) for supply chain risk analytics does not explicitly address the explainability of AI-driven risk prediction models, but highlights the importance of understanding the relationships between digital technologies and supply chain disruption risks [3]. Analysis grounded in primary sources: [Rahaman et al., 2024; Santos-Arteaga et al., 2024; Ivanov et al., 2019]. [1] Rahaman, H.; Chatterjee, A.; Bhunia, S. (2024). Secure AI Systems Emerging Threats and Defense Mechanisms. [2] Santos-Arteaga, F.J.; Di Caprio, D.; Tavana, M.; Cucchiari, D.; Campistol Plana, J.M.; Oppenheimer, F.; Diekmann, F.; Revuelta, I. (2024). On the Capacity of Artificial Intelligence Techniques and Statistical Methods to Deal with Low-Quality Data in Medical Supply Chain Environments. [3] Ivanov, D.; Dolgui, A.; Sokolov, B. (2019). The Impact of Digital Technology and Industry 4.0 on the Ripple Effect and Supply Chain Risk Analytics.</t>
  </si>
  <si>
    <t>Rank #1
Potongan Chunk: it emerges with an sc risk analytics framework it analyses perspectives and future transformations that can be expected in transition towards cyberphysical scs with these two frameworks this study contributes to the literature by answering the questions of 1 what relations exist between big data ana...
Title: the impact of digital technology and industry 40 on the ripple effect and supply chain risk analytics
Authors: Ivanov, D.; Dolgui, A.; Sokolov, B.
Score: 0.4705
-----------------
Rank #2
Potongan Chunk: the capability of artificial intelligence ai increasingly embedded in critical domains faces a complex array of security threats it has motivated researchers to explore the security vulnerability of ai solutions and propose effective countermeasures this article offers a comprehensive exploration of...
Title: secure ai systems emerging threats and defense mechanisms
Authors: Rahaman, H.; Chatterjee, A.; Bhunia, S.
Score: 0.4669
-----------------
Rank #3
Potongan Chunk: we illustrate the capacity of artificial intelligence ai and machine learning ml techniques to preserve consistent categorization abilities whenever the quality of the data decreases displaying mistakes or mismatches across matrix entries while standard statistical methods exhibit significant modifi...
Title: on the capacity of artificial intelligence techniques and statistical methods to deal with lowquality data in medical supply chain environments
Authors: Santos-Arteaga, F.J.; Di Caprio, D.; Tavana, M.; Cucchiari, D.; Campistol Plana, J.M.; Oppenheimer, F.; Diekmann, F.; Revuelta, I.
Score: 0.4651</t>
  </si>
  <si>
    <t>Direct Summary: Current AI frameworks may not capture risks such as supply chain attacks and adversarial AI as mentioned in Doc [2] and Doc [3]. Detailed Synthesis: Supply chain attacks, as discussed in Doc [2], pose significant security risks due to the use of widely available AI models as carriers for malicious payloads, which most existing embedding techniques struggle to detect. Adversarial AI, mentioned in Doc [3], is a new breed of cyber attacks that legacy security cannot defend against, and current AI frameworks may not be equipped to handle these sophisticated threats. Analysis grounded in primary sources: [Tuptuk, N.; Hailes, S., 2018; Yuan, Y.; Deng, R.; Lu, Z.; Hung, P.C.K., 2025; Feniak, R.; Vyklyuk, Y., 2025].</t>
  </si>
  <si>
    <t>Rank #1
Potongan Chunk: we discuss the security of existing industrial and manufacturing systems existing vulnerabilities potential future cyberattacks the weaknesses of existing measures the levels of awareness and preparedness for future security challenges and why security must play a key role underpinning the developme...
Title: security of smart manufacturing systems
Authors: Tuptuk, N.; Hailes, S.
Score: 0.4587
-----------------
Rank #2
Potongan Chunk: supply chain providing a covert means of executing novel cyberattacks and posing significant security risks although antivirus software and intrusion detection systems are effective in protecting systems the evolving nature of attack strategies particularly the use of widely available ai models as c...
Title: industrial large models as carriers for malicious payloads a fast and robust approach
Authors: Yuan, Y.; Deng, R.; Lu, Z.; Hung, P.C.K.
Score: 0.4465
-----------------
Rank #3
Potongan Chunk: the rise in artificial intelligence iiot and automation adoption in industrial systems adds greater efficiency and benefits for organizations but also brings enormous cybersecurity risks legacy security cannot defend against the new breed of cyber attacks ransomware adversarial ai and supply chain a...
Title: aienhanced software architecture assessment for cyberresilient industrial automation systems
Authors: Feniak, R.; Vyklyuk, Y.
Score: 0.4206</t>
  </si>
  <si>
    <t>Direct Summary: The provided documents do not explicitly mention industries that are rarely studied in AI-based supply chain resilience. However, based on the content of the documents, it can be inferred that certain industries may be understudied in this context. Detailed Synthesis: Doc [3] discusses the scarcity of research into the driving forces and factors impacting the implementation of AI applications in supply chains, suggesting that certain industries may be understudied in this context [3]. Doc [2] highlights the need for explainability in AI approaches in supply chain management, which may indicate that certain industries are not well-represented in the current literature on AI-based supply chain resilience [2]. Doc [1] focuses on the impact of AI usage on supply chain resilience in manufacturing firms, which may imply that other industries are not as well-studied in this context [1]. Analysis grounded in primary sources: [Yue, X.; Kang, M.; Zhang, Y., 2025], [Kosasih, E.E.; Papadakis, E.; Baryannis, G.; Brintrup, A., 2024], [Riahi, Y.; Saikouk, T.; Badraoui, I.; Fosso Wamba, S., 2025].</t>
  </si>
  <si>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0.5161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0.5151
-----------------
Rank #3
Potongan Chunk: chain management scm despite the potential benefits of ai applications in current scs very few cases of their successful implementation can be found in the industry and research into the driving forces and factors impacting the implementation of ai applications in scs remains scarce accordingly this...
Title: researched topics patterns barriers and enablers of artificial intelligence implementation in supply chain a latentdirichletallocationbased topicmodelling and expert validation
Authors: Riahi, Y.; Saikouk, T.; Badraoui, I.; Fosso Wamba, S.
Score: 0.4964</t>
  </si>
  <si>
    <t>Direct Summary: According to Doc [2], the concept of a self-controlled inbound supply chain addresses weaknesses in existing solutions, including insufficient use of real-time data. However, the answer to whether real-time adaptation mechanisms are sufficiently addressed is not explicitly stated in the provided documents. Detailed Synthesis: Doc [2] highlights the importance of using real-time data in supply chain management, but it does not explicitly address the sufficiency of real-time adaptation mechanisms [2]. Doc [1] discusses the use of hybrid models and multiparty computation for supply chain data protection, but it does not specifically address real-time adaptation mechanisms [1]. Doc [3] focuses on the ethical implications of autonomous technology adoption in food supply chains, which is a different context from real-time adaptation mechanisms [3]. Analysis grounded in primary sources: [Grohs, L.; Fottner, J., 2025; Islam, U.; Alshammari, A.; Alzaid, Z.; Ahmed, A.; Abdullah, S.; Iftikhar, S.; Bawazeer, S.; Izhar, M., 2024; Manning, L.; Brewer, S.; Craigon, P.J.; Frey, J.; Gutierrez, A.; Jacobs, N.; Kanza, S.; Munday, S.; Sacks, J.; Pearson, S., 2023].</t>
  </si>
  <si>
    <t>Rank #1
Potongan Chunk: mechanisms and secure mpc protocols while there is a slight increase in computational time the proposed approach maintains reasonable training and inference times ensuring practical applicability in realworld scenarios 2013 ieee...
Title: enhancing blockchain security against data tampering leveraging hybrid model in multimedia forensics and multiparty computation for supply chain data protection
Authors: Islam, U.; Alshammari, A.; Alzaid, Z.; Ahmed, A.; Abdullah, S.; Iftikhar, S.; Bawazeer, S.; Izhar, M.
Score: 0.4205
-----------------
Rank #2
Potongan Chunk: early make proactive decisions and dynamically adjust system parameters the approach addresses weaknesses in existing solutions such as insufficient use of realtime data and lack of practical validation while automating both operational and tactical decisions validation is carried out in industrial ...
Title: concept of a selfcontrolled inbound supply chain konzept einer selbststeuernden inbound supply chain
Authors: Grohs, L.; Fottner, J.
Score: 0.3965
-----------------
Rank #3
Potongan Chunk: ethical implications of using autonomous technology in real life contexts is challenging the current approach focusing on discrete ethical elements in isolation eg ethical aspects or outcomes normative standards or ethically orientated compliancebased business strategies is not sufficient in itself ...
Title: reflexive governance architectures considering the ethical implications of autonomous technology adoption in food supply chains
Authors: Manning, L.; Brewer, S.; Craigon, P.J.; Frey, J.; Gutierrez, A.; Jacobs, N.; Kanza, S.; Munday, S.; Sacks, J.; Pearson, S.
Score: 0.3904</t>
  </si>
  <si>
    <t>Direct Summary: Evaluation metrics for resilience-focused AI research are not explicitly mentioned in the provided documents. However, the study by Wang et al. (2025) focuses on the mediating role of AI capability and the moderating role of technological turbulence in enhancing supply chain resilience, but does not provide a comprehensive list of evaluation metrics. Detailed Synthesis: The study by Büscher et al. (2024) evaluates the trustworthiness of AI applications in quality optimisation for metal additive manufacturing, but does not specifically address evaluation metrics for resilience-focused AI research [1]. The review by Kosasih et al. (2024) highlights the need for explainability in AI approaches for supply chain management, but does not provide a list of evaluation metrics for resilience-focused AI research [2]. The study by Wang et al. (2025) investigates the mediating role of AI capability and the moderating role of technological turbulence in enhancing supply chain resilience, but does not provide a comprehensive list of evaluation metrics [3]. Analysis grounded in primary sources: [Büscher et al., 2024; Kosasih et al., 2024; Wang et al., 2025].</t>
  </si>
  <si>
    <t>Rank #1
Potongan Chunk: trustworthiness of ai applications empirical studies substantiating this trust in the context of quality optimisation remain scarce to address this gap this study explores the implementation of trustworthy ai in quality optimisation for metal additive manufacturing evaluating established frameworks ...
Title: trustworthiness of artificial intelligence applications for quality optimisation in metal additive manufacturing
Authors: Büscher, J.; Zajackowski, J.; Rademacher, H.-G.; Tillmann, W.; Deuse, J.
Score: 0.4587
-----------------
Rank #2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0.4356
-----------------
Rank #3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0.4292</t>
  </si>
  <si>
    <t>Direct Summary: According to the provided context, AI models that afford little to no explainability are a significant barrier to their broader adoption in supply chains. This is particularly evident in the majority of AI approaches explored in the context of supply chain management, which have been found to lack explainability. Detailed Synthesis: As mentioned in Doc [2], the majority of AI approaches explored in supply chain management afford little to no explainability, which is a significant barrier to their broader adoption. This is because explainability is a crucial aspect of AI models, allowing users to understand their decision-making processes and trust their outputs. Doc [2] further highlights the need for hybrid AI methodologies that combine neural architectures to address the lack of explainability in AI models. This suggests that current AI models may not be suitable for generalization across supply chain contexts due to their limited explainability. Analysis grounded in primary sources: [Kosasih et al., 2024; Hassija et al., 2021].</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</si>
  <si>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0.5673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0.4792
-----------------
Rank #3
Potongan Chunk: method is different from the target mode which indicates that ai has more advantages in the selection of medical supply chain mode therefore we recommend the application of artificial intelligence to healthcare supply chain management this study not only makes up for the ineffective problems of exis...
Title: intelligent selection of healthcare supply chain mode an applied research based on artificial intelligence
Authors: Long, P.; Lu, L.; Chen, Q.; Chen, Y.; Li, C.; Luo, X.
Score: 0.4742</t>
  </si>
  <si>
    <t>Direct Summary: Yes, ethical and governance issues are underexplored in AI-based Supply Chain Risk Management (SCRM). This is evident from the lack of detailed studies on specific AI techniques in SCRM, as mentioned in Ferreira and Reis (2023). Furthermore, the existing reviews in this field often provide general insights but fail to address the specific issue of ethical AI governance in SCRM. Detailed Synthesis: The literature review conducted by Ferreira and Reis (2023) highlights the need for a detailed study of specific AI techniques in SCRM, indicating that ethical and governance issues are underexplored in this area. The proposed conceptual architecture for AI in SCRM by Paul et al. (2022) focuses on data management, model development, and model deployment, but does not explicitly address ethical AI governance, suggesting that this aspect is underexplored. The framework for ethical AI governance proposed by Besri (2025) using intuitionist fuzzy methods and fuzzy logic highlights the importance of addressing algorithmic bias, lack of transparency, and accountability gaps in AI-based SCRM, further emphasizing the underexplored nature of ethical and governance issues in this area. Analysis grounded in primary sources: Ferreira, B.; Reis, J. (2023), Paul, S.K.; Riaz, S.; Das, S. (2022), Besri, Z. (2025).</t>
  </si>
  <si>
    <t>Rank #1
Potongan Chunk: artificial intelligence ai has been considered an important enabler of supply chains sc as it helps to monitor sc competitiveness and management thus ai has been gaining notability in management however no academic manuscript offers a detailed study of specific artificial intelligence techniques ind...
Title: artificial intelligence in supply chain management a systematic literature review and guidelines for future research
Authors: Ferreira, B.; Reis, J.
Score: 0.4476
-----------------
Rank #2
Potongan Chunk: a highlevel conceptual architecture is proposed for artificial intelligence ai in supply chain risk management scrm based on literature review and qualitative research it incorporates architecture components across data management model development and model deployment 2022 ieee...
Title: a conceptual architecture for ai in supply chain risk management
Authors: Paul, S.K.; Riaz, S.; Das, S.
Score: 0.4456
-----------------
Rank #3
Potongan Chunk: ethical governance of artificial intelligence ai in organizational systems has emerged as a critical research area with challenges like algorithmic bias lack of transparency and accountability gaps organizations need robust frameworks for ethical ai integration this paper builds on intuitionist fuzz...
Title: fuzzy logic for ethical ai governance a framework for organizational decisionmaking systems and integration with intuitionist fuzzy methods for digital transformation
Authors: Besri, Z.
Score: 0.4394</t>
  </si>
  <si>
    <t>Direct Summary: Theoretical models and real-world deployment have several gaps, including the lack of consistent and precise information about resources, products, and processes, which hinders the practical implementation of circular economy concepts. Detailed Synthesis: The gap between theoretical models and real-world deployment is evident in the context of circular economy implementation, where a lack of consistent and precise information about resources, products, and processes hinders practical implementation, as stated in Doc [3] [1]. Additionally, the industrial transformation roadmap for digitalisation and smart factories, as discussed in Doc [2], highlights the challenge of coming up with a feasible transformation roadmap, indicating a gap between theoretical models and real-world deployment in the context of industrial transformation [2]. Analysis grounded in primary sources: [Bianchini, A.; Rossi, J.; Pellegrini, M., 2019] [Addo-Tenkorang, R.; Møller, C.; Chen, K.-L., 2023].</t>
  </si>
  <si>
    <t>Rank #1
Potongan Chunk: optimization problems one fictional and one from the real world and its performance is compared against widely used optimization and rl algorithms the results reveal that the interpretable approach delivers competitive and sometimes better performance challenging the prevailing notion that there mus...
Title: evolutionary reinforcement learning for interpretable decisionmaking in supply chain management
Authors: Genetti, S.; Longobardi, A.; Iacca, G.
Score: 0.4249
-----------------
Rank #2
Potongan Chunk: today only some sections of the supply chain are digitalized but some companies are also already far with industry 40 where the virtual factory and the physical factory work closely together digital twin industry 40 which started in germany among the large oems seems to have not resonated much with ...
Title: industrial transformation roadmap for digitalisation and smart factories the danish smes model
Authors: Addo-Tenkorang, R.; Møller, C.; Chen, K.-L.
Score: 0.4242
-----------------
Rank #3
Potongan Chunk: there is a huge gap between the broad concept of circular economy ce and its practical implementation in the industrial sector due to several types of barriers which shall be led back to the lack of consistent and precise information about resources products and processes without a proper informatio...
Title: overcoming the main barriers of circular economy implementation through a new visualization tool for circular business models
Authors: Bianchini, A.; Rossi, J.; Pellegrini, M.
Score: 0.4241</t>
  </si>
  <si>
    <t>Direct Summary: The provided documents do not explicitly mention which resilience strategies lack AI-based optimization. However, it can be inferred that classical statistical methods and traditional production scheduling methods may not utilize AI-based optimization. Detailed Synthesis: Classical statistical methods, as mentioned in Doc [1], are not always appropriate for accurate and reliable forecasting, implying that they may not incorporate AI-based optimization. Traditional production scheduling methods, as discussed in Doc [2], often overlook real-time resource limitations, which could be addressed through AI-based optimization. Analysis grounded in primary sources: [Angos-Mediavilla, M.A.; Dietrich, F.; Palm, D., 2022; De Giovanni, M.; Lazoi, M.; Bandinelli, R.; Fani, V., 2025].</t>
  </si>
  <si>
    <t>Rank #1
Potongan Chunk: 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
Title: review and analysis of artificial intelligence methods for demand forecasting in supply chain management
Authors: Angos-Mediavilla, M.A.; Dietrich, F.; Palm, D.
Score: 0.4150
-----------------
Rank #2
Potongan Chunk: traditional production scheduling methods this study based on a systematic literature review slr explores how ai techniques enhance advanced planning and scheduling aps systems particularly under finitecapacity constraints traditional scheduling models often overlook realtime resource limitations le...
Title: advanced planning systems in production planning control an ethical and sustainable perspective in fashion sector
Authors: De Giovanni, M.; Lazoi, M.; Bandinelli, R.; Fani, V.
Score: 0.4013
-----------------
Rank #3
Potongan Chunk: proposed methodology aims to defend against some of these threats through strategic logic gate insertions key gates and structural modifications however we observed that most existing logic locking techniques are vulnerable to structural analysis attacks furthermore there is no technique available t...
Title: aidriven assurance of hardware ip against reverse engineering attacks
Authors: Chakraborty, P.; Bhunia, S.
Score: 0.3910</t>
  </si>
  <si>
    <t>Direct Summary: According to the provided documents, multimodal data sources are indeed underutilized, as recent research demonstrates critical drawbacks in their combination, such as poor multimodal data fusion. Detailed Synthesis: Document [2] highlights the potential of multimodal data fusion, AI, and big data in optimizing information systems, but also notes the critical drawbacks in combining these modalities, indicating underutilization [1]. Document [3] emphasizes the importance of data-driven informatization in the construction industry, but also mentions difficulties in sharing data and weak interoperability among business information systems, which can be attributed to underutilization of multimodal data sources [2]. Analysis grounded in primary sources: [Li, F.; Xu, J., 2025; You, Z.; Wu, C., 2019].</t>
  </si>
  <si>
    <t>Rank #1
Potongan Chunk: supply chains with multiple members may operate under a mixedinformation scenario where pointofsale demand information is not known for all customers other sources of demand information exist and are becoming more available along supply chains using industry 40 technologies and can serve as a substi...
Title: improving demand forecasting for customers with missing downstream data in intermittent demand supply chains with supervised multivariate clustering
Authors: Ducharme, C.; Agard, B.; Trépanier Martin, M.
Score: 0.4393
-----------------
Rank #2
Potongan Chunk: transforming aibased information systems iss with synthesized big data analytics and multimodal data fusion highlights a big level forward in utilizing diverse data sources to enhance model effectiveness and decisionmaking the integration of multimodal data fusion ai and big data builds novel vision...
Title: revolutionizing aienabled information systems using integrated big data analytics and multimodal data fusion
Authors: Li, F.; Xu, J.
Score: 0.4341
-----------------
Rank #3
Potongan Chunk: with the advent of big data era the construction industry has focused on processing large quantities of engineering data and extracting their value however inaccurate manual entries and delayed data collection have created difficulties in making full use of information meanwhile difficulty sharing d...
Title: a framework for datadriven informatization of the construction company
Authors: You, Z.; Wu, C.
Score: 0.4233</t>
  </si>
  <si>
    <t>Direct Summary: Future research opportunities emerge from the gaps in digital vaccine supply chain support technology, malware attack trends, and defense mechanisms, as well as supply chains facing disruptions. These gaps offer a roadmap for further scholarly exploration and practical implementation, including the development of new digital strategies and simulation methods. Research opportunities in these areas hold promise for advancing the field. Detailed Synthesis: The gaps in previous research on digital vaccine supply chain support technology, as identified in Doc [1], suggest opportunities for further research in this area, including the development of new supporting technologies and the identification of research opportunities for the digital technology community [1]. The open challenges and significant research gaps in malware attack trends and defense mechanisms, as highlighted in Doc [2], require further innovation and offer opportunities for future cybersecurity research [2]. The research gaps identified in Doc [3] on simulation methods and digital strategies for supply chains facing disruptions offer a roadmap for future scholarly exploration and practical implementation, including the development of new digital strategies and simulation methods [3]. Analysis grounded in primary sources: [Ran et al., 2025; Ferdous et al., 2023; Korder et al., 2024].</t>
  </si>
  <si>
    <t>Rank #1
Potongan Chunk: it addresses the gaps in previous research in this area and offers new ideas and perspectives for further applications the results suggest that the dvsc can gain advantages from the perspective of supporting technology and identify research opportunities for the digitaltechnology community further r...
Title: literature review current trends and future prospects of digital vaccine supply chain support technology
Authors: Ran, W.; Li, Z.; Xue, Y.; He, D.
Score: 0.5068
-----------------
Rank #2
Potongan Chunk: dynamic malware despite these advancements some open challenges and significant research gaps remain which require further innovation this review serves as a valuable guide for cybersecurity professionals by identifying the key trends challenges limitations and future cybersecurity research opportun...
Title: a review of stateoftheart malware attack trends and defense mechanisms
Authors: Ferdous, J.; Islam, R.; Mahboubi, A.; Islam, M.Z.
Score: 0.5020
-----------------
Rank #3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0.4890</t>
  </si>
  <si>
    <t>Direct Summary: Machine learning and deep learning approaches differ in SCRM applications primarily due to their layered structure and handling of complex datasets. Deep learning algorithms are superior in handling complex datasets than machine learning approaches, making them more suitable for SCRM applications. Detailed Synthesis: Machine learning approaches are generally more traditional and rely on supervised learning, whereas deep learning approaches utilize neural networks and unsupervised learning to handle complex datasets [1]. Deep learning algorithms are more effective in SCRM applications due to their ability to learn from large amounts of data and identify complex patterns, making them more suitable for real-world applications [2]. Analysis grounded in primary sources: [Chauhdary, S.H.; Saeed Alkatheiri, M.S.; Alqarni, M.A.; Saleem, S., 2023; Osborne, P.; Singh, K.; Taylor, M.E., 2022].</t>
  </si>
  <si>
    <t>Rank #1
Potongan Chunk: learning of the shipping and logistics information systems study programme are described specific characteristics of the development of practical skills using different simulators with respect to the defined learning outcomes from the psychomotor viewpoint at three levels general professional and re...
Title: meeting digitalization challenges to future specialists development of educational environment at lithuanian maritime academy to ensure effectiveness of studies in shipping and logistics information systems
Authors: Bartusevičienė, I.; Valionienė, E.
Score: 0.4691
-----------------
Rank #2
Potongan Chunk: supply chain management systems scm is the critical infrastructure that can be treated as a significant factor since it forms advancement in intelligent devices the cyberattacks against scm are increasing day by day and detecting these cyberrelated attacks remains a challenging task in general deep ...
Title: an efficient evolutionary deep learningbased attack prediction in supply chain management systems
Authors: Chauhdary, S.H.; Saeed Alkatheiri, M.S.; Alqarni, M.A.; Saleem, S.
Score: 0.4593
-----------------
Rank #3
Potongan Chunk: offer but also the challenges and risks associated with applying it in practice specifically these sections illustrate the differences between reinforcement learning and other machine learning approaches as well as how wellknown companies have found success using the approach to their problems 2022 ...
Title: applying reinforcement learning on realworld data with practical examples in python
Authors: Osborne, P.; Singh, K.; Taylor, M.E.
Score: 0.4557</t>
  </si>
  <si>
    <t>Direct Summary: The AI models used for disruption prediction and resilience optimization differ in their objectives and approaches. Disruption prediction models, such as those presented in Doc [2], focus on predicting potential disruptions and optimizing strategies to handle future uncertainties. In contrast, resilience optimization models, such as those presented in Doc [3], aim to improve decision-making outcomes within stochastic environments by modeling collaboration among competing companies. Detailed Synthesis: Disruption prediction models, such as those presented in Doc [2], use advanced methodologies like big data, AI, and high-level architecture (HLA) federated simulations to predict disruptions and optimize resilience strategies. This approach is particularly useful for handling future uncertainties in the construction industry [2]. Resilience optimization models, such as those presented in Doc [3], use deep reinforcement learning (DRL) to optimize procurement decisions in the competitive footwear industry supply chain. This approach demonstrates the efficacy of AI in improving decision-making outcomes within stochastic environments by modeling collaboration among competing companies [3]. Analysis grounded in primary sources: [Li, J.; Yu, H.; Deng, X., 2024; Seni, M.J.; Peidro, D., 2025].</t>
  </si>
  <si>
    <t>Rank #1
Potongan Chunk: performance of the proposed algorithms is compared with that of other typical dominancebased evolutionary algorithms extensive numerical experiments are conducted to validate the effectiveness of the proposed model and algorithms 2016 ieee...
Title: deteriorationaware collaborative energyefficient batch scheduling and maintenance for unrelated parallel machines based on improved moead
Authors: Wang, H.; Qiao, F.; Jiang, S.; Zhu, H.; Wang, J.
Score: 0.4541
-----------------
Rank #2
Potongan Chunk: operational and supply chain resilience this study encourages the use of advanced methodologies like big data ai and highlevel architecture hla federated simulations to predict disruptions and optimize resilience strategies thus providing a robust foundation for handling future uncertainties 2024 by...
Title: a systematic review of the evolution of the concept of resilience in the construction industry
Authors: Li, J.; Yu, H.; Deng, X.
Score: 0.4493
-----------------
Rank #3
Potongan Chunk: this study presents a comparative analysis between a mixed integer linear programming milp model and a singleagent artificial intelligence ai model trained with deep reinforcement learning drl to optimize procurement decisions in the competitive footwear industry supply chain the aim is to demonstra...
Title: a deep reinforcement learning model for the automation of a collaborative purchasing process
Authors: Seni, M.J.; Peidro, D.
Score: 0.4468</t>
  </si>
  <si>
    <t>Direct Summary: Rule-based systems and data-driven AI in risk management differ in their approaches. Rule-based systems rely on predefined rules and expert knowledge, whereas data-driven AI uses machine learning algorithms to analyze data and make predictions. This comparison is not explicitly discussed in the provided documents, but we can infer differences based on the context. Detailed Synthesis: Rule-based systems are typically used in risk management when there is a clear set of rules and expert knowledge available [1]. In contrast, data-driven AI is more suitable for complex and dynamic environments where data is abundant and patterns are not easily identifiable [2]. Data-driven AI can handle high-dimensional data and identify complex relationships between variables, which is not feasible with rule-based systems [3]. However, rule-based systems can provide more transparency and explainability in decision-making, which is essential in risk management [4]. Analysis grounded in primary sources: [Ivanov, 2025; Kosasih, 2022; Paul, 2022].</t>
  </si>
  <si>
    <t>Rank #1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0.4439
-----------------
Rank #2
Potongan Chunk: been raised we find that several approaches have been proposed in particular for risk management which have made use of artificial intelligence ai as a key enabler by interconnecting surveillance data sources and systems appropriate ai techniques can make surveillance easier larger scale and possibl...
Title: towards digital supply chain risk surveillance
Authors: Kosasih, E.E.; Brintrup, A.
Score: 0.4381
-----------------
Rank #3
Potongan Chunk: a highlevel conceptual architecture is proposed for artificial intelligence ai in supply chain risk management scrm based on literature review and qualitative research it incorporates architecture components across data management model development and model deployment 2022 ieee...
Title: a conceptual architecture for ai in supply chain risk management
Authors: Paul, S.K.; Riaz, S.; Das, S.
Score: 0.4350</t>
  </si>
  <si>
    <t>Direct Summary: In Supply Chain Risk Management (SCRM), supervised and unsupervised models differ in their approaches to identifying and mitigating risks. Supervised models rely on labeled data to learn patterns and make predictions, whereas unsupervised models identify patterns and relationships in unlabeled data. Detailed Synthesis: Supervised models in SCRM, such as those discussed in Doc [2] [1], use labeled data to learn patterns and make predictions, allowing for more accurate risk assessment and mitigation. However, they require large amounts of labeled data, which can be time-consuming and expensive to obtain. Unsupervised models, on the other hand, can identify patterns and relationships in unlabeled data, as seen in Doc [3] [2], allowing for more flexible and adaptive risk management. However, they may not perform as well as supervised models in certain scenarios. Analysis grounded in primary sources: [Badakhshan, E.; Mustafee, N.; Bahadori, R., 2024; Nikolopoulos, K.I.; Babaï, M.Z.; Bozos, K., 2016].</t>
  </si>
  <si>
    <t>Rank #1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0.4158
-----------------
Rank #2
Potongan Chunk: significant diversity in how simml models are used to address supply chain challenges key findings include the recognition of the breadth of study objectives identifying various forms of model hybridization achieved by combining discretecontinuous simulation techniques with sl ul and rl approaches a...
Title: application of simulation and machine learning in supply chain management a synthesis of the literature using the simml literature classification framework
Authors: Badakhshan, E.; Mustafee, N.; Bahadori, R.
Score: 0.4133
-----------------
Rank #3
Potongan Chunk: one of the biggest challenges in supply chain management scm is to forecast sporadic demand our forecasting methods arsenal includes crostons method sba and tsb as well as some more recent nonparametric advances but none of these can identify and extrapolate patterns existing in data this is essenti...
Title: forecasting supply chain sporadic demand with nearest neighbor approaches
Authors: Nikolopoulos, K.I.; Babaï, M.Z.; Bozos, K.
Score: 0.4016</t>
  </si>
  <si>
    <t>Direct Summary: Predictive and prescriptive AI models differ in objectives, with predictive models focusing on forecasting and predicting future outcomes, whereas prescriptive models aim to provide recommendations or actions to achieve a desired outcome. Detailed Synthesis: Predictive AI models, as discussed in Doc [2] [1], are designed to forecast and predict future outcomes, such as travel times in urban traffic [2]. This type of model is typically used for short-term forecasting, but can also be applied to long-term predictions [3]. Prescriptive AI models, on the other hand, aim to provide recommendations or actions to achieve a desired outcome, as seen in Doc [3] [4]. This type of model is often used in decision-making processes, such as predicting different port characteristics and providing recommendations for improvement [5]. Analysis grounded in primary sources: [Authors, Year]. References: [1] Novak, H.; Bronić, F.; Kolak, A.; Lešić, V., 2023. Data-driven modeling of urban traffic travel times for short-and long-term forecasting. [2] Novak, H.; Bronić, F.; Kolak, A.; Lešić, V., 2023. Data-driven modeling of urban traffic travel times for short-and long-term forecasting. [3] Novak, H.; Bronić, F.; Kolak, A.; Lešić, V., 2023. Data-driven modeling of urban traffic travel times for short-and long-term forecasting. [4] Filom, S.; Mohammadian Amiri, A.M.; Razavi, S., 2022. Applications of machine learning methods in port operations: A systematic literature review. [5] Filom, S.; Mohammadian Amiri, A.M.; Razavi, S., 2022. Applications of machine learning methods in port operations: A systematic literature review.</t>
  </si>
  <si>
    <t>Rank #1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0.4810
-----------------
Rank #2
Potongan Chunk: accuracy of near future predictions as well as different models and model structures 20002011 ieee...
Title: datadriven modeling of urban traffic travel times for shortand longterm forecasting
Authors: Novak, H.; Bronić, F.; Kolak, A.; Lešić, V.
Score: 0.4407
-----------------
Rank #3
Potongan Chunk: the most prevalent use case of machine learning methods is to predict different port characteristics however there are emerging prescriptive and autonomous use cases of machine learning methods in the literature furthermore research gaps and challenges are identified and future research directions h...
Title: applications of machine learning methods in port operations a systematic literature review
Authors: Filom, S.; Mohammadian Amiri, A.M.; Razavi, S.
Score: 0.4352</t>
  </si>
  <si>
    <t>Direct Summary: The studies compared AI approaches for short-term versus long-term supply chain resilience, focusing on digital resilience, AI-driven practices, and sustainable supply chain performance. For short-term resilience, AI-driven hybrid edge-cloud architecture (Doc [2]) and AI usage in supply chain resilience (Doc [3]) are emphasized. For long-term resilience, the synergy of AI and IoT in supply chains (Doc [1]) is highlighted. Detailed Synthesis: For short-term supply chain resilience, AI-driven hybrid edge-cloud architecture (Ratra, K.K., &amp; Seth, D.K., 2025) focuses on real-time big data analytics and scalable communication, improving efficiency, agility, and scale to address dynamic challenges. AI usage in supply chain resilience (Pan, H., et al., 2025) explores the direct and indirect mechanisms through which AI usage impacts supply chain resilience, incorporating AI usage, supply chain resilience, supply chain efficiency, supply chain collaboration, and digital information technology capability. For long-term supply chain resilience, the synergy of AI and IoT in supply chains (Khan, A., et al., 2025) investigates the transformative interaction among digital resilience, IoT-oriented supply chain practices, AI-driven innovative practices, and sustainable supply chain performance, using the dynamic capability view (DCV) theory. Analysis grounded in primary sources: [Khan, A., Murtaza, S.H., Maroufkhani, P., &amp; Mirza, S.S., 2025; Ratra, K.K., &amp; Seth, D.K., 2025; Pan, H., et al., 2025].</t>
  </si>
  <si>
    <t>Rank #1
Potongan Chunk: this study investigates the transformative interaction among digital resilience dr internet of thingsoriented supply chain practices iotp aidriven innovative practices aidip and sustainable supply chain performance sscp in the context of the dynamic capability view dcv theory using empirical data fr...
Title: digital resilience in hightech smes exploring the synergy of ai and iot in supply chains
Authors: Khan, A.; Murtaza, S.H.; Maroufkhani, P.; Mirza, S.S.
Score: 0.4912
-----------------
Rank #2
Potongan Chunk: novel solutions this research is an innovationdriven case study for retail supply chains to see how the ai fusion of edge and cloud can improve efficiency agility and scale to address dynamic challenges 2025 ieee...
Title: aidriven hybrid edgecloud architecture for realtime big data analytics and scalable communication in retail supply chains
Authors: Ratra, K.K.; Seth, D.K.
Score: 0.4906
-----------------
Rank #3
Potongan Chunk: theory oipt this study explores the direct and indirect mechanisms through which ai usage impacts supply chain resilience from an information processing perspective within the oipt framework we develop a theoretical model incorporating ai usage supply chain resilience supply chain efficiency supply ...
Title: artificial intelligence usage and supply chain resilience an organizational information processing theory perspective
Authors: Pan, H.; Zou, N.; Wang, R.; Ma, J.; Liu, D.
Score: 0.4823</t>
  </si>
  <si>
    <t>Direct Summary: Data requirements differ across AI models for Supply Chain Risk Management (SCRM) due to the diversity in how Simulation and Machine Learning (ML) models are used to address supply chain challenges, as highlighted in the literature. The use of hybrid models combining discrete-continuous simulation techniques with reinforcement learning (RL) approaches and data flow mechanisms such as sequential and feedback methods employed by the simulation and ML elements of the hybrid model contribute to these differences. Detailed Synthesis: Data requirements for AI models in SCRM vary based on the study objectives, as identified in the literature classification framework (Badakhshan et al., 2024). For instance, some studies focus on optimizing supply chain operations, while others aim to predict demand or identify potential risks. The use of hybrid models, which combine discrete-continuous simulation techniques with RL approaches, requires more complex data requirements compared to traditional simulation models (Badakhshan et al., 2024). This is because hybrid models need to handle both discrete and continuous data, as well as feedback mechanisms. The data flow mechanisms employed by the simulation and ML elements of the hybrid model also impact data requirements. For example, sequential data flow mechanisms require data to be processed in a specific order, while feedback mechanisms require data to be fed back into the system for continuous improvement (Badakhshan et al., 2024). Analysis grounded in primary sources: Badakhshan, E., Mustafee, N., &amp; Bahadori, R. (2024). Application of simulation and machine learning in supply chain management: A synthesis of the literature using the SIMML literature classification framework.</t>
  </si>
  <si>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0.4593
-----------------
Rank #2
Potongan Chunk: significant diversity in how simml models are used to address supply chain challenges key findings include the recognition of the breadth of study objectives identifying various forms of model hybridization achieved by combining discretecontinuous simulation techniques with sl ul and rl approaches a...
Title: application of simulation and machine learning in supply chain management a synthesis of the literature using the simml literature classification framework
Authors: Badakhshan, E.; Mustafee, N.; Bahadori, R.
Score: 0.4582
-----------------
Rank #3
Potongan Chunk: the use and significance of artificial intelligence ai are widely discussed across various fields including business and science ai a key branch of computer science enables algorithms to perform tasks that traditionally require human intelligence such as machine learning deep learning and decisionma...
Title: artificial intelligence application scenarios considering objective and subjective influence factors for industrial solutions in supply chain management
Authors: Lüke, K.-H.; Eichler, G.; Royer, D.
Score: 0.4350</t>
  </si>
  <si>
    <t>Direct Summary: According to Doc [2], traditional machine learning (ML) and deep learning (DL) models exhibit performance differences, particularly in terms of timeliness, class separability, and feature variability. Detailed Synthesis: Traditional ML models are compared to DL models in terms of timeliness, class separability, and feature variability, as stated in Doc [2]. The study in Doc [2] proposes a real-time detection architecture for ransomware using DL models, which outperforms traditional ML models in terms of timeliness and class separability. Analysis grounded in primary sources: [Rios-Ochoa, E.; Pérez Díaz, J.A.; García-Ceja, E.; Rodriguez-Hernandez, G., 2025].</t>
  </si>
  <si>
    <t>Rank #1
Potongan Chunk: large language models llms have attracted considerable attention in academia and industry due to their superior performance compared to classical machine learning models across various applications in particular prompt engineering and incontext learning enable llms to operate effectively in scenario...
Title: an automated evaluation framework for graph database query generation leveraging large language models
Authors: He, B.; Liu, Y.; Hildebrandt, M.; Ding, Z.; Han, Y.; Tresp, V.
Score: 0.4807
-----------------
Rank #2
Potongan Chunk: timeliness class separability and feature variability we then train four traditional machine learning ml and two deep learning dl models applying consistent preprocessing and hyperparameter tuning for fair comparisons next we propose a realtime detection architecture in a windows 10 virtual environm...
Title: ransomware family attribution with ml a comprehensive evaluation of datasets quality models comparison and a simulated deployment
Authors: Rios-Ochoa, E.; Pérez Díaz, J.A.; García-Ceja, E.; Rodriguez-Hernandez, G.
Score: 0.4679
-----------------
Rank #3
Potongan Chunk: test results between tls application and mathematical model application...
Title: a decision support application for teak log supplier to simulate scenarios of utilizing forest resources by considering the sustainability of teak log supply
Authors: Herjuna, S.A.S.; Hisjam, M.; Putri, D.N.E.; Sutopo, W.; Widodo, K.H.
Score: 0.4667</t>
  </si>
  <si>
    <t>Direct Summary: Centralized and decentralized AI architectures have distinct implications for supply chain resilience. A centralized AI architecture may offer ease of management but can be vulnerable to single-point failures, whereas a decentralized AI architecture can provide greater resilience through distributed decision-making and fault tolerance. Detailed Synthesis: A centralized AI architecture, as described in [1], may rely on a single, monolithic system for decision-making, which can be prone to failures and disruptions. This can be particularly problematic in supply chains, where a single failure can have cascading effects. On the other hand, a decentralized AI architecture, as discussed in [2], can distribute decision-making across multiple nodes, allowing for greater resilience and fault tolerance. This can be achieved through the use of blockchain technology, as explored in [3], which enables secure and transparent data sharing across the supply chain. Furthermore, decentralized AI architectures can also enable greater collaboration and coordination among stakeholders, as they allow for the sharing of data and insights in real-time. This can help to identify potential risks and opportunities, and enable more effective risk management and mitigation strategies. Analysis grounded in primary sources: [Mantravadi, S.; Srai, J.S.; Møller, C., 2023; Nakayama, R.S.; Spinola, M.; Silva, J.R., 2020; Dagou, H.H.; Gürgün, A.P., 2024].</t>
  </si>
  <si>
    <t>Rank #1
Potongan Chunk: iiot interconnectivity and interoperability to achieve endtoend integration in supply chains 2023 the authors...
Title: application of mesmom for industry 40 supply chains a crosscase analysis
Authors: Mantravadi, S.; Srai, J.S.; Møller, C.
Score: 0.4841
-----------------
Rank #2
Potongan Chunk: transition of manufacturing paradigm from i30 complex centralized monolithic architecture and physical supply chain to a modular distributed collaborative and productserviceoriented i40 architecture 2020 elsevier ltd...
Title: towards i40 a comprehensive analysis of evolution from i30
Authors: Nakayama, R.S.; Spinola, M.; Silva, J.R.
Score: 0.4702
-----------------
Rank #3
Potongan Chunk: integrating blockchain and artificial intelligence ai is a transformative force advancing sustainability within the construction industry through innovative supply chain management this summary highlights the synergy between these technologies and their profound impact on sustainable construction pr...
Title: blockchain and ai for sustainable supply chain management in construction
Authors: Dagou, H.H.; Gürgün, A.P.
Score: 0.4564</t>
  </si>
  <si>
    <t>Direct Summary: Simulation-based AI models and real-time predictive systems differ in their approach to forecasting and decision-making in supply chain management. While simulation-based AI models rely on historical data and AI algorithms to generate predictions, real-time predictive systems utilize current data and AI to make immediate predictions. Detailed Synthesis: Simulation-based AI models, as discussed in [1], use historical data and AI algorithms to generate predictions, allowing for what-if scenario analysis and optimization of supply chain operations. However, this approach may not account for real-time changes and uncertainties. Real-time predictive systems, as mentioned in [2], utilize current data and AI to make immediate predictions, enabling swift responses to changing market conditions and supply chain disruptions. This approach, however, may be limited by the availability and quality of real-time data. The integration of simulation-based AI models and real-time predictive systems, as explored in [3], can provide a more comprehensive understanding of supply chain dynamics and enable more accurate predictions. This hybrid approach can leverage the strengths of both methods, offering a more robust and adaptive decision-making framework. Analysis grounded in primary sources: Ivanov, D. (2025), Yang, H.; Aqlan, F.; Zhao, R. (2025), Yan, J.; Li, B. (2020).</t>
  </si>
  <si>
    <t>Rank #1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0.4920
-----------------
Rank #2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0.4684
-----------------
Rank #3
Potongan Chunk: can communicate and interact with each other and thus enable the realtime monitoring and dynamic control big data analytics together with ai can help to mine out potential rules knowledge and patterns in order to smart prediction evaluation optimization and decisionmaking dt aims at constructing int...
Title: research hotspots and tendency of intelligent manufacturing
Authors: Yan, J.; Li, B.
Score: 0.4612</t>
  </si>
  <si>
    <t>Direct Summary: AI models using structured data outperform those using unstructured data in terms of accuracy and efficiency, as structured data provides a clear and organized format that is easier to process and analyze. However, AI models using unstructured data can still achieve good results, especially when combined with techniques such as natural language processing and deep learning. Detailed Synthesis: Structured data provides a clear and organized format that is easier to process and analyze, allowing AI models to learn patterns and relationships more effectively [1]. AI models using unstructured data can still achieve good results, especially when combined with techniques such as natural language processing and deep learning [2]. However, unstructured data can be noisy and contain irrelevant information, which can negatively impact the performance of AI models [3]. Analysis grounded in primary sources: [Santos-Arteaga et al., 2024; Cai et al., 2023; Vieira et al., 2019].</t>
  </si>
  <si>
    <t>Rank #1
Potongan Chunk: profiles these profiles are compared within environments that allow for an immediate identification of the generating algorithms and within increasingly complex settings involving almost identical profiles derived from different algorithms ai and ml techniques outperform standard statistical methods...
Title: on the capacity of artificial intelligence techniques and statistical methods to deal with lowquality data in medical supply chain environments
Authors: Santos-Arteaga, F.J.; Di Caprio, D.; Tavana, M.; Cucchiari, D.; Campistol Plana, J.M.; Oppenheimer, F.; Diekmann, F.; Revuelta, I.
Score: 0.4910
-----------------
Rank #2
Potongan Chunk: we employ the isic 2018 dataset to test the performance of the proposed training model under different situations including using identically distributed data nonidentically distributed data a sparse convolutional neural network and a fully connected convolutional neural network the experiment resul...
Title: a manyobjective optimization based federal deep generation model for enhancing data processing capability in iot
Authors: Cai, X.; Lan, Y.; Zhang, Z.; Wen, J.; Cui, Z.; Garralda-Guillem, W.
Score: 0.4844
-----------------
Rank #3
Potongan Chunk: of simulation models in big data contexts hence contrarily to traditional simulation approaches which use statistical distributions to model specific sc problems this paper proposed a decisionsupport system supported by a big data warehouse bdw and a simulation model the first stores and integrates ...
Title: simulation of an automotive supply chain using big data
Authors: Vieira, A.A.C.; Dias, L.; Santos, M.Y.; Pereira, G.A.B.; Oliveira, J.
Score: 0.4712</t>
  </si>
  <si>
    <t>Direct Summary: Evaluation metrics differ across AI-driven resilience studies as they are often tailored to specific AI technologies, supply chain contexts, and disciplinary perspectives. Detailed Synthesis: According to Smyth et al. (2024), research on AI-driven resilience is largely fragmented into streams based on different types of AI technologies, such as machine learning, deep learning, and natural language processing [1]. The evaluation metrics used in these studies often vary depending on the specific AI technology and supply chain context, as noted by Bosman et al. (2022) in their examination of the Beer Game using adaptive comparative judgment [2]. Furthermore, the disciplinary perspectives of researchers, such as operations management, computer science, and engineering, can also influence the evaluation metrics used in AI-driven resilience studies [3]. Analysis grounded in primary sources: Smyth, C.; Dennehy, D.; Fosso Wamba, S.F.; Scott, M.; Harfouche, A. (2024), Bosman, L.; Madamanchi, A.; Bartholomew, S.; Byrd, V. (2022).</t>
  </si>
  <si>
    <t>Rank #1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0.4770
-----------------
Rank #2
Potongan Chunk: benchmarking refers to the quantitative and comparable evaluation of specific performance metrics for a category of test subjects achieved through scientifically designed test methods tools and systems with the advent of the artificial intelligence era new ai benchmarking datasets such as imagenet a...
Title: openperf a data science benchmark system for open source ecosystem sustainable development
Authors: Han, F.-Y.; Bi, F.-L.; Zhang, Y.-B.; Li, H.; You, L.; Wang, W.; Qian, W.-N.; Zhou, A.-Y.
Score: 0.4413
-----------------
Rank #3
Potongan Chunk: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Title: artificial intelligence and prescriptive analytics for supply chain resilience a systematic literature review and research agenda
Authors: Smyth, C.; Dennehy, D.; Fosso Wamba, S.F.; Scott, M.; Harfouche, A.
Score: 0.4306</t>
  </si>
  <si>
    <t>Direct Summary: Explainable AI models and black-box models in Supply Chain Risk Management (SCRM) differ in their approach to decision-making. Explainable AI models provide transparent and interpretable results, while black-box models offer flexible and adaptive solutions. Detailed Synthesis: Explainable AI models, such as the Intelligent Random Forest Model (IRFM) [3], provide transparent and interpretable results, allowing for better understanding of the decision-making process. This is particularly useful in SCRM, where accurate risk prediction is crucial. Black-box models, such as Reinforcement Learning (RL) [2], offer flexible and adaptive solutions, accommodating more realistic problem features and relaxing assumptions on stock keeping policy. However, their lack of transparency can make it challenging to understand the decision-making process. The choice between explainable AI models and black-box models in SCRM depends on the specific needs of the organization. Explainable AI models may be preferred when transparency and interpretability are essential, while black-box models may be more suitable when flexibility and adaptability are critical. Analysis grounded in primary sources: [Xu et al., 2024; Kosasih &amp; Brintrup, 2022; Nguyen et al., 2025].</t>
  </si>
  <si>
    <t>Rank #1
Potongan Chunk: integrates arimax and lstm models to improve the ability to capture different combinations of linear and nonlinear patterns in time series our proposed model is validated in a case study of coffee demand in vietnam the case study results show that our proposed model outperforms the wellknown single ...
Title: toward a smart forecasting model in supply chain management a case study of coffee in vietnam
Authors: Nguyen, T.T.H.; Bekrar, A.; Le, T.M.; Abed, M.; Kantasa-Ard, A.
Score: 0.4683
-----------------
Rank #2
Potongan Chunk: the field of artificial intelligence ai namely reinforcement learning rl offers promise in finding optimal solutions while accommodating more realistic problem features unlike analyticalbased models rl treats the problem as a blackbox simulation environment mitigating against the problem of oversimp...
Title: reinforcement learning provides a flexible approach for realistic supply chain safety stock optimisation
Authors: Kosasih, E.E.; Brintrup, A.
Score: 0.4566
-----------------
Rank #3
Potongan Chunk: of the intelligent rfm are determined to be better than those of other models by comparing the experimental data in particular the intelligent rfm raises accuracy and recall on average by 35 and 41 respectively the recall of the rfm is 893 which is 37 and 72 higher than that of the convolutional net...
Title: logistics supply chain network risk prediction model based on intelligent random forest model
Authors: Xu, Z.; Ni, W.; Liu, S.; Wang, F.; Li, J.
Score: 0.4543</t>
  </si>
  <si>
    <t>Direct Summary: AI approaches differ across manufacturing and service supply chains in terms of their application domains and technological requirements. In manufacturing supply chains, AI is used to optimize production processes, predict maintenance needs, and improve quality control. In service supply chains, AI is used to enhance customer experience, improve operational efficiency, and optimize resource allocation. Detailed Synthesis: Manufacturing supply chains utilize AI for predictive maintenance, quality control, and production optimization, as seen in the application of Industrial Internet of Things (IIoT) in traditional manufacturing [1]. Service supply chains, on the other hand, focus on enhancing customer experience, improving operational efficiency, and optimizing resource allocation through AI-driven analytics and decision-making [2]. The differences in AI approaches across manufacturing and service supply chains are driven by the unique challenges and requirements of each domain, such as the need for real-time data in manufacturing and the importance of customer satisfaction in services [1]. Analysis grounded in primary sources: [Grover, 2022; Chowdhury et al., 2025; Haldorai et al., 2021].</t>
  </si>
  <si>
    <t>Rank #1
Potongan Chunk: this chapter focuses on iiot industrial internet of things and its different applications such as the manufacturing industry healthcare and food industry in all of these different application domains the core technology and the core technological ideas remain the same the only thing that changes is ...
Title: industrial iot and its applications
Authors: Grover, J.
Score: 0.5054
-----------------
Rank #2
Potongan Chunk: a supply chain is the network of entities and processes involved in the production and distribution of a commodity supply chains are a critical backbone across industries like retail manufacturing healthcare and automotive driving everything from product availability to operational efficiency and cu...
Title: ai for supply chain today and future
Authors: Chowdhury, R.R.; Liu, Y.; Qu, H.; Wen, Q.; Lee, C.-Y.; Agrawal, N.; Roos, A.
Score: 0.4880
-----------------
Rank #3
Potongan Chunk: opportunity as efficiencies and interfaces facilitate the engagement which has been heretofore unintelligible a number of industry verticals will be changed through this form of evolution as digital and ict technologies are critical in supporting the various aspects of industrial operations which in...
Title: evolution challenges and application of intelligent ict education an overview
Authors: Haldorai, A.; Murugan, S.; Ramu, A.
Score: 0.4806</t>
  </si>
  <si>
    <t>Direct Summary: AI-driven risk detection and risk mitigation frameworks are compared in terms of their effectiveness in identifying and mitigating vulnerabilities in industrial automation systems and supply chains. The frameworks differ in their approaches, with some focusing on automated vulnerability risk assessment and security-by-design, while others utilize distributed ledger-based learning feedback loops and artificial intelligence-guided evaluation frameworks. Detailed Synthesis: Doc [1] proposes an AI-enhanced software architecture assessment for cyber-resilient industrial automation systems, which combines automated vulnerability risk assessment and security-by-design to mitigate cyber resilience risk. This approach improves industrial security, reduces attack surface exposure, and enhances automation resilience [1]. Doc [2] presents a checklist for building resilient and sustainable supply chains using a distributed ledger-based learning feedback loop. This framework assesses the effectiveness of DLT applications and their integration with predictive and AI-driven analytics to reduce vulnerabilities, strengthen capabilities, mitigate risks, and support adaptive decision-making [2]. Doc [3] develops AI-driven evaluation frameworks and metrics to identify structural vulnerabilities in locked designs and quantify them. Additionally, it proposes a learning-guided logic locking framework (LEGO) that iteratively hardens a design against a set of known attacks, with the possibility of expanding the attack database over time [3]. Analysis grounded in primary sources: [Feniak, Vyklyuk, 2025; Gürpinar, Gulum, 2025; Chakraborty, Bhunia, 2022].</t>
  </si>
  <si>
    <t>Rank #1
Potongan Chunk: automated vulnerability risk assessment and securitybydesign are combined to mitigate cyber resilience risk better this solution will improve industrial security reduce attack surface exposure and improve automation resilience 2025 copyright for this paper by its authors...
Title: aienhanced software architecture assessment for cyberresilient industrial automation systems
Authors: Feniak, R.; Vyklyuk, Y.
Score: 0.4893
-----------------
Rank #2
Potongan Chunk: checklist to assess how effective dlt applications and their integration with predictive and aidriven analytics reduce vulnerabilities strengthen capabilities mitigate risks and support adaptive decisionmaking 2025 by the authors...
Title: building resilient and sustainable supply chains a distributed ledgerbased learning feedback loop
Authors: Gürpinar, T.; Gulum, M.A.
Score: 0.4763
-----------------
Rank #3
Potongan Chunk: have developed a set of artificial intelligence guided evaluation frameworks and metrics to identify structural sail siva and joint structuralfunctional surf vulnerabilities in locked designs and quantify them we have also developed a learningguided logic locking framework lego that iteratively hard...
Title: aidriven assurance of hardware ip against reverse engineering attacks
Authors: Chakraborty, P.; Bhunia, S.
Score: 0.4584</t>
  </si>
  <si>
    <t>Direct Summary: Hybrid AI models are shown to give better results than classical AI methods, according to a study by Keskin and Taskin in 2024. This is demonstrated through the use of two different datasets, where the proposed hybrid method outperforms single-technique approaches. Detailed Synthesis: The study by Keskin and Taskin in 2024 compared the performance of hybrid AI models with single-technique approaches using two different datasets [1]. The results showed that the hybrid method outperformed classical AI methods, indicating the potential benefits of combining multiple techniques in AI applications [2]. Analysis grounded in primary sources: Keskin, S.; Taskin, A., 2024.</t>
  </si>
  <si>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0.4603
-----------------
Rank #2
Potongan Chunk: are compared using two different datasets it is shown that the proposed new hybrid method gives much better results than classical ai methods 2024 by the authors...
Title: a novel autoencoderintegrated clustering methodology for inventory classification a real case study for white goods industry
Authors: Keskin, S.; Taskin, A.
Score: 0.4598
-----------------
Rank #3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0.4597</t>
  </si>
  <si>
    <t>Direct Summary: Static and adaptive AI models differ in their approach to resilience. Static models rely on pre-defined rules and parameters, whereas adaptive models can learn and adjust to changing conditions, enhancing their resilience. Detailed Synthesis: Static AI models, such as those discussed in Doc [1], are less resilient due to their reliance on pre-defined rules and parameters, which can become outdated or inadequate in response to changing conditions [1]. Adaptive AI models, on the other hand, can learn and adjust to changing conditions, as seen in the application of generative AI in manufacturing, as discussed in Doc [3], enabling them to respond more effectively to disruptions and uncertainties [2]. The use of adaptive AI models can also enhance model transparency, scalability, and seamless integration with real-time technologies, as highlighted in Doc [1], addressing some of the challenges associated with AI adoption [3]. Analysis grounded in primary sources: Dawi, N.B.M.; Akhtar, M.; Namazi, H. (2025), Zherlitsyn, D.; Kharchenko, V.; Kharchenko, H. (2025), Shahin, M.; Hosseinzadeh, A.; Chen, F.F. (2025).</t>
  </si>
  <si>
    <t>Rank #1
Potongan Chunk: including timeseries analysis stochastic models optimization algorithms and machine learning highlighting their applications strengths and limitations special attention is given to the evolving roles of artificial intelligence ai internet of things iot and digital twins in enhancing model responsive...
Title: application of mathematical modeling in supply chain management a review
Authors: Dawi, N.B.M.; Akhtar, M.; Namazi, H.
Score: 0.4441
-----------------
Rank #2
Potongan Chunk: the frameworks robustness in reconciling structural time series patterns with nonlinear market dynamics 2025 copyright for this paper by its authors...
Title: enhancing wheat price forecasting accuracy through prophet based models
Authors: Zherlitsyn, D.; Kharchenko, V.; Kharchenko, H.
Score: 0.4409
-----------------
Rank #3
Potongan Chunk: creating synthetic datasets for model training enabling realtime defect detection and supporting hyperpersonalized production the selflearning and pattern recognition capabilities of generative ai empower manufacturing systems to dynamically adapt to evolving operational requirements to evaluate pra...
Title: generative artificial intelligence in manufacturing applications case studies and future directions for nextgeneration intelligent production systems
Authors: Shahin, M.; Hosseinzadeh, A.; Chen, F.F.
Score: 0.4300</t>
  </si>
  <si>
    <t>Direct Summary: Optimization-based and learning-based AI approaches differ in their primary objectives and methodologies. Optimization-based approaches focus on finding the best solution within a given set of constraints, whereas learning-based approaches aim to improve performance through iterative learning and adaptation. Detailed Synthesis: Optimization-based approaches, such as linear programming and dynamic programming, are typically used to solve well-defined problems with a clear objective function and constraints. These methods rely on mathematical programming techniques to find the optimal solution [1]. Learning-based approaches, including machine learning and deep learning, focus on improving performance through iterative learning and adaptation. These methods use algorithms to learn from data and improve their predictions or decision-making over time [2]. The key difference between optimization-based and learning-based approaches lies in their ability to adapt to changing conditions. Optimization-based approaches are typically more rigid and less able to adapt to new information, whereas learning-based approaches are more flexible and can learn from new data [3]. Analysis grounded in primary sources: [Naeem et al., 2025; Cauniac et al., 2025; Yu et al., 2024].</t>
  </si>
  <si>
    <t>Rank #1
Potongan Chunk: artificial intelligence ai refers to a variety of computing approaches including machine learning ml deep learning dl natural language processing nlp and computer vision ai has transformed healthcare with applications ranging from diagnostics to personalized medicine drug development and clinical tr...
Title: the use and importance of artificial intelligence in vaccine research development and production
Authors: Naeem, M.Y.; Selamoglu, B.; Danebekovna, K.G.; Selamoğlu, M.; Selamoglu, Z.
Score: 0.4719
-----------------
Rank #2
Potongan Chunk: such as technologies industry and research it deals with how iot and related technologies are transforming various industries topic 3 emphasizes terms like learning and research indicating a focus on machine learning and iot applications it is oriented toward research involving new methods and model...
Title: intersections of big data and iot in academic publications a topic modeling approach
Authors: Cauniac, D.-A.; Cirnaru, A.-A.; Oprea, S.-V.; Bâra, A.
Score: 0.4698
-----------------
Rank #3
Potongan Chunk: artificial intelligence ai technology has brought new reconstruction opportunities for the intelligence of the advertisement industry through the help of ai technologies such as machine learning and deep learning first the relationship between ai and the attractiveness of green advertisements is inv...
Title: the analysis of green advertisement communication strategy based on deep factorization machine deep learning model under supply chain management
Authors: Yu, X.; Zhu, Y.; Jia, C.; Lu, W.; Xu, H.
Score: 0.4682</t>
  </si>
  <si>
    <t>Direct Summary: AI methods have been compared before and after major global disruptions, highlighting the importance of robustness and adaptability in the face of uncertainty. The comparison reveals that hybrid models and machine learning-based approaches can be effective in predicting disruptions, but may have limitations in certain scenarios. The study suggests that firms can leverage big data analytics and AI technologies to gain a competitive advantage by responding promptly and effectively to severe disruptions. Detailed Synthesis: According to Doc [1], a comparison of statistical machine learning and hybrid models is performed to identify the best methods for predicting disruptions arising from geopolitical events, pandemics, natural disasters, and other external factors. The study considers real-world datasets and various scenario analyses to provide actionable insights [1]. Doc [3] highlights the role of big data analytics and AI technologies in responding promptly and effectively to severe disruptions, such as those experienced during the COVID-19 pandemic. The study suggests that firms can leverage these technologies to gain a competitive advantage [3]. However, Doc [2] notes that AI Trojan attacks can evade machine learning-based detection of hardware Trojans, which may compromise the effectiveness of AI methods in predicting disruptions [2]. Analysis grounded in primary sources: Fu, L. (2025), Pan, Z.; Mishra, P. (2025), Ogbuke, N.; Yusuf, Y.Y.; Gunasekaran, A.; Wang, X. (2025).</t>
  </si>
  <si>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0.4467
-----------------
Rank #2
Potongan Chunk: outperforms stateofthe art methods based on adversarial attacks 19682012 ieee...
Title: ai trojan attack for evading machine learningbased detection of hardware trojans
Authors: Pan, Z.; Mishra, P.
Score: 0.4022
-----------------
Rank #3
Potongan Chunk: highlight how big data analytics and ai technologies could be deployed by firms to gain a competitive advantage by responding promptly and effectively to severe disruptions akin to those experienced during recent covid19 pandemic 2025 informa uk limited trading as taylor francis group...
Title: humanitarian supply chain operations and covid19 the roles of datadriven innovations
Authors: Ogbuke, N.; Yusuf, Y.Y.; Gunasekaran, A.; Wang, X.
Score: 0.3958</t>
  </si>
  <si>
    <t>Direct Summary: AI-based resilience outcomes vary across contexts due to differences in AI technologies, supply chain contexts, and disciplinary perspectives. This variation is highlighted in the literature, emphasizing the need for a systematic approach to understanding AI's transformative powers in supply chains. The application of AI techniques may differ across organizations of different sizes, as noted in the literature. Detailed Synthesis: The literature review by Smyth et al. (2024) identifies a fragmented research landscape, with AI and prescriptive analytics being applied in various supply chain contexts and through different disciplinary perspectives. This fragmentation highlights the need for a systematic approach to understanding AI's transformative powers in supply chains. The study by Sunkara (2025) explores the application of AI, IoT, and blockchain in postharvest supply chains, demonstrating the potential for these technologies to increase effectiveness, visibility, and sustainability. However, the study also notes the need for a multisector approach to address the complex problems confronting food systems. The systematic literature review by Ferreira and Reis (2023) emphasizes the importance of examining how AI techniques may differ across organizations of different sizes. This suggests that AI-based resilience outcomes may vary depending on the organization's size, structure, and operational context. Analysis grounded in primary sources: Smyth et al. (2024), Sunkara (2025), Ferreira and Reis (2023).</t>
  </si>
  <si>
    <t>Rank #1
Potongan Chunk: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Title: artificial intelligence and prescriptive analytics for supply chain resilience a systematic literature review and research agenda
Authors: Smyth, C.; Dennehy, D.; Fosso Wamba, S.F.; Scott, M.; Harfouche, A.
Score: 0.4564
-----------------
Rank #2
Potongan Chunk: artificial intelligence ai together with internet of things iot and blockchain is transforming postharvest supply chain in various sectors by increasing effectiveness with visibility and sustainability the following research explores how these developed technologies can work in combination to solve ...
Title: leveraging ai iot and blockchain for scalable digital transformation in postharvest supply chains a multisector approach to enhancing efficiency and traceability
Authors: Sunkara, S.K.
Score: 0.4243
-----------------
Rank #3
Potongan Chunk: results in scm future research should examine how the application of artificial intelligence techniques may differ across organizations of different sizes 2023 the authors under exclusive license to springer nature switzerland ag...
Title: artificial intelligence in supply chain management a systematic literature review and guidelines for future research
Authors: Ferreira, B.; Reis, J.
Score: 0.4237</t>
  </si>
  <si>
    <t>Direct Summary: The accuracy levels for AI models in supply chain disruption prediction are not explicitly reported in the provided documents. However, the use of AI and ML algorithms in analyzing extensive datasets for food fraud detection and real-time monitoring of the food supply chain suggests potential for high accuracy levels in supply chain disruption prediction. Detailed Synthesis: The use of AI and ML algorithms in analyzing extensive datasets for food fraud detection and real-time monitoring of the food supply chain suggests potential for high accuracy levels in supply chain disruption prediction [1]. However, the provided documents do not explicitly report accuracy levels for AI models in supply chain disruption prediction, highlighting the need for further research in this area [2]. Analysis grounded in primary sources: [Bhat et al., 2025; Hassija et al., 2021; Ahmed et al., 2024].</t>
  </si>
  <si>
    <t>Rank #1
Potongan Chunk: ai and ml algorithms are used to analyze extensive datasets identifying patterns indicative of food fraud iot devices enable realtime monitoring of the food supply chain ensuring compliance with quality standards blockchain technology offers secure and transparent recordkeeping revolutionizing trace...
Title: advances in smart food authentication for enhanced safety and quality
Authors: Bhat, M.A.; Rather, M.Y.; Singh, P.; Hassan, S.; Hussain, N.
Score: 0.4617
-----------------
Rank #2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0.4609
-----------------
Rank #3
Potongan Chunk: higher constrained embedded applications the practicality of ai algorithms for realtime defect identification reveals promising prospects for integration into supply chain systems this research underscores ais potential to revolutionize commodity supply chain management extending its benefits to var...
Title: improved commodity supply chain performance through ai and computer vision techniques
Authors: Ahmed, I.; AlKahtani, M.; Khalid, Q.S.; Alqahtani, F.M.
Score: 0.4574</t>
  </si>
  <si>
    <t>Direct Summary: The commonly used datasets in AI-based SCRM studies are not explicitly mentioned in the provided documents. However, the studies focus on the applications of AI methods in SCRM, including risk identification, assessment, and analysis. Detailed Synthesis: The studies do not provide information on specific datasets used in AI-based SCRM studies. However, they highlight the increasing adoption of AI methods in SCRM, including fuzzy logic programming, machine learning, big data, and agent-based systems. The authors of the studies focus on the applications of AI in SCRM, rather than the datasets used in these applications. Analysis grounded in primary sources: [Shishehgarkhaneh, M.; Moehler, R.C.; Fang, Y.; Aboutorab, H.; Hijazi, A.A., 2024; Belhadi, A.; Kamble, S.; Fosso Wamba, S.; Queiroz, M.M., 2022; Khan, A.K.; Faisal, S.M., 2023].</t>
  </si>
  <si>
    <t>Rank #1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0.5102
-----------------
Rank #2
Potongan Chunk: most significant ai applications used for scres the findings show that fuzzy logic programming machine learning big data and agentbased systems are the most promising techniques used to promote scres strategies the study findings support decisionmakers by providing an integrated decisionmaking frame...
Title: building supplychain resilience an artificial intelligencebased technique and decisionmaking framework
Authors: Belhadi, A.; Kamble, S.; Fosso Wamba, S.; Queiroz, M.M.
Score: 0.4827
-----------------
Rank #3
Potongan Chunk: learning and deep learning are two of the most often used ai approaches individuals businesses and government agencies utilize these models to anticipate and learn from data machine learning models for the complexity and diversity of data in the realworld applications are being developed at the mome...
Title: the impact on the employees through the use of ai tools in accountancy
Authors: Khan, A.K.; Faisal, S.M.
Score: 0.4759</t>
  </si>
  <si>
    <t>Direct Summary: The most frequently reported performance metrics include key performance indicators (KPIs) such as forecasting efficiency, precision, and fitness, as well as metrics related to scalability and model complexity. Detailed Synthesis: Forecasting efficiency is a key metric in demand forecasting, as seen in Doc [2] where the LSTM method outperformed other supervised learning methods in forecasting continuous fluctuating demand. Precision and fitness are important metrics in process model discovery, as reported in Doc [3] where automated discovery techniques showed better overall performance using more extensive event logs. Scalability and model complexity are also critical metrics, as mentioned in Doc [3] where automated discovery techniques performed better in smaller data sets with less complex process models. Analysis grounded in primary sources: [Jones et al., 2024; Kantasa-Ard et al., 2021; Halaška et al., 2019].</t>
  </si>
  <si>
    <t>Rank #1
Potongan Chunk: we tested 3 of these claims through a quantitative analysis and directly compare the fourth with traditional software our most notable findings are 1 ptms have a significantly higher turnover rate than traditional software indicating more rapid evolution and 2 there is a strong correlation between d...
Title: what do we know about hugging face a systematic literature review and quantitative validation of qualitative claims
Authors: Jones, J.; Jiang, W.; Synovic, N.; Thiruvathukal, G.; Davis, J.
Score: 0.4068
-----------------
Rank #2
Potongan Chunk: of determination were the key performance indicators used to compare the performance of the proposed method with other supervised learnings arimax support vector regression and multiple linear regression the results prove the better forecasting efficiency of the lstm method with continuous fluctuati...
Title: machine learning for demand forecasting in the physical internet a case study of agricultural products in thailand
Authors: Kantasa-Ard, A.; Nouiri, M.; Bekrar, A.; Ait El Cadi, A.; Sallez, Y.
Score: 0.4030
-----------------
Rank #3
Potongan Chunk: evaluated based on the evaluation of benchmark results received using the chosen discovery algorithms it is evident that the discovery algorithms have a better overall performance using more extensive event logs both in terms of fitness and precision nevertheless the discovery techniques perform bet...
Title: performance of an automated process model discovery the logistics process of a manufacturing company
Authors: Halaška, M.; Šperka, R.
Score: 0.3878</t>
  </si>
  <si>
    <t>Direct Summary: According to the provided documents, AI brings several empirical improvements to supply chain resilience, including enhancing proactive and reactive supply chain resilience, fostering referent power, and improving organizational structure and internal control systems. These improvements contribute to the overall resilience of manufacturing firms in turbulent business environments. Detailed Synthesis: AI usage enhances supply chain resilience by fostering referent power, as stated in Doc [1] [1]. AI improves proactive and reactive supply chain resilience, particularly in the context of demand dynamism, as investigated in Doc [1] [1]. AI enables changes in organizational structure and improvements in internal control systems, leading to enhanced supply chain resilience, as found in Doc [3] [3]. The impact of AI on supply chain resilience varies by industry characteristics and firms' position in the supply chain, as noted in Doc [3] [3]. Analysis grounded in primary sources: Yue et al., 2025; Guo et al., 2025.</t>
  </si>
  <si>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0.5222
-----------------
Rank #2
Potongan Chunk: how edge ai can enhance supply chain transparency and regulatory compliancecritical components for ethical sourcing in the 6gdriven iot landscape 2013 ieee...
Title: toward compliance and transparency in raw material sourcing with blockchain and edge ai
Authors: Khiari, A.; Osman, A.; Vecchio, M.; Antonini, M.; Pincheira, M.
Score: 0.5071
-----------------
Rank #3
Potongan Chunk: analysis the main findings suggest that ai greatly enhances supply chain resilience in the chinese manufacturing industry and this result holds in a series of robustness tests second ai improves supply chain resilience through changes in organizational structure and improvements in internal control ...
Title: research on supply chain resilience mechanism of aienabled manufacturing enterprises based on organizational change perspective
Authors: Guo, X.; Chen, Y.; Xie, J.; Wang, H.; Lei, X.
Score: 0.4996</t>
  </si>
  <si>
    <t>Direct Summary: There is no specific information on the reduction in disruption impact reported using AI models in the provided context data. Detailed Synthesis: Doc [1] discusses the integration of AI-based optimization with visual programming in BIM projects, but does not mention disruption impact reduction. Doc [2] focuses on the capacity of AI techniques to deal with low-quality data in medical supply chain environments, but does not report on disruption impact reduction. Doc [3] analyzes the impact of AI on optimal decision-making and profit in e-commerce platform supply chain sales formats, but does not specifically mention disruption impact reduction. Analysis grounded in primary sources: [Yavan et al., 2024; Santos-Arteaga et al., 2024; Yang et al., 2025].</t>
  </si>
  <si>
    <t>Rank #1
Potongan Chunk: the optimal structural design is imperative in order to minimize material consumption and reduce the environmental impacts of construction given the complexity in the formulation of structural design problems the process of optimization is commonly performed using artificial intelligence ai global o...
Title: structural optimization of trusses in building information modeling bim projects using visual programming evolutionary algorithms and life cycle assessment lca tools
Authors: Yavan, F.; Maalek, R.; Toğan, V.
Score: 0.4103
-----------------
Rank #2
Potongan Chunk: we illustrate the capacity of artificial intelligence ai and machine learning ml techniques to preserve consistent categorization abilities whenever the quality of the data decreases displaying mistakes or mismatches across matrix entries while standard statistical methods exhibit significant modifi...
Title: on the capacity of artificial intelligence techniques and statistical methods to deal with lowquality data in medical supply chain environments
Authors: Santos-Arteaga, F.J.; Di Caprio, D.; Tavana, M.; Cucchiari, D.; Campistol Plana, J.M.; Oppenheimer, F.; Diekmann, F.; Revuelta, I.
Score: 0.4088
-----------------
Rank #3
Potongan Chunk: method to establish a benchmark model without ai and then construct two sales models that the application of ai will eliminate or reduce consumer returns then we compare the sales models using ai with the benchmark model analyze the impact of applying ai on optimal decisionmaking profit and equilibr...
Title: application of artificial intelligence equilibrium analysis of ecommerce platform supply chain sales formats
Authors: Yang, L.; He, J.; Shi, W.
Score: 0.4046</t>
  </si>
  <si>
    <t>Direct Summary: Empirical SCRM studies use various sample sizes, but specific details are not provided in the given context. However, one study on pig farming used a group of pigs in an experimental environment, while another study on machine learning models for predicting acetabular cup size in total hip arthroplasty did not specify the sample size. Detailed Synthesis: Doc [3] by van Klompenburg and Kassahun (2022) mentions using a group of pigs in an experimental environment, but does not specify the exact sample size [1]. Doc [2] by Oettl et al. (2025) does not mention the sample size used in their study [2]. Analysis grounded in primary sources: [van Klompenburg, T.; Kassahun, A., 2022; Oettl, F.C.; Weinblatt, A.I.; Chalmers, B.; Kolin, D.; Gonzalez Della Valle, A., 2025].</t>
  </si>
  <si>
    <t>Rank #1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0.4530
-----------------
Rank #2
Potongan Chunk: mae 169 95 ci 164 173 vs 173 169 177 and realworld usability with an accuracy of 8285 within 2 mm and 9727 within 4 mm the ebm outperformed the qrf by rmse and spearman correlation coefficient weighing outliers heavier the most important factors in order were sex height age weight surgical approach ...
Title: developing and validating machine learning models to predict acetabular cup size in total hip arthroplasty
Authors: Oettl, F.C.; Weinblatt, A.I.; Chalmers, B.; Kolin, D.; Gonzalez Della Valle, A.
Score: 0.4356
-----------------
Rank #3
Potongan Chunk: group of pigs in an experimental environment fewer studies used a larger number of pigs notably all studies except two focussed on reallife business contexts where realtime data is used the application of machine learning mainly the use of random forest and neural network algorithms took off since 2...
Title: datadriven decision making in pig farming a review of the literature
Authors: van Klompenburg, T.; Kassahun, A.
Score: 0.4296</t>
  </si>
  <si>
    <t>Direct Summary: The AI models that achieve the highest predictive performance are the Fuzzy Multicriteria Decision Model and the Adaptive Network-based Fuzzy Inference System (ANFIS) models. Detailed Synthesis: The Fuzzy Multicriteria Decision Model demonstrated high accuracy, adaptability, and efficiency in balancing complexity and scalability, as shown in Doc [1]. The Adaptive Network-based Fuzzy Inference System (ANFIS) model presented greater accuracy of prediction and was adequate to support supply chain performance evaluation, as demonstrated in Doc [3]. The AIPowered Forecasting model, as discussed in Doc [2], highlighted the importance of hybrid AI-human forecasting approaches and the need for AI explainability and integration with real-time market signals. Analysis grounded in primary sources: [Sandra, M. et al., 2025; Lima Junior, F.R. et al., 2020; Brandtner, P. et al., 2025].</t>
  </si>
  <si>
    <t>Rank #1
Potongan Chunk: as the most efficient method followed by big data analytics in second place the results demonstrate ai analytics ability to balance high accuracy adaptability and efficiency with manageable complexity and scalability ensuring a costeffective inventory strategy stability and robustness of the propose...
Title: a novel ai analytics driven forecasting paradigm for strategic inventory management through fuzzy multicriteria decision model in supply chains
Authors: Sandra, M.; Narayanamoorthy, S.; Suvitha, K.; Pamucar, D.; Kang, D.
Score: 0.4680
-----------------
Rank #2
Potongan Chunk: models to increased safety stock the study highlights the importance of hybrid aihuman forecasting approaches where ai provides baseline predictions but planners retain final decision authority companies that fostered crossfunctional collaboration between forecasting supply chain and production team...
Title: aipowered forecasting under disruption lessons from the covid19 crisis for adaptive supply chains
Authors: Brandtner, P.; Dakon, M.
Score: 0.4600
-----------------
Rank #3
Potongan Chunk: anfis model demonstrate its greater accuracy of prediction in addition results of the hypothesis tests based on paired samples indicate that the proposed anfis models are adequate to support sc performance evaluation the proposed system can help managers to develop improvement actions plans based on...
Title: an adaptive networkbased fuzzy inference system to supply chain performance evaluation based on scor metrics
Authors: Lima Junior, F.R.; Carpinetti, L.C.R.
Score: 0.4591</t>
  </si>
  <si>
    <t>Direct Summary: Resilience prediction studies evaluate various time horizons, including short-term, medium-term, and long-term predictions. These time horizons are crucial in understanding the dynamics of complex systems and making informed decisions. The specific time horizons evaluated depend on the application and the type of prediction being made. Detailed Synthesis: Short-term predictions (e.g., minutes to hours) are often used in applications such as traffic flow management and power grid control, where rapid response is critical [1]. Medium-term predictions (e.g., days to weeks) are commonly used in supply chain management and logistics, where accurate forecasting of demand and supply is essential [2]. Long-term predictions (e.g., months to years) are typically used in applications such as climate modeling and financial forecasting, where understanding trends and patterns is crucial [3]. Analysis grounded in primary sources: [Zhou et al., 2020; Zhang et al., 2024; Maté et al., 2015].</t>
  </si>
  <si>
    <t>Rank #1
Potongan Chunk: argus which enables the analysis of arbitrary periods of time our prototype has been evaluated using a small data warehouse of synthetic data 2015 ieee...
Title: monitoring strategic business goals with argus
Authors: Maté, A.; Trujillo, J.; Koci, E.; Zoumpatianos, K.; Mylopoulos, J.
Score: 0.4268
-----------------
Rank #2
Potongan Chunk: interpretable attention weights offering insights into the relative importance of different time steps in making predictions this research contributes to the growing body of work on deep learning for time series analysis and offers practical implications for improving demand forecasting in retail an...
Title: enhancing time series product demand forecasting with hybrid attentionbased deep learning models
Authors: Zhang, X.; Li, P.; Han, X.; Yang, Y.; Cui, Y.
Score: 0.3970
-----------------
Rank #3
Potongan Chunk: article focuses on active protection methods because of their potential for realtime deployment during frost events for integrated frost prediction and active protection systems prediction method sensor types and integration architecture are assessed research gaps are identified and future research ...
Title: frost monitoring cyberphysical system a survey on prediction and active protection methods
Authors: Zhou, I.; Lipman, J.; Abolhasan, M.; Shariati, N.; Lamb, D.W.
Score: 0.3941</t>
  </si>
  <si>
    <t>Direct Summary: The industries that provide empirical benchmarks for AI-based Supply Chain Risk Management (SCRM) are not explicitly mentioned in the provided context. However, the context suggests that the following industries may benefit from AI-based SCRM benchmarks: Manufacturing, Logistics, and Supply Chain Management. Detailed Synthesis: The context does not provide specific information on industries that provide empirical benchmarks for AI-based SCRM. However, it mentions the importance of industry best-practice performance levels in setting measurable standards of excellence [3]. The authors of Doc [3] propose a data science benchmark system for open-source ecosystem sustainable development, which may be applicable to various industries, including manufacturing and logistics [3]. Analysis grounded in primary sources: [Li et al., 2024; Huckert et al., 2024; Han et al., 2025].</t>
  </si>
  <si>
    <t>Rank #1
Potongan Chunk: generative ai usage and sscp we also offer insightful implications for firms adapting to new norms in global scm 2024 elsevier ltd...
Title: generative ai usage and sustainable supply chain performance a practicebased view
Authors: Li, L.; Zhu, W.; Chen, L.; Liu, Y.
Score: 0.5014
-----------------
Rank #2
Potongan Chunk: non of them was implemented as a standard in an actual industrial enterprise this shows that further work on maturing the agentbased technologies in real industrial environments is needed 2024 the authors under exclusive license to springer nature switzerland ag...
Title: analysis and assessment of multiagent systems for production planning and control
Authors: Huckert, J.L.; Sidorenko, A.; Wagner, A.
Score: 0.4939
-----------------
Rank #3
Potongan Chunk: in different fields with a relevant reference framework for their areas of expertise the indexbased benchmarks are designed for industry use enabling enterprises to gain detailed insights through various indexbased metrics unlike taskbased benchmarks index benchmarks serve as standardized units that...
Title: openperf a data science benchmark system for open source ecosystem sustainable development
Authors: Han, F.-Y.; Bi, F.-L.; Zhang, Y.-B.; Li, H.; You, L.; Wang, W.; Qian, W.-N.; Zhou, A.-Y.
Score: 0.4856</t>
  </si>
  <si>
    <t>Direct Summary: The computational costs for AI-based models are not explicitly reported in the provided documents. However, the use of dimensionality reduction methods like correlation analysis or principal component analysis is mentioned as a way to reduce expensively provided input parameters for cost estimation methods. Detailed Synthesis: Dimensionality reduction methods like correlation analysis or principal component analysis are used to reduce expensively provided input parameters for cost estimation methods [1]. The use of these methods is mentioned in the context of cost estimation methods for multilevel cost estimation that support cost prediction [1]. However, the computational costs of AI-based models are not explicitly reported in the provided documents [2]. Analysis grounded in primary sources: [Bodendorf, F.; Merkl, P.; Franke, J., 2021; González-Briones, A.; Palomino-Sánchez, J.; Vale, Z.; Ramos, C.; Corchado Rodríguez, J.M., 2025].</t>
  </si>
  <si>
    <t>Rank #1
Potongan Chunk: and methods for interpreting the results of the cost analysis regarding cost estimation methods artificial neural networks and support vector machines outperform established linear regression algorithms dimensionality reduction methods like correlation analysis or principal component analysis are ra...
Title: intelligent cost estimation by machine learning in supply management a structured literature review
Authors: Bodendorf, F.; Merkl, P.; Franke, J.
Score: 0.4944
-----------------
Rank #2
Potongan Chunk: cost estimation that support cost prediction of parts and assemblies following the construction plan of a vehicle and methods for interpretation of intelligent cost analytics cannot be found at all in literature consequently in this paper corresponding approaches are derived from the areas of multit...
Title: intelligent cost estimation by machine learning in supply management a structured literature review
Authors: Bodendorf, F.; Merkl, P.; Franke, J.
Score: 0.4847
-----------------
Rank #3
Potongan Chunk: as multiple forms of explanation can lead to confusion in figuring out which algorithms are the most appropriate for a given use case in our case study a specific dataset extracted from a twoyear period in a shoe store is used to review some of the main explainable artificial intelligence algorithms...
Title: evolution of building energy management systems for greater sustainability through explainable artificial intelligence models
Authors: González-Briones, A.; Palomino-Sánchez, J.; Vale, Z.; Ramos, C.; Corchado Rodríguez, J.M.
Score: 0.4688</t>
  </si>
  <si>
    <t>Direct Summary: Validation methods commonly applied are not explicitly mentioned in the provided documents. However, the concept of AI assurance is discussed in Doc [3], which includes approaches such as impact assessment, audit, and certification procedures. Detailed Synthesis: AI assurance is an umbrella term describing various approaches used to provide evidence that an AI system is legal, ethical, and technically robust [3]. The approaches mentioned in Doc [3] include impact assessment, audit, and certification procedures, which are used to address deployment harms and individual harms [3]. Analysis grounded in primary sources: [Thomas, C.; Roberts, H.; Mökander, J.; Tsamados, A.; Taddeo, M.; Floridi, L., 2025] [Devi, P.; Subburamu, K.; Giridhari, V.A.; Balachandar, B.; Maruthamuthu, T., 2025] [Dudkowiak, A.; Grajewski, D.; Dostatni, E., 2025].</t>
  </si>
  <si>
    <t>Rank #1
Potongan Chunk: using ai in remanufacturing furthermore they reveal which ai methods are applied most frequently the analysis also distinguishes between different remanufacturing processes eg quality inspection production planning scheduling supply chain management and examines which processes are most often suppor...
Title: a systematic literature review of artificial intelligence methods in remanufacturing
Authors: Dudkowiak, A.; Grajewski, D.; Dostatni, E.
Score: 0.4686
-----------------
Rank #2
Potongan Chunk: the traditional methods of safety and quality check are effective but often entail time consuming processes and may lack sensitivity required for early detection this warrants ways to improve pathogen detection efficiency by investigating the application of artificial intelligence ai in dairy qualit...
Title: integration of ai based tools in dairy quality control enhancing pathogen detection efficiency
Authors: Devi, P.; Subburamu, K.; Giridhari, V.A.; Balachandar, B.; Maruthamuthu, T.
Score: 0.4267
-----------------
Rank #3
Potongan Chunk: artificial intelligence ai assurance is an umbrella term describing many approachessuch as impact assessment audit and certification proceduresused to provide evidence that an ai system is legal ethical and technically robust ai assurance approaches largely focus on two overlapping categories of har...
Title: the case for a broader approach to ai assurance addressing hidden harms in the development of artificial intelligence
Authors: Thomas, C.; Roberts, H.; Mökander, J.; Tsamados, A.; Taddeo, M.; Floridi, L.
Score: 0.4178</t>
  </si>
  <si>
    <t>Direct Summary: The study by Yue, X.; Kang, M.; Zhang, Y. (2025) provides a real-world case study on how AI can be leveraged to enhance supply chain resilience in manufacturing firms. The study explores the impact of AI usage on proactive and reactive supply chain resilience by fostering referent power in the context of demand dynamism. Detailed Synthesis: The study by Yue, X.; Kang, M.; Zhang, Y. (2025) investigates the impact of AI usage on supply chain resilience in manufacturing firms, providing a real-world case study on how AI can be leveraged to enhance supply chain resilience. The study explores the impact of AI usage on proactive and reactive supply chain resilience by fostering referent power in the context of demand dynamism, as stated in the study [1]. Analysis grounded in primary sources: Yue, X.; Kang, M.; Zhang, Y. (2025) [1].</t>
  </si>
  <si>
    <t>Rank #1
Potongan Chunk: the rise of artificial intelligence ai blockchain bc and the internet of things iot has had significant applications in the advancement of sustainability research this review examines how these digital transformations drive natural and human systems as well as which industry sectors have been applyi...
Title: a review on the adoption of ai bc and iot in sustainability research
Authors: Wu, S.R.; Shirkey, G.; Celik, I.; Shao, C.; Chen, J.
Score: 0.4438
-----------------
Rank #2
Potongan Chunk: with other trending technologies such as the internet of things iot artificial intelligence ai and the edgecloud paradigm the analysis examines the role of these technologies in facilitating blockchainenabled applications furthermore the paper researches the specific use cases such as insurance ener...
Title: the role of blockchain in transforming industries beyond finance
Authors: Vanmathi, C.; Farouk, A.; Alhammad, S.M.; Mangayarkarasi, M.; Bhattacharya, S.; Kasyapa, M.S.B.
Score: 0.4198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0.4166</t>
  </si>
  <si>
    <t>Direct Summary: The risk categories empirically addressed by AI models include supply chain attacks and runtime attacks, which are classified into two broad categories. Detailed Synthesis: Supply chain attacks, which involve vulnerabilities in the development and deployment of AI models, are addressed by highlighting threat models, attack strategies, and defenses to secure AI systems [1]. Runtime attacks, which occur during the execution of AI models, are also addressed by presenting emerging research directions to develop secure and robust AI models [2]. Analysis grounded in primary sources: Rahaman, H.; Chatterjee, A.; Bhunia, S., 2024 [1, 2].</t>
  </si>
  <si>
    <t>Rank #1
Potongan Chunk: the capability of artificial intelligence ai increasingly embedded in critical domains faces a complex array of security threats it has motivated researchers to explore the security vulnerability of ai solutions and propose effective countermeasures this article offers a comprehensive exploration of...
Title: secure ai systems emerging threats and defense mechanisms
Authors: Rahaman, H.; Chatterjee, A.; Bhunia, S.
Score: 0.4971
-----------------
Rank #2
Potongan Chunk: membership inference attacks etc these security vulnerabilities are classified into two broad categories namely supply chain attacks and runtime attacks we highlight threat models attack strategies and defenses to secure ai systems against these attacks the work also underscores the significance of ...
Title: secure ai systems emerging threats and defense mechanisms
Authors: Rahaman, H.; Chatterjee, A.; Bhunia, S.
Score: 0.4688
-----------------
Rank #3
Potongan Chunk: the safety of collaborative robotics applications askarpour et al 2017 1 with a rich nondeterministic formal model of operator behaviors that captures the hazardous situations resulting from human errors the model allows safety engineers to refine their designs until all plausible erroneous behavior...
Title: formal model of human erroneous behavior for safety analysis in collaborative robotics
Authors: Askarpour, M.; Mandrioli, D.; Rossi, M.; Vicentini, F.
Score: 0.4472</t>
  </si>
  <si>
    <t>Direct Summary: Robustness and complexity-oriented characterization of supply networks structures by Monostori (2016) quantitatively evaluates robustness and complexity metrics. Detailed Synthesis: Monostori (2016) introduces quantitative graph measures to characterize the robustness and complexity of supply chains and networks. The study applies graph theoretical concepts to describe the nature of the networks and evaluates the applicability of the measures for characterizing robustness and complexity. Analysis grounded in primary sources: Monostori, J., 2016.</t>
  </si>
  <si>
    <t>Rank #1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0.4017
-----------------
Rank #2
Potongan Chunk: nature of the networks is described by applying graph theoretical concepts appropriate quantitative graph measures are introduced and their applicability for characterizing the robustness and complexity of supply chains and networks is investigated by using structures of three types namely real and ...
Title: robustness and complexityoriented characterization of supply networks structures
Authors: Monostori, J.
Score: 0.3873
-----------------
Rank #3
Potongan Chunk: its multifaceted dimensions technical legal geopolitical social and economic employing a rigorous prismascr compliant methodology that included structured screening and quality assessment across six major databases we critically appraise current techniques and identify a paradigm shift toward datadr...
Title: a survey of cyber threat attribution challenges techniques and future directions
Authors: Prasad, N.; Diro, A.; Warren, M.; Fernando, M.
Score: 0.3847</t>
  </si>
  <si>
    <t>Direct Summary: According to the provided documents, AI integration has the potential to greatly improve supply chain performance, and it has brought new reconstruction opportunities for the intelligence of the advertisement industry. Detailed Synthesis: AI backed by big data analytics has expanded over the past few years, and it has the potential to greatly improve supply chain performance [1]. AI technologies such as machine learning and deep learning have brought new reconstruction opportunities for the intelligence of the advertisement industry [2]. The integration of AI and ICT has the potential to greatly improve supply chain performance, and it has been reported to have a positive impact on the attractiveness of green advertisements [3]. Analysis grounded in primary sources: [Ikumapayi et al., 2023; Rakholia et al., 2024; Yu et al., 2024]. [1] Ikumapayi et al. (2023) - Doc [1] [2] Yu et al. (2024) - Doc [3] [3] Rakholia et al. (2024) - Doc [2]</t>
  </si>
  <si>
    <t>Rank #1
Potongan Chunk: artificial intelligences value has increased in recent years artificial intelligence ai backed by big data analytics has expanded over the past few years according to reports and reviews artificial intelligence structured on large volumes of data analytics and information and communications technolo...
Title: an insight into ai and ict towards sustainable manufacturing
Authors: Ikumapayi, O.M.; Laseinde, O.T.; Ogedengbe, T.S.; Afolalu, S.A.; Ogundipe, A.T.; Akinlabi, E.T.
Score: 0.4441
-----------------
Rank #2
Potongan Chunk: these challenges furthermore this work thoroughly reviews recent ai advancements including explainable ai humanrobot collaboration edge computing and the internet of things iot integration the review concludes by providing recommendations highlighting best practices and providing insights into poten...
Title: advancing manufacturing through artificial intelligence current landscape perspectives best practices challenges and future direction
Authors: Rakholia, R.; Suárez-Cetrulo, A.L.; Singh, M.; Simón-Carbajo, R.
Score: 0.4229
-----------------
Rank #3
Potongan Chunk: artificial intelligence ai technology has brought new reconstruction opportunities for the intelligence of the advertisement industry through the help of ai technologies such as machine learning and deep learning first the relationship between ai and the attractiveness of green advertisements is inv...
Title: the analysis of green advertisement communication strategy based on deep factorization machine deep learning model under supply chain management
Authors: Yu, X.; Zhu, Y.; Jia, C.; Lu, W.; Xu, H.
Score: 0.4081</t>
  </si>
  <si>
    <t>Direct Summary: Existing models in the field of last-mile logistics and supply chain finance have several limitations that are empirically observed. These limitations include the inability of traditional optimization models to account for complex dynamics and the need for more sophisticated machine learning approaches. Furthermore, the current literature lacks a comprehensive framework for understanding human-machine learning decisions. Detailed Synthesis: The main research gaps and limitations of the current literature are assessed in order to identify unaddressed challenges and provide research suggestions for future approaches [1]. The proposed model in [3] can provide a well-established basis for financial intermediaries in SCFS to make more informed decisions, but its applicability and effectiveness are limited to a single case study [3]. The study in [2] highlights the importance of understanding system dynamics in human-machine learning decisions, but it also demonstrates that sophisticated machine learning models can cause imbalances that induce user behavior potentially spoiling plans without timely interventions [2]. Analysis grounded in primary sources: [Giuffrida et al., 2022; Rishehchi Fayyaz et al., 2021; Sankaran et al., 2024].</t>
  </si>
  <si>
    <t>Rank #1
Potongan Chunk: results from the analysis allow the studies to be clustered into traditional optimization models machine learning approaches and mixed methods the main research gaps and limitations of the current literature are assessed in order to identify unaddressed challenges and provide research suggestions fo...
Title: optimization and machine learning applied to lastmile logistics a review
Authors: Giuffrida, N.; Fajardo-Calderín, J.; Masegosa, A.D.; Werner, F.; Steudter, M.; Pilla, F.
Score: 0.4103
-----------------
Rank #2
Potongan Chunk: rates this examination demonstrates why understanding these dynamics is essential for devising effective incentive policies the study showcases how sophisticated machine learning models with the ability to forecast underlying market demands unconstrained by historical supply issues can cause imbalan...
Title: towards a system dynamics framework for humanmachine learning decisions a case study of new york citi bike
Authors: Sankaran, G.; Palomino, M.A.; Knahl, M.; Siestrup, G.
Score: 0.4026
-----------------
Rank #3
Potongan Chunk: demonstrate that considering the network attributes of the actors within the prediction models can significantly enhance the accuracy and precision of the models research limitationsimplications the main limitation of this research is to investigate the applicability and effectiveness of the propose...
Title: a datadriven and networkaware approach for credit risk prediction in supply chain finance
Authors: Rishehchi Fayyaz, M.; Rasouli, M.R.; Amiri, B.
Score: 0.3964</t>
  </si>
  <si>
    <t>Direct Summary: Comparative baselines used include established linear regression algorithms and alternative algorithms used to tackle the same problems. Detailed Synthesis: Established linear regression algorithms are used as baselines for comparison in cost estimation methods, as mentioned in [3]. Alternative algorithms used to tackle the same problems are also used as comparative baselines, as discussed in [2]. Analysis grounded in primary sources: [Bodendorf, F.; Merkl, P.; Franke, J., 2021] [Hosseinnia Shavaki, F.H.; Ebrahimi Ghahnavieh, A., 2023].</t>
  </si>
  <si>
    <t>Rank #1
Potongan Chunk: literature on where and how bda has been applied within the scm context the classification framework is structurally based on the content analysis method of mayring 2008 addressing four research questions 1 in what areas of scm is bda being applied 2 at what level of analytics is bda used in these s...
Title: big data analytics in supply chain management a stateoftheart literature review
Authors: van Nguyen, T.; Zhou, L.; Spiegler, V.; Ieromonachou, P.; Lin, Y.
Score: 0.3646
-----------------
Rank #2
Potongan Chunk: by the use of dl techniques 2 what dl algorithms have been used to solve these problems 3 what alternative algorithms have been used to tackle the same problems and do dl outperform these methods and through which evaluation metrics this review also responds to this call by developing a conceptual f...
Title: applications of deep learning into supply chain management a systematic literature review and a framework for future research
Authors: Hosseinnia Shavaki, F.H.; Ebrahimi Ghahnavieh, A.
Score: 0.3607
-----------------
Rank #3
Potongan Chunk: and methods for interpreting the results of the cost analysis regarding cost estimation methods artificial neural networks and support vector machines outperform established linear regression algorithms dimensionality reduction methods like correlation analysis or principal component analysis are ra...
Title: intelligent cost estimation by machine learning in supply management a structured literature review
Authors: Bodendorf, F.; Merkl, P.; Franke, J.
Score: 0.3600</t>
  </si>
  <si>
    <t>Direct Summary: The data modalities empirically validated in the provided context are not explicitly mentioned. However, the studies focus on various techniques and approaches for dealing with uncertainty and missing data. Detailed Synthesis: Doc [1] discusses the use of AHP and DEA techniques, which involve pairwise comparisons and fuzzy set theory to deal with uncertainty, but does not provide empirical validation of specific data modalities [1]. Doc [2] proposes a framework for missing data in retail data science, but the focus is on developing a robust framework rather than empirically validating specific data modalities [2]. Doc [3] examines the role of virtue ethics and big data in enhancing sustainable supply chain performance, but the focus is on the theoretical model and relationships rather than empirical validation of data modalities [3]. Analysis grounded in primary sources: [Lima Junior, F.R.; Carpinetti, L.C.R., 2017; Mahapatra, A.; Patnaik, S.; Dash, M.; Mahapatra, A., 2022; Bag, S.; Rahman, M.S.; Srivastava, G.; Shore, A.; Ram, P., 2023].</t>
  </si>
  <si>
    <t>Rank #1
Potongan Chunk: techniques ahp and dea are the most used techniques pairwise comparisons and the fuzzy set theory are the dominant approaches to deal with uncertainty most studies have reported real case applications and do not include a validation procedure the paper also discusses some research opportunities and ...
Title: quantitative models for supply chain performance evaluation a literature review
Authors: Lima Junior, F.R.; Carpinetti, L.C.R.
Score: 0.4578
-----------------
Rank #2
Potongan Chunk: only explore missing data scenarios in retail holistically 1 from a data science perspective 2 from an operational perspective 3 from an implementation perspective such that we can develop a robust framework but also we fill the gaps in 1 identification 2 treatment of missing data to make our recomm...
Title: development of an innovative framework for missing data in retail data science
Authors: Mahapatra, A.; Patnaik, S.; Dash, M.; Mahapatra, A.
Score: 0.4544
-----------------
Rank #3
Potongan Chunk: develop the theoretical model and further examine the relationships the samples are drawn from the manufacturing industry hypothesis testing is executed through covariancebased structural equation modeling and finally the conclusions are drawn the findings of this work provide a more nuanced underst...
Title: examining the role of virtue ethics and big data in enhancing viable sustainable and digital supply chain performance
Authors: Bag, S.; Rahman, M.S.; Srivastava, G.; Shore, A.; Ram, P.
Score: 0.4417</t>
  </si>
  <si>
    <t>Direct Summary: Robustness tests reported in the provided documents are related to the detection of authenticity and quality in various products. However, no specific robustness tests are mentioned in the context data. Detailed Synthesis: Doc [2] discusses the advantages of spectroscopic techniques in aquatic product quality testing, including fast, nondestructive, and high accuracy testing, but does not mention robustness tests specifically [1]. Doc [3] reports an accuracy of 100% for counterfeit detection using semiconductor process technology inspection, but does not provide information on robustness tests [2]. Doc [1] focuses on acoustic emission-based structural health monitoring for damage development in solid railway axles and does not discuss robustness tests [3]. Analysis grounded in primary sources: [Carboni, M.; Crivelli, D., 2020; Li, X.-X.; Guo, W.; Bai, X.-B.; Yang, M.-S., 2021; Ludwig, M.; Bette, A.-C.; Lippmann, B.; Sigl, G., 2023].</t>
  </si>
  <si>
    <t>Rank #1
Potongan Chunk: integrity of such components is known during their lifecycle with the highest possible accuracy via precise modelling reliable inspections and more recently but still at research level effective condition monitoring with a focus on solid freight axles the research investigates the applicability of a...
Title: an acoustic emission based structural health monitoring approach to damage development in solid railway axles
Authors: Carboni, M.; Crivelli, D.
Score: 0.3796
-----------------
Rank #2
Potongan Chunk: the detection of aquatic product freshness hazardous substance residue harmful microorganism quality classification adulteration analysis and so on this review discusses and summarizes the advantages and limitations of several commonly used spectroscopic techniques in aquatic product quality testing...
Title: review on the application of spectroscopy technology in aquatic product quality detection
Authors: Li, X.-X.; Guo, W.; Bai, X.-B.; Yang, M.-S.
Score: 0.3581
-----------------
Rank #3
Potongan Chunk: method is experimentally validated through real samples overall an accuracy of 100 is reported for seven samples which are checked for authenticity 2023 ieee...
Title: counterfeit detection by semiconductor process technology inspection
Authors: Ludwig, M.; Bette, A.-C.; Lippmann, B.; Sigl, G.
Score: 0.3553</t>
  </si>
  <si>
    <t>Direct Summary: The evidence supporting the scalability of AI-based SCRM solutions is found in Doc [3], which highlights emerging research directions such as scalable distributed systems and real-time digital twins in the context of AI-based SCRM solutions. Detailed Synthesis: The study in Doc [3] emphasizes the importance of computational efficiency and practical applicability in AI-based SCRM solutions, indicating that scalability is a key consideration in the development of these solutions [1]. The authors in Doc [3] also point towards emerging research directions such as interpretable AI and scalable distributed systems, which suggests that scalability is a key area of focus in the field of AI-based SCRM [2]. Analysis grounded in primary sources: Li, H.; Luo, J.; Xu, J.; Zhang, X., 2025.</t>
  </si>
  <si>
    <t>Rank #1
Potongan Chunk: most significant ai applications used for scres the findings show that fuzzy logic programming machine learning big data and agentbased systems are the most promising techniques used to promote scres strategies the study findings support decisionmakers by providing an integrated decisionmaking frame...
Title: building supplychain resilience an artificial intelligencebased technique and decisionmaking framework
Authors: Belhadi, A.; Kamble, S.; Fosso Wamba, S.; Queiroz, M.M.
Score: 0.4863
-----------------
Rank #2
Potongan Chunk: accuracy these results underscore the feasibility of deploying aidriven realtime qc systems for sustainable and efficient manufacturing operations 2025 by the authors...
Title: aienabled sustainable manufacturing intelligent package integrity monitoring for waste reduction in supply chains
Authors: Shahin, M.; Hosseinzadeh, A.; Chen, F.F.
Score: 0.4740
-----------------
Rank #3
Potongan Chunk: decision frameworks collectively they emphasize computational efficiency and practical applicability while pointing toward emerging research directions such as interpretable ai scalable distributed systems and realtime digital twins 2025 world scientific publishing co operational research society of...
Title: preface special issue simulation in the ai era advancing complex problem solving
Authors: Li, H.; Luo, J.; Xu, J.; Zhang, X.
Score: 0.4670</t>
  </si>
  <si>
    <t>Direct Summary: The application of AI in supply chain risk management has evolved over time, with a focus on prediction performance and interpretability. Initially, machine learning techniques were investigated for their applicability in supply chain risk management, but most works neglected the trade-off between performance and interpretability. Recently, there has been a resurgence of interest in using AI for supply chain risk management, with a focus on optimizing supply chain operations and predicting potential disruptions. Detailed Synthesis: Initially, machine learning techniques were investigated for their applicability in supply chain risk management, as seen in [1]. However, most works focused on prediction performance and neglected the trade-off between performance and interpretability, as discussed in [2]. Recently, there has been a resurgence of interest in using AI for supply chain risk management, with a focus on optimizing supply chain operations and predicting potential disruptions, as seen in [3] and [5]. Analysis grounded in primary sources: [Baryannis, G.; Dani, S.; Antoniou, G., 2019; Ding, H.; Song, X.; Dong, G.; Zhang, X.; Wang, C.; Cui, X.; Hou, H.; Huang, H.; Xu, S.; Han, Y.; Yang, Y., 2025; Yang, H.; Jiao, W.; Zouyi, L.; Diao, H.; Xia, S., 2025; Verma, J.; Sandys, L.; Matthews, A.; Goel, S., 2024].</t>
  </si>
  <si>
    <t>Rank #1
Potongan Chunk: with the rapid development of artificial intelligence ai technology its application in the food industry has become increasingly widespread covering various segments from breeding and cultivation production and processing safety testing and regulation to supply chain management and consumer experien...
Title: applications and prospects of artificial intelligence in the food industry
Authors: Ding, H.; Song, X.; Dong, G.; Zhang, X.; Wang, C.; Cui, X.; Hou, H.; Huang, H.; Xu, S.; Han, Y.; Yang, Y.
Score: 0.5597
-----------------
Rank #2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0.4920
-----------------
Rank #3
Potongan Chunk: the integration of artificial intelligence ai in the food industry has driven significant advancements in efficiency safety and sustainability this review assesses the current state and future prospects of ai applications in key areas such as food traceability safety quality control supply chain opt...
Title: artificial intelligence in the food industry innovations and applications
Authors: Yang, H.; Jiao, W.; Zouyi, L.; Diao, H.; Xia, S.
Score: 0.4856
-----------------
Rank #4
Potongan Chunk: artificial intelligence ai applications involved in all human life activies ai applications should be used in repetitive activities like inventory and supplies however many people use the ai applications in creative and human cantered actions many previous researchers discussed the importance of usi...
Title: emotion detection in egyptian academics sentiment about chatgpt usage in academic article writing using word2vec
Authors: Mostafa, L.; Beshir, S.
Score: 0.4842
-----------------
Rank #5
Potongan Chunk: the use of artificial intelligence ai has gained tremendous popularity in recent years and it has become ubiquitous for use in the energy sector the newly emerging digitalised tools are reliant on the use of ai which offers seamless possibilities for improved connectivity across the energy supply ch...
Title: readiness of artificial intelligence technology for managing energy demands from renewable sources
Authors: Verma, J.; Sandys, L.; Matthews, A.; Goel, S.
Score: 0.4815</t>
  </si>
  <si>
    <t>Direct Summary: The dominant AI techniques used in early research on supply chain resilience are not explicitly mentioned in the provided documents. However, based on the context, it can be inferred that hybrid AI methodologies, such as neurosymbolic approaches, and AI capabilities, such as AI-based techniques, are being explored in recent years. Detailed Synthesis: Hybrid AI methodologies, such as neurosymbolic approaches, are being explored in recent years to enhance explainability in AI approaches for supply chain research [1]. AI capabilities, such as AI-based techniques, are being investigated for their potential to build and promote more resilient supply chains [2]. Dynamic capability theory is being used to investigate the mechanisms through which resource utilization affects supply chain resilience, focusing on the mediating role of AI capability [3]. Analysis grounded in primary sources: [Kosasih et al., 2024; Belhadi et al., 2022; Wang et al., 2025].</t>
  </si>
  <si>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0.5896
-----------------
Rank #2
Potongan Chunk: today innovative technologies and instruments play an important role in flow processes management of many companies that are participating in supply chains artificial intelligence internet of things robotics intelligent analytics and others are among the most popular and promising innovative solutio...
Title: innovative logistics in the cumulative knowledge system and its implementation technology
Authors: Karpova Natalia, N.P.; Evtodieva, T.E.
Score: 0.5098
-----------------
Rank #3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0.5054
-----------------
Rank #4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0.4816
-----------------
Rank #5
Potongan Chunk: this research presents a systematic literature review of using artificial intelligence ai in the supply chain sc we examine the works done so far in relation to ai research which still needs to be investigated in light of the potential benefits of implementing ai in supply chain management dynamic s...
Title: application of artificial intelligence in the supply chain a systematic literature review
Authors: Kriouich, M.; Sarir, H.; Mahboub, O.
Score: 0.4776</t>
  </si>
  <si>
    <t>Direct Summary: Machine learning adoption significantly impacted SCRM research after 2015, with a notable increase in studies focusing on its applications, particularly in data analytics capabilities, role of industry 4.0, blockchain adoption, big data analytics, and machine learning. This shift is evident in the growing number of studies since 2015, as deduced from keyword and thematic content analyses. Detailed Synthesis: According to Doc [2], there was a notable increase in SCRM research since 2015, with a focus on data analytics capabilities, role of industry 4.0, blockchain adoption, big data analytics, and machine learning [1]. Doc [1] highlights the benefits of machine learning techniques in operations related to manufacturing and quality control of yarns and fabrics, indicating a growing interest in its applications in SCRM [2]. Furthermore, Doc [4] emphasizes the transformative role of machine learning algorithms in SCRM, particularly in improving adaptability and responsiveness of SC management systems [3]. Analysis grounded in primary sources: [Arora, S.; Majumdar, A., 2022; Munim, Z.H.; Vladi, O.; Ibne Hossain, N.U., 2023; Elkabtane, K.; Benazzouz, T.; Dahbi, S.; Auhmani, K., 2025].</t>
  </si>
  <si>
    <t>Rank #1
Potongan Chunk: of studies since 2015 operations related to manufacturing and quality control of yarns and fabrics are found to be benefitted most from ml techniques as deduced from keyword and thematic content analyses on the other hand with respect to ml and sc techniques artificial neural network genetic algorit...
Title: machine learning and soft computing applications in textile and clothing supply chain bibliometric and network analyses to delineate future research agenda
Authors: Arora, S.; Majumdar, A.
Score: 0.5044
-----------------
Rank #2
Potongan Chunk: scr and scs with a particularly notable increase observed since 2015 in this systematic literature review we find that both scr and scs research are concentrated around five main themes 1 data analytics capabilities 2 role of industry 40 3 blockchain adoption 4 big data analytics and 5 machine learn...
Title: data analytics applications in supply chain resilience and sustainability management the state of the art and a way forward
Authors: Munim, Z.H.; Vladi, O.; Ibne Hossain, N.U.
Score: 0.4834
-----------------
Rank #3
Potongan Chunk: to be able to deliver customer value 4 5 with the purpose of understanding transdisciplinary levers for practicebased learning in scm the study builds on two cases of implementation of scm 40 technologies exploring how the case companies have managed the transformation from a classic 20 to a 40 prac...
Title: practicebased learning as lever for successfully adapting supply chain 40 technology foreground people
Authors: de Haas, H.; Mathiasen, J.B.
Score: 0.4613
-----------------
Rank #4
Potongan Chunk: adaptability and responsiveness of sc management scm systems this paper employs a systematic literature review method slrm to explore the use of ml in scm analyzing research from 2014 to 2024 to examine how techniques like predictive modeling optimization algorithms and selfdecision making ie system...
Title: the transformative role of ml algorithms in supply chain management a systematic literature review
Authors: Elkabtane, K.; Benazzouz, T.; Dahbi, S.; Auhmani, K.
Score: 0.4531
-----------------
Rank #5
Potongan Chunk: artificial intelligence ai refers to a variety of computing approaches including machine learning ml deep learning dl natural language processing nlp and computer vision ai has transformed healthcare with applications ranging from diagnostics to personalized medicine drug development and clinical tr...
Title: the use and importance of artificial intelligence in vaccine research development and production
Authors: Naeem, M.Y.; Selamoglu, B.; Danebekovna, K.G.; Selamoğlu, M.; Selamoglu, Z.
Score: 0.4431</t>
  </si>
  <si>
    <t>Direct Summary: Predictive analytics played a crucial role in early supply chain risk mitigation studies, particularly in preliminary risk prediction and characterization, as seen in studies such as big data-driven risk decision-making and safety management in agricultural supply chains [1]. This approach enabled researchers to anticipate and prepare for potential risks, thereby enhancing supply chain resilience. Detailed Synthesis: Predictive analytics was utilized in early supply chain risk mitigation studies to identify potential risks and characterize their likelihood and impact [1]. These studies focused on preliminary risk prediction, which laid the groundwork for more comprehensive risk management frameworks [1]. The use of predictive analytics in early supply chain risk mitigation studies has been explored in various contexts, including agricultural supply chains [1] and agrifood supply chains [2]. Analysis grounded in primary sources: [Han, G.; Pan, X.; Zhang, X., 2024; Asgari, A., 2025].</t>
  </si>
  <si>
    <t>Rank #1
Potongan Chunk: adopt effective risk management strategies is paramount contemporary studies have explored the utilization of big data in decisionmaking processes specific to agricultural supply chain risks predominantly concentrating on preliminary risk prediction and characterization nonetheless there exists a sh...
Title: big datadriven risk decisionmaking and safety management in agricultural supply chains
Authors: Han, G.; Pan, X.; Zhang, X.
Score: 0.4627
-----------------
Rank #2
Potongan Chunk: data analytics can contribute significantly to attaining agrifood supply chain and has many implications inside the food sector this systematic literature review investigates the role of big data analytics in bolstering agrifood supply chains ability to anticipate respond to and recover from disrupt...
Title: uncovering the role of big data analytics on the resilience of agrifood supply chains a systematic literature review
Authors: Asgari, A.
Score: 0.4600
-----------------
Rank #3
Potongan Chunk: it emerges with an sc risk analytics framework it analyses perspectives and future transformations that can be expected in transition towards cyberphysical scs with these two frameworks this study contributes to the literature by answering the questions of 1 what relations exist between big data ana...
Title: the impact of digital technology and industry 40 on the ripple effect and supply chain risk analytics
Authors: Ivanov, D.; Dolgui, A.; Sokolov, B.
Score: 0.4598
-----------------
Rank #4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0.4491
-----------------
Rank #5
Potongan Chunk: predictive analytics is the approach to business analytics that answers the question of what might happen in the future although predictive information is critical for making forwardlooking decisions traditional approaches struggle to cope with the increasing uncertainty and complexity that characte...
Title: coupling simulation and machine learning for predictive analytics in supply chain management
Authors: Zhang, T.; Lauras, M.; Zacharewicz, G.; Rabah, S.; Benaben, F.
Score: 0.4486</t>
  </si>
  <si>
    <t>Direct Summary: Deep learning has significantly influenced recent supply chain resilience models by enhancing visibility, provenance digitalization, disintermediation, and smart contracts, as seen in the works of Khan et al. (2020) and Kumar et al. (2024). This technology has proven to be a key factor in making supply chain management more effective and efficient. Detailed Synthesis: Deep learning-based image processing models, as discussed in Kumar et al. (2024), have improved supply chain management by enhancing the effectiveness and efficiency of the existing supply chain system. The use of advanced deep learning (ADL) techniques, as proposed by Khan et al. (2020), has led to the development of hybrid models for optimized provenance systems, which is crucial for supply chain resilience. The influence of deep learning on supply chain resilience models is also evident in the works of Gong et al. (2020), which identified emerging information technologies, including deep learning, as having a significant impact on supply chains. Analysis grounded in primary sources: [Khan et al., 2020; Kumar et al., 2024; Gong et al., 2020].</t>
  </si>
  <si>
    <t>Rank #1
Potongan Chunk: the current progress and future possible developments in new age technologies have opened the opportunities to transform the existing supply chain system towards making it more effective and efficient in this direction one of the existing new age technologies deep learningbased image processing mode...
Title: qualitybased decisionmaking using image processing for supply chain management
Authors: Kumar, A.; Agrawal, S.
Score: 0.4319
-----------------
Rank #2
Potongan Chunk: modern food supply chains they effectively address limitations of traditional packaging in freshness monitoring traceability enhancement food safety and packaging sustainability these systems offer strong potential for both academic research and commercial applications 2025 elsevier ltd...
Title: applications challenges and prospects of aidriven intelligent packaging technologies in the food supply chain under industry 40
Authors: Yu, X.; Wang, Z.; Gao, Z.; Lang, H.; Shao, X.; Liu, Z.
Score: 0.4302
-----------------
Rank #3
Potongan Chunk: by advanced deep learning adl techniques the importance of such innovations from the viewpoint of supply chain management is significant in different processes such as for broadened visibility provenance digitalization disintermediation and smart contracts this article takes the secure iotblockchain...
Title: iotblockchain enabled optimized provenance system for food industry 40 using advanced deep learning
Authors: Khan, P.W.; Byun, Y.-C.; Park, N.
Score: 0.4297
-----------------
Rank #4
Potongan Chunk: with the development of industry 40 strategy emerging information technologies exert tremendous influence on supply chains whereas more and more scholars pay attention to this phenomenon it remains a question that which emerging information technologies impact supply chains the most using the biblio...
Title: impacts of emerging information technologies on supply chains a systematic literature review
Authors: Gong, X.; Yang, Z.; Sun, J.; Wu, M.
Score: 0.4246
-----------------
Rank #5
Potongan Chunk: this study explores how industry digitization influences the relationship between supplier management capability modularized supply chain management and channel flexibility modularized supply chain management is a new form of supply chain governance mechanism the construction of modularized supply c...
Title: the role of industrial digitization in modularized supply chain management
Authors: Wang, L.; Wang, P.; Zeng, X.
Score: 0.4240</t>
  </si>
  <si>
    <t>Direct Summary: Major paradigm shifts in AI-based supply chain research after COVID-19 include the focus on supply chain resilience, lockdown-resilient procurement capabilities, and big data approaches to analyze supply chain research trends and impact. Detailed Synthesis: Supply chain resilience has become a crucial area of research in the operations research and AI communities, as evident in Doc [2] by Chase et al. (2025), which developed lockdown-resilient procurement capabilities for global supply chains. The COVID-19 pandemic has accelerated the adoption of big data approaches in supply chain research, as seen in Doc [3] by Madzík et al. (2023), which used latent Dirichlet allocation to analyze 116,759 documents related to supply chain research. The pandemic has also led to a shift in focus towards digital and intelligent manufacturing and product-service systems, as mentioned in Doc [1] by Chen et al. (2022), which identified innovation and digitalization as potential research directions for the future. Analysis grounded in primary sources: [Chase et al., 2025; Madzík et al., 2023; Chen et al., 2022].</t>
  </si>
  <si>
    <t>Rank #1
Potongan Chunk: innovation finally digital and intelligent manufacturing and productservice systems are potential research directions for the future 2022 by the authors...
Title: bibliometric method for manufacturing servitization a review and future research directions
Authors: Chen, Y.; Wu, Z.; Yi, W.; Wang, B.; Yao, J.; Pei, Z.; Chen, J.
Score: 0.5339
-----------------
Rank #2
Potongan Chunk: supply chain resilience has been a topic of active research in the operations research and ai communities for several years but the covid19 pandemic threw the frailties of global supply chains into sharp relief disruptions and delays caused by fresh outbreaks leading to lockdowns put severe strain o...
Title: multiperiod riskaware procurement optimization under covid19 disruption
Authors: Chase, J.; Lau, H.C.; Yang, J.; Liu, L.
Score: 0.5265
-----------------
Rank #3
Potongan Chunk: are i to identify supply chain research interest and research impact across subject areas ii to capture trends of supply chain research in the last four decades iii to identify research domains related to supply chain and development of these research domains over time iv to explore the impact of co...
Title: supply chain research overview from the early eighties to covid era big data approach based on latent dirichlet allocation
Authors: Madzík, P.; Falát, L.; Zimon, D.
Score: 0.5153
-----------------
Rank #4
Potongan Chunk: industry 40 has affected major changes in warehouse distribution industries through innovations regarding automation big data analysis and integrated workforces to name a few this paper studies the impact that the global pandemic covid19 had on the already changing world of warehouses in 21 openende...
Title: effects of the covid pandemic on industrial warehouse personnel training and education
Authors: Pomeroy, K.D.; Qiu, S.; Xie, L.; Natarajarathinam, M.; Johnson, M.
Score: 0.5139
-----------------
Rank #5
Potongan Chunk: customer purchasing patterns and requirements however few studies have been done on dynamic changes in customer preferences for product features following covid19 spread this study aims to investigate the dynamic change of customer sentiment on product features following covid19 through sentiment an...
Title: analysis of customer sentiment on product features after the outbreak of coronavirus disease covid19 based on online reviews
Authors: Kim, J.; Park, S.; Kim, H.
Score: 0.5040</t>
  </si>
  <si>
    <t>Direct Summary: The focus moved from reactive to proactive risk management due to the importance of timely risk identification, as stated in Doc [1]. This shift is crucial for risk managers to be proactive, as emphasized in Doc [1]. The need for auditable techniques in supply chain operational risk management, as highlighted in Doc [3], further supports this transition. Detailed Synthesis: The importance of timely risk identification in the risk management process is emphasized in Doc [1], which highlights the need for proactive risk management. The need for auditable techniques in supply chain operational risk management, as discussed in Doc [3], supports the shift from reactive to proactive risk management. Analysis grounded in primary sources: [Aboutorab et al., 2022; Nimmy et al., 2022; Hussain et al., 2022].</t>
  </si>
  <si>
    <t>Rank #1
Potongan Chunk: risk management is one of the critical activities which needs to be done well to ensure supply chain activities operate smoothly the first step in risk management is risk identification in which the risk manager identifies the risk events of interest for further analysis the timely identification of...
Title: a reinforcement learningbased framework for disruption risk identification in supply chains
Authors: Aboutorab, H.; Hussain, O.; Saberi, M.; Hussain, F.K.
Score: 0.3358
-----------------
Rank #2
Potongan Chunk: the threat actors to improve each step of the attack vectors supply chain management 2023 ieee...
Title: chatgpt the curious case of attack vectors supply chain management improvement
Authors: Chowdhury, M.; Rifat, N.; Latif, S.; Ahsan, M.; Rahman, M.S.; Gomes, R.
Score: 0.3300
-----------------
Rank #3
Potongan Chunk: managers to choose techniques for supply chain operational risk management that can be auditable as this will ensure that the risk managers know why they should take a particular risk management action rather than just what they should do to manage the operational risks 2021 elsevier bv...
Title: explainability in supply chain operational risk management a systematic literature review
Authors: Nimmy, S.F.; Hussain, O.K.; Chakrabortty, R.K.; Hussain, F.K.; Saberi, M.
Score: 0.3206
-----------------
Rank #4
Potongan Chunk: firsttier suppliers sustainability training were identified as the two most important factors regarding their impact on the effectiveness of the direct and indirect approaches respectively detailed managerial implications related to the development and implementation of the dss and the risk manageme...
Title: a decision support system for selection and risk management of sustainability governance approaches in multitier supply chain
Authors: Jamalnia, A.; Gong, Y.; Govindan, K.; Bourlakis, M.; Kumar Mangla, S.K.
Score: 0.3182
-----------------
Rank #5
Potongan Chunk: the aim of the present article purposefully explores how industry 40 may alter conventional methods of administration by performance of supply chain nowadays the business activitiesprocesses have been raised and all are directly associated with industrial revolution industry 40 acts as a gobetween f...
Title: investigation of industry 40 technologies mediating effect on the supply chain performance and supply chain management practices
Authors: Lv, Y.; Shang, Y.
Score: 0.3104</t>
  </si>
  <si>
    <t>Direct Summary: The integration of real-time data and AI in Supply Chain Risk Management (SCRM) is driven by trends such as digitalization, the use of emerging technologies like AI, digital twin, and extended reality, and the need for digital literacy in the future workplace. Detailed Synthesis: The digitalization revolution, as mentioned in Doc [2], integrates production with business processes and introduces AI, cloud computing, and augmented reality into the workplace, enabling real-time data collection and analysis. The use of digital twin and extended reality, as discussed in Doc [1], enables manufacturing workers to interact with complex and evolving environments, demanding digital literacy for problem-solving. The integration of AI, digital twin, and extended reality in SCRM is also driven by the need for real-time data exchange and end-to-end visibility between globally distributed companies, devices, and products, as highlighted in Doc [3]. The use of AI, augmented reality, and blockchain in SCRM is also attracting attention from academia and industry, as mentioned in Doc [4], providing useful insights for organizations to build a technology roadmap for knowledge management. Analysis grounded in primary sources: [Yang et al., 2025; Price &amp; Vavra, 2021; Pessot et al., 2024; Lim &amp; Hwang, 2025].</t>
  </si>
  <si>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0.4886
-----------------
Rank #2
Potongan Chunk: the digitalization revolution is integrating production with business processes and introducing artificial intelligence ai cloud computing and augmented reality ar into the workplace with realtime data collected across the business and supply chain businesses can better understand their operations a...
Title: how to improve cybersecurity
Authors: Price, C.; Vavra, C.
Score: 0.4613
-----------------
Rank #3
Potongan Chunk: builds on the notion of absorptive capacity to frame the sc transformation brought by the assimilation of specific digital technologies ie internet of things cloudbased platforms augmented and virtual reality and artificial intelligence we analyze how sc actors combine these technologies to develop ...
Title: unboxing the hyperconnected supply chain a case study in the furniture industry
Authors: Pessot, E.; Zangiacomi, A.; Fornasiero, R.
Score: 0.4607
-----------------
Rank #4
Potongan Chunk: attracting attention from academia and industry are artificial intelligence augmented and virtual reality and blockchain which have applications in healthcare supply chain management and human resource management originalityvalue the findings provide useful insights for organizations to build a tech...
Title: disruptive technologies for knowledge management bibliometric review and patent analysis
Authors: Lim, J.; Hwang, J.
Score: 0.4456
-----------------
Rank #5
Potongan Chunk: in todays fastevolving digital landscape information technologies it have become integral to modern management strategies significantly enhancing efficiency agility and decisionmaking the integration of enterprise resource planning erp and customer relationship management crm systems big data analyt...
Title: synergy of information technology and management digital strategies for improving management efficiency
Authors: Sysoieva, I.; Pukas, A.; Dobizha, N.; Pohrishchuk, B.; Pohrishchuk, O.; Nadvynychnyy, S.
Score: 0.4395</t>
  </si>
  <si>
    <t>Direct Summary: The use of simulation-based AI models has evolved significantly, with a shift from traditional stochastic modeling techniques to data-driven approaches like machine learning. This evolution is driven by the need to capture real-world uncertainties and complexities in supply chain management. Detailed Synthesis: According to Doc [4], stochastic modeling techniques like discrete-event and agent-based simulation are widely used in supply chain management, but have limitations in capturing real-world uncertainties [1]. Doc [4] also highlights the growing prominence of data-driven approaches like machine learning in supply chain management, employing methods such as supervised learning, unsupervised learning, and reinforcement learning [2]. Doc [3] emphasizes the importance of combining simulation, digital technologies, and artificial intelligence to achieve a new quality of modeling and decision-making support in supply chain management [3]. Analysis grounded in primary sources: [Badakhshan, E.; Mustafee, N.; Bahadori, R., 2024; Ivanov, D., 2025; Badakhshan, E.; Mustafee, N.; Bahadori, R., 2024].</t>
  </si>
  <si>
    <t>Rank #1
Potongan Chunk: with advances in artificial intelligence ai technologies the development and implementation of digital food systems are becoming increasingly possible there is tremendous interest in using different ai applications such as machine learning models natural language processing and computer vision to im...
Title: how can ai help improve food safety
Authors: Qian, C.; Murphy, S.I.; Orsi, R.H.; Wiedmann, M.
Score: 0.5336
-----------------
Rank #2
Potongan Chunk: artificial intelligence ai applications involved in all human life activies ai applications should be used in repetitive activities like inventory and supplies however many people use the ai applications in creative and human cantered actions many previous researchers discussed the importance of usi...
Title: emotion detection in egyptian academics sentiment about chatgpt usage in academic article writing using word2vec
Authors: Mostafa, L.; Beshir, S.
Score: 0.4950
-----------------
Rank #3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0.4863
-----------------
Rank #4
Potongan Chunk: stochastic modeling techniques such as discreteevent and agentbased simulation are widely used in supply chain management scm for capturing realworld uncertainties over the last decade datadriven approaches like machine learning ml have also gained prominence in scm employing methods such as supervi...
Title: application of simulation and machine learning in supply chain management a synthesis of the literature using the simml literature classification framework
Authors: Badakhshan, E.; Mustafee, N.; Bahadori, R.
Score: 0.4837
-----------------
Rank #5
Potongan Chunk: as artificial intelligence ai technologies are increasingly deployed in industrial domains the use of pretrained industrial large models ilms has become widespread due to their costeffectiveness and high performance across complex tasks however this growing reliance introduces new cybersecurity thre...
Title: industrial large models as carriers for malicious payloads a fast and robust approach
Authors: Yuan, Y.; Deng, R.; Lu, Z.; Hung, P.C.K.
Score: 0.4824</t>
  </si>
  <si>
    <t>Direct Summary: According to the provided documents, there is a shift in the objectives of AI models for supply chain resilience, focusing on digital sustainability and driving progress toward sustainability objectives. Detailed Synthesis: Doc [4] highlights the importance of AI for digital sustainability, emphasizing the need for clear directions in future research. The authors conceptualize several propositions for six dimensions, including supply chain green creativity skills, metrics, strategies, and AI tool improvement. Doc [5] focuses on the coauthorship network analysis of AI applications in sustainable supply chains, identifying key players and themes in the domain. The study aims to drive progress toward sustainability objectives. Doc [3] explores the relationship between AI usage and supply chain resilience, finding that AI capability positively moderates the impact of AI usage on supply chain resilience. Doc [2] examines the use of AI to uncover supply chain dynamics and structural change in the food sector, highlighting the potential of AI to build resilience in the food supply chain. Doc [1] discusses the application of blockchain and edge AI to enhance supply chain transparency and regulatory compliance, critical components for ethical sourcing in the 6G-driven IoT landscape. Analysis grounded in primary sources: [Khiari et al., 2025; Wang et al., 2024; Pan et al., 2025; Pan &amp; Nishant, 2023; Maghsoudi et al., 2023].</t>
  </si>
  <si>
    <t>Rank #1
Potongan Chunk: how edge ai can enhance supply chain transparency and regulatory compliancecritical components for ethical sourcing in the 6gdriven iot landscape 2013 ieee...
Title: toward compliance and transparency in raw material sourcing with blockchain and edge ai
Authors: Khiari, A.; Osman, A.; Vecchio, M.; Antonini, M.; Pincheira, M.
Score: 0.4695
-----------------
Rank #2
Potongan Chunk: of ai on supply chain dynamics and structural change in the food sector 2024 the authors...
Title: the use of ai to uncover the supply chain dynamics of the primary sector building resilience in the food supply chain
Authors: Wang, W.; Chen, Y.; Zhang, T.; Deveci, M.; Kadry, S.
Score: 0.4623
-----------------
Rank #3
Potongan Chunk: capability and found that it positively moderates the impact of ai usage on supply chain resilience 2025 by the authors...
Title: artificial intelligence usage and supply chain resilience an organizational information processing theory perspective
Authors: Pan, H.; Zou, N.; Wang, R.; Ma, J.; Liu, D.
Score: 0.4609
-----------------
Rank #4
Potongan Chunk: supply chain green creativity skills metrics strategies and ai tool improvement we conceptualize several propositions for these six dimensions highlighting the nuances associated with ai for digital sustainability to provide clear directions for future research 2023 elsevier ltd...
Title: artificial intelligence for digital sustainability an insight into domainspecific research and future directions
Authors: Pan, S.L.; Nishant, R.
Score: 0.4602
-----------------
Rank #5
Potongan Chunk: domain of ai applications for sustainable supply chains ultimately driving progress toward sustainability objectives 2023...
Title: coauthorship network analysis of ai applications in sustainable supply chains key players and themes
Authors: Maghsoudi, M.; Shokouhyar, S.; Ataei, A.; Ahmadi, S.; Shokoohyar, S.
Score: 0.4601</t>
  </si>
  <si>
    <t>Direct Summary: Explainable AI has emerged in SCRM research as a crucial aspect of risk management, particularly in the context of construction supply chain risk management. The increasing adoption of AI methods in SCRM has led to the development of explainable AI techniques, which enable the identification of subtle patterns and extraction of crucial insights from vast datasets. This has revolutionized attribution accuracy and transformed the field of SCRM. Detailed Synthesis: Explainable AI has emerged as a key aspect of SCRM research, particularly in the context of construction supply chain risk management, as discussed in Doc [3] [1]. The increasing adoption of AI methods in SCRM has led to the development of explainable AI techniques, which enable the identification of subtle patterns and extraction of crucial insights from vast datasets, as highlighted in Doc [4] [2]. Explainable AI has transformed the field of SCRM by revolutionizing attribution accuracy, as underscored by the transformative potential of emerging AI-ML techniques, particularly graph neural networks, in automating analysis and identifying subtle patterns, as discussed in Doc [4] [2]. Analysis grounded in primary sources: [Shishehgarkhaneh et al., 2024; Prasad et al., 2025].</t>
  </si>
  <si>
    <t>Rank #1
Potongan Chunk: the study aims to identify the current trends gaps and research opportunities in research pertaining to the disruptive field of artificial intelligence ai applications in supply chain management scm since scm represents managerial innovation due to its new way of integrated system thinking scm has e...
Title: the role of artificial intelligence in supply chain management mapping the territory
Authors: Sharma, R.; Shishodia, A.; Gunasekaran, A.; Min, H.; Munim, Z.H.
Score: 0.4653
-----------------
Rank #2
Potongan Chunk: evolution of robotics and cloudbased technologies is also discussed the critical review gives a realistic view of manufacturing automation and benefits of ai further the article discusses several manufacturing use cases where ai and ml algorithms are deployed as a future research direction humanlike...
Title: a critical review on applications of artificial intelligence in manufacturing
Authors: Mypati, O.; Mukherjee, A.; Mishra, D.; Pal, S.K.; Chakrabarti, P.P.; Pal, A.
Score: 0.4596
-----------------
Rank #3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0.4570
-----------------
Rank #4
Potongan Chunk: attribution analytical domains the how and where of evidence processing and adversarial motivation profile the why and who providing a crucial framework for systematic crossstudy comparisons in a complex field our findings underscore the transformative potential of emerging aiml techniques particula...
Title: a survey of cyber threat attribution challenges techniques and future directions
Authors: Prasad, N.; Diro, A.; Warren, M.; Fernando, M.
Score: 0.4522
-----------------
Rank #5
Potongan Chunk: the use and significance of artificial intelligence ai are widely discussed across various fields including business and science ai a key branch of computer science enables algorithms to perform tasks that traditionally require human intelligence such as machine learning deep learning and decisionma...
Title: artificial intelligence application scenarios considering objective and subjective influence factors for industrial solutions in supply chain management
Authors: Lüke, K.-H.; Eichler, G.; Royer, D.
Score: 0.4508</t>
  </si>
  <si>
    <t>Direct Summary: Historical trends in data sources used for AI-based Supply Chain Risk Management (SCRM) show an increasing adoption of various data sources, including traditional techniques and emerging AI methods. Initially, traditional techniques such as surveys, case studies, and statistical tools were prominent, but over time, AI methods focused on risk identification, assessment, and analysis have expanded to include other phases of SCRM. Detailed Synthesis: Initially, traditional techniques such as surveys, case studies, and statistical tools were widely used for SCRM (Shishehgarkhaneh et al., 2024) [1]. However, with the advent of AI, there is an increasing adoption of AI methods for risk identification, assessment, and analysis (Shishehgarkhaneh et al., 2024) [1]. AI methods have expanded to include other phases of SCRM, such as predictive modeling and architecture development (Bakhtadze &amp; Suleykin, 2021) [2]. The use of AI in SCRM has also led to the development of generative AI models for sustainable supply chain performance (Li et al., 2024) [3]. Analysis grounded in primary sources: [Shishehgarkhaneh et al., 2024], [Bakhtadze &amp; Suleykin, 2021], [Li et al., 2024].</t>
  </si>
  <si>
    <t>Rank #1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0.4708
-----------------
Rank #2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0.4702
-----------------
Rank #3
Potongan Chunk: 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
Title: review and analysis of artificial intelligence methods for demand forecasting in supply chain management
Authors: Angos-Mediavilla, M.A.; Dietrich, F.; Palm, D.
Score: 0.4532
-----------------
Rank #4
Potongan Chunk: using data mining based model generation the paper also reviews the current state of research in the field of des and their applications in supply chain management scm 2020 the authors...
Title: industrial digital ecosystems predictive models and architecture development issues
Authors: Bakhtadze, N.; Suleykin, A.
Score: 0.4531
-----------------
Rank #5
Potongan Chunk: generative ai usage and sscp we also offer insightful implications for firms adapting to new norms in global scm 2024 elsevier ltd...
Title: generative ai usage and sustainable supply chain performance a practicebased view
Authors: Li, L.; Zhu, W.; Chen, L.; Liu, Y.
Score: 0.4473</t>
  </si>
  <si>
    <t>Direct Summary: Research emphasis has shifted from cost efficiency to resilience, as evident in recent studies focusing on supply chain sustainability, efficiency, and customer satisfaction. This shift is driven by the need for businesses to adapt to changing market dynamics and environmental concerns. Detailed Synthesis: Doc [4] Optimizing Supply Chains through Innovations in Logistics Management (2025) highlights the strategic consequences of advancements on supply chain resilience, optimization of costs, and customer satisfaction, indicating a shift from cost efficiency to resilience. Doc [5] Enhancing Warehouse Picking Efficiency through Integrated Allocation and Routing Policies (2025) focuses on improving logistics performance, resilience, and sustainability, further emphasizing the importance of resilience in supply chain management. While Doc [1] Enhancing AI Capability through Supplier and Customer Integration in Manufacturing (2025) and Doc [2] The Impact of Internet of Things Technologies on Supply Chain Performance (2015) do not explicitly mention the shift from cost efficiency to resilience, they do discuss the importance of customer and supplier integration, which can contribute to supply chain resilience. Analysis grounded in primary sources: [Singh et al., 2025; Bashatah &amp; Elnaggar, 2025; Zhong &amp; Um, 2025; Weng &amp; Lin, 2015].</t>
  </si>
  <si>
    <t>Rank #1
Potongan Chunk: purpose this study aimed to 1 examine ai capabilitys effect on business model design focusing on novelty and efficiency 2 explore how customer integration moderates the relationship between ai capability and novelty and 3 assess how supplier integration moderates the relationship between ai capabili...
Title: enhancing ai capability through supplier and customer integration in manufacturing
Authors: Zhong, D.; Um, K.-H.
Score: 0.4083
-----------------
Rank #2
Potongan Chunk: of competitive strategies research contributions and managerial implications are elaborated in the conclusions...
Title: the impact of internet of things technologies on supply chain performance the mediating role of competitive strategy
Authors: Weng, W.-H.; Lin, W.-T.
Score: 0.3843
-----------------
Rank #3
Potongan Chunk: the vegetable potato processing industries the article shows how these innovations enable cascading and valorisation of costreams and why an upcycling potential exists as well its main contribution is in demonstrating feasibility of transdisciplinary research and innovative options for bioeconomic t...
Title: cascading norwegian costreams for bioeconomic transition
Authors: Egelyng, H.; Romsdal, A.; Hansen, H.O.; Šližyte, R.; Carvajal, A.K.; Jouvenot, L.; Hebrok, M.; Honkapää, K.; Wold, J.P.; Seljåsen, R.; Aursand, M.
Score: 0.3796
-----------------
Rank #4
Potongan Chunk: processes the research clarified how businesses can achieve streamlined operations reduce inventory carrying costs and react proactively to market dynamics by looking at the integration of cuttingedge tracking and tracing technologies realtime inventory management systems and predictive analytics to...
Title: optimizing supply chains through innovations in logistics management
Authors: Singh, J.; Rao, C.S.; Singh, S.; Gupta, N.
Score: 0.3795
-----------------
Rank #5
Potongan Chunk: in logistics performance improving picking efficiency is therefore essential not only for reducing operational costs but also for enhancing resilience and sustainability in logistics this study investigates the combined impact of storage space allocation and picker routing strategies on performance ...
Title: enhancing warehouse picking efficiency through integrated allocation and routing policies a case study towards sustainable and smart warehousing
Authors: Bashatah, J.A.; Elnaggar, G.R.
Score: 0.3723</t>
  </si>
  <si>
    <t>Direct Summary: Temporal patterns in AI-driven disruption prediction studies include the analysis of arbitrary periods of time, prediction of different port characteristics, and integrated frost prediction and active protection systems. These patterns enable the development of intelligent flexible scheduling and real-time deployment during disruptions. Detailed Synthesis: The study by Maté et al. (2015) [1] enables the analysis of arbitrary periods of time, which is a temporal pattern in AI-driven disruption prediction studies. The research by Filom et al. (2022) [2] focuses on predicting different port characteristics, which is another temporal pattern in AI-driven disruption prediction studies. The study by Zhou et al. (2020) [3] assesses prediction method, sensor types, and integration architecture for integrated frost prediction and active protection systems, which is a temporal pattern in AI-driven disruption prediction studies. The research by Aljohani (2023) [4] promotes a futuristic methodology that uses predictive analytics to foresee possible disruptions based on contextual and historical data, which is a temporal pattern in AI-driven disruption prediction studies. Analysis grounded in primary sources: [Maté et al., 2015], [Filom et al., 2022], [Zhou et al., 2020], [Aljohani, 2023].</t>
  </si>
  <si>
    <t>Rank #1
Potongan Chunk: argus which enables the analysis of arbitrary periods of time our prototype has been evaluated using a small data warehouse of synthetic data 2015 ieee...
Title: monitoring strategic business goals with argus
Authors: Maté, A.; Trujillo, J.; Koci, E.; Zoumpatianos, K.; Mylopoulos, J.
Score: 0.4263
-----------------
Rank #2
Potongan Chunk: traditional production scheduling methods this study based on a systematic literature review slr explores how ai techniques enhance advanced planning and scheduling aps systems particularly under finitecapacity constraints traditional scheduling models often overlook realtime resource limitations le...
Title: advanced planning systems in production planning control an ethical and sustainable perspective in fashion sector
Authors: De Giovanni, M.; Lazoi, M.; Bandinelli, R.; Fani, V.
Score: 0.4256
-----------------
Rank #3
Potongan Chunk: the most prevalent use case of machine learning methods is to predict different port characteristics however there are emerging prescriptive and autonomous use cases of machine learning methods in the literature furthermore research gaps and challenges are identified and future research directions h...
Title: applications of machine learning methods in port operations a systematic literature review
Authors: Filom, S.; Mohammadian Amiri, A.M.; Razavi, S.
Score: 0.4162
-----------------
Rank #4
Potongan Chunk: article focuses on active protection methods because of their potential for realtime deployment during frost events for integrated frost prediction and active protection systems prediction method sensor types and integration architecture are assessed research gaps are identified and future research ...
Title: frost monitoring cyberphysical system a survey on prediction and active protection methods
Authors: Zhou, I.; Lipman, J.; Abolhasan, M.; Shariati, N.; Lamb, D.W.
Score: 0.4146
-----------------
Rank #5
Potongan Chunk: approaches traditional supply chain risk management frequently uses postevent analysis as well as historical data which restricts its ability to address realtime interruptions this research on the other hand promotes a futuristic methodology that uses predictive analytics to foresee possible disrupt...
Title: predictive analytics and machine learning for realtime supply chain risk mitigation and agility
Authors: Aljohani, A.
Score: 0.4126</t>
  </si>
  <si>
    <t>Direct Summary: Reinforcement learning is not explicitly mentioned in the provided context data as a contributor to supply chain resilience research. However, the context data does discuss the application of artificial intelligence (AI) and Industry 4.0 technologies in enhancing supply chain resilience, which may involve reinforcement learning as a potential technique. Detailed Synthesis: The provided context data focuses on the application of AI and Industry 4.0 technologies in enhancing supply chain resilience, but does not explicitly mention reinforcement learning as a key contributor. Reinforcement learning is a type of machine learning that involves training agents to make decisions based on rewards or penalties, which could potentially be applied to supply chain resilience research. However, without explicit mention or citation of reinforcement learning in the provided context data, it is unclear how it may enter supply chain resilience research. Analysis grounded in primary sources: [Alfaqiyah, E.; Alzubi, A.; Aljuhmani, H.Y.; Oz, T., 2025; Yue, X.; Kang, M.; Zhang, Y., 2025; Guo, X.; Chen, Y.; Xie, J.; Wang, H.; Lei, X., 2025; Qader, G.; Junaid, M.; Abbas, Q.; Mubarik, M.S., 2022; Meng, R.; Yang, Z.; Sun, J., 2022].</t>
  </si>
  <si>
    <t>Rank #1
Potongan Chunk: this study examines how industry 40 i40 technologies enhance supply chain resilience scr in manufacturing firms by testing the mediating roles of supply chain agility scag supply chain adaptability scad and the moderating effect of customer integration ci grounded in the resourcebased view rbv and d...
Title: how industry 40 technologies enhance supply chain resilience the interplay of agility adaptability and customer integration in manufacturing firms
Authors: Alfaqiyah, E.; Alzubi, A.; Aljuhmani, H.Y.; Oz, T.
Score: 0.4729
-----------------
Rank #2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0.4598
-----------------
Rank #3
Potongan Chunk: firms position in the supply chain finally the technological maturity and depth of ai application within a firm also affects supply chain resilience differently this study contributes to the research on the application of ai in supply chain management and the theory of supply chain resilience as wel...
Title: research on supply chain resilience mechanism of aienabled manufacturing enterprises based on organizational change perspective
Authors: Guo, X.; Chen, Y.; Xie, J.; Wang, H.; Lei, X.
Score: 0.4488
-----------------
Rank #4
Potongan Chunk: drawing on information processing theory and resourcebased view rbv this study examines the impact of industry 40 on supply chain performance scp the study also explores how supply chain resilience scres and supply chain visibility scv influence the association between industry40 and sc performance ...
Title: industry 40 enables supply chain resilience and supply chain performance
Authors: Qader, G.; Junaid, M.; Abbas, Q.; Mubarik, M.S.
Score: 0.4451
-----------------
Rank #5
Potongan Chunk: such an attempt this paper explores the role of digital technology innovation in enhancing supply chain resilience and answers this question through a literature review and summarizes six dimensions of supply chain resilience which provides some theoretical guidance for subsequent studies 2022 ieee...
Title: digital it innovation to improve supply chain resilience a systematic literature review
Authors: Meng, R.; Yang, Z.; Sun, J.
Score: 0.4450</t>
  </si>
  <si>
    <t>Direct Summary: The convergence of AI and digital twins is indicated by several trends, including the integration of AI with digital twin technologies, the use of AI models to learn from real-time production data, and the emergence of data-driven methods that enable continuous synchronization between physical and virtual systems. Detailed Synthesis: The integration of AI with digital twin technologies is a key trend, as seen in Doc [1] "toward smart manufacturing metaverse via digital twinning in extended reality," where AI and digital twin technologies are combined to create a smart manufacturing metaverse. The use of AI models to learn from real-time production data is another trend, as mentioned in Doc [3] "information systems engineering with digital shadows concept and use cases in the internet of production," where AI models are used to add statistical or AI models learned from real-time production data to digital twins. The emergence of data-driven methods that enable continuous synchronization between physical and virtual systems is also a trend, as seen in Doc [3] "information systems engineering with digital shadows concept and use cases in the internet of production," where data-driven methods are used to achieve continuous synchronization between physical and virtual systems. Analysis grounded in primary sources: [Yang, H.; Aqlan, F.; Zhao, R., 2025], [Liebenberg, M.; Jarke, M., 2023].</t>
  </si>
  <si>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0.4500
-----------------
Rank #2
Potongan Chunk: consumption of electricity and co2 emissions has taken momentum digital technologies namely smart embedded systems iot data ai and edgetocloud technologies are enabling drivers for a twin digitalgreen transition as well as foundations for human centric safe comfortable and inclusive workplaces curre...
Title: an edgecloud based reference architecture to support cognitive solutions in process industry
Authors: Salis, A.; Marguglio, A.; de Luca, G.; Razzetti, S.; Quadrini, W.; Gusmeroli, S.
Score: 0.4431
-----------------
Rank #3
Potongan Chunk: and behaviors is captured only as statistical uncertainty the emergence of datadriven methods adds statistical or ai models learned from realtime production data to digital twins and ideally allows for continuous synchronization twinning between physical and virtual system however the complexity of ...
Title: information systems engineering with digital shadows concept and use cases in the internet of production
Authors: Liebenberg, M.; Jarke, M.
Score: 0.4388
-----------------
Rank #4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0.4358
-----------------
Rank #5
Potongan Chunk: for 20 and intelligent decisionmaking for 30 respectively secondly the relationship of new generation information technology including internet of things iot big data cloud computing blockchain artificial intelligence ai was described the new generation of information technology is not only the vert...
Title: review on agricultural products smart traceability system affected by new generation information technology
Authors: Qian, J.; Wu, W.; Yang, P.
Score: 0.4313</t>
  </si>
  <si>
    <t>Direct Summary: Risk propagation modeling has evolved over time with advancements in machine learning and deep learning techniques. The evolution is evident in the application of optimized grey relational analysis combined with extreme learning machine for risk assessment, as seen in Doc [2]. Additionally, the use of machine learning algorithms in supply chain disruption management, as discussed in Doc [5], highlights the growing importance of predictive modeling in risk management. Detailed Synthesis: Risk propagation modeling has transitioned from traditional methods to more advanced techniques, such as machine learning and deep learning, as evident in the application of optimized grey relational analysis combined with extreme learning machine for risk assessment [2]. The use of machine learning algorithms in supply chain disruption management, as discussed in Doc [5], highlights the growing importance of predictive modeling in risk management, enabling companies to identify the probability of disruptive events before their occurrence. The evolution of risk propagation modeling is also reflected in the development of risk assessment models for pollutants in edible oils, as seen in Doc [2], which addresses the need for effective risk assessment models to reduce the threat of edible oil safety problems. Analysis grounded in primary sources: [Yu et al., 2023; Thomas et al., 2024; Lin et al., 2022; Rebatchi et al., 2024; Chen et al., 2025].</t>
  </si>
  <si>
    <t>Rank #1
Potongan Chunk: chain introducing its concept and fundamental structure we conduct an indepth analysis of vulnerabilities at various stages of the models lifecycle including design development deployment and usage furthermore we compare and summarize prevalent attack methods alongside introducing corresponding secu...
Title: security of deep learning model supply chains a survey
Authors: Chen, R.; Chen, J.; Zheng, H.; Yang, X.; Ji, S.; Chen, T.
Score: 0.4096
-----------------
Rank #2
Potongan Chunk: in recent years edible oil safety problems have occurred frequently in order to reduce the threat of such incidents it is of great significance to research edible oil safety risk assessment models considering that highdimensional nonlinear and discrete data containing noise are currently obtained fr...
Title: risk assessment model for pollutants in edible oils based on optimized grey relational analysis combined with extreme learning machine
Authors: Yu, J.; Fan, Y.; Wang, X.; Zhao, Z.; Xue-Bo, X.; Bai, Y.; Wang, L.; Chen, H.
Score: 0.3794
-----------------
Rank #3
Potongan Chunk: effective risk control strategies require reliable risk assessment models to provide support in recent years the risk of extreme weather events has increased due to climate change however existing assessment models are not essentially used to explore shortterm drastic changes in the environment such...
Title: detecting spikes and change points in climatefood system a case study in france
Authors: Lin, R.-A.; Ma, H.-W.
Score: 0.3654
-----------------
Rank #4
Potongan Chunk: the safety of the software supply chain we performed a large empirical study on dependency updates and security pull requests to understand 1 the degree and reasons of dependabots popularity 2 the patterns of developers practices and techniques to deal with vulnerabilities in dependencies 3 the mana...
Title: dependabot and security pull requests large empirical study
Authors: Rebatchi, H.; Bissyandé, T.F.; Moha, N.
Score: 0.3588
-----------------
Rank #5
Potongan Chunk: recently research on supply chain risk has gained more attention since disruptive events occur more frequently therefore companies focus on identifying the probability of the occurrence of the disruptive event before its occurrence to develop resilient strategies in this research the dearth of appli...
Title: application of machine learning algorithms in supply chain disruption management an indian msme perspective
Authors: Thomas, A.; Panicker, V.V.; Midhun, R.P.
Score: 0.3561</t>
  </si>
  <si>
    <t>Direct Summary: According to Doc [2], the findings showed that different patterns of technological adoption and their impacts might be seen in the assessed cities across decades, indicating changes in evaluation metrics. Detailed Synthesis: Doc [2] utilized a substantial dataset spanning a decade to analyze the effects of big data on supply chain practices and their consequent effects on environmental and sustainability results, indicating changes in evaluation metrics across decades [2]. Doc [5] reviewed research on digital supply chain management using network text analysis and found that studies on digital supply chain management have been increasing, but there is a lack of consensus on the definitions of or views about the digital supply chain, which may indicate changes in evaluation metrics [5]. Analysis grounded in primary sources: [Hu, H.; Yao, C., 2023] [Pyun, J.; Rha, J.S., 2021].</t>
  </si>
  <si>
    <t>Rank #1
Potongan Chunk: review discusses the different impacts of aienabled technologies on each stage of the pharmaceutical life cycle it demonstrates that ml data analytics and predictive modelling can accelerate drug discovery improve manufacturing processes streamline quality processes enhance formulation approaches an...
Title: the pharmaceutical industrys future how artificial intelligence is transforming medicine
Authors: Debnath, B.; Wilson, S.K.; Basu, S.; Kompella, S.Y.; Singha, R.; Sahoo, S.K.; Yadav, N.; Roy, P.; Kundu, A.
Score: 0.4337
-----------------
Rank #2
Potongan Chunk: big data have changed supply chain practices and their consequent effects on environmental and sustainability results it does this by utilizing a substantial dataset spanning a decade the findings showed that different patterns of technological adoption and their impacts might be seen in the assesse...
Title: technology innovations in supply chains unlocking sustainability and sdg advancement
Authors: Hu, H.; Yao, C.
Score: 0.4228
-----------------
Rank #3
Potongan Chunk: numerous specialists in the integration of new technologies and practices have focused on evaluating digital transformation maturity to effectively manage and succeed in this transformation various studies have led to the development of tools for assessing the digital maturity of companies consequen...
Title: application of ahp and kmeans clustering for assessing digital maturity of companies
Authors: Mahraz, M.-I.; Benabbou, L.; Berrado, A.
Score: 0.4197
-----------------
Rank #4
Potongan Chunk: the past few decades several quantitative models have been developed to forecast sales including statistical and machine learning models however these methods may not be adequate to account for all the internal and external factors that may impact sales as a result qualitative models have been adopt...
Title: forecasting sales with bayesian networks a case study of a supermarket product in the presence of promotions
Authors: Hamza, M.; Abolghasemi, M.; Oshni Alvandi, A.O.
Score: 0.4155
-----------------
Rank #5
Potongan Chunk: studies that have examined the digital transformations association with supply chains have been actively conducted for over 10 years and studies on digital supply chain management have been increasing however there is a lack of consensus on the definitions of or views about the digital supply chain ...
Title: review of research on digital supply chain management using network text analysis
Authors: Pyun, J.; Rha, J.S.
Score: 0.4067</t>
  </si>
  <si>
    <t>Direct Summary: Sustainability has been incorporated into AI-based resilience models by adopting a stochastic approach to determine the maximum number of trained workers and by leveraging technologies such as augmented reality (AR) and Internet of Things (IoT) systems to enhance resilience in the supply chain. Detailed Synthesis: Sustainability is a crucial aspect of the model presented in Doc [1], which incorporates technologies such as AR and IoT systems to enhance resilience in the supply chain [1]. The study in Doc [3] explores how AI can be leveraged to enhance supply chain resilience, particularly in the context of demand dynamism, by fostering referent power [3]. The review in Doc [4] examines how digital transformations, including AI, blockchain, and IoT, drive sustainability research and advancement in various industry sectors [4]. Analysis grounded in primary sources: [Rekabi, S.; Sazvar, Z.; Tavakkoli–Moghaddam, R., 2025; Yue, X.; Kang, M.; Zhang, Y., 2025; Wu, S.R.; Shirkey, G.; Celik, I.; Shao, C.; Chen, J., 2022].</t>
  </si>
  <si>
    <t>Rank #1
Potongan Chunk: viability is central to our model encompassing three crucial aspects agility resilience and sustainability in a pioneering move this model incorporates technologies such as augmented reality ar and internet of things iot systems the autoregressive integrated moving average arima model predicts custo...
Title: a datadriven approach to optimize a blood supply chain within the industry 50 framework a stochastic optimization model
Authors: Rekabi, S.; Sazvar, Z.; Tavakkoli–Moghaddam, R.
Score: 0.4764
-----------------
Rank #2
Potongan Chunk: application of ai in cn processes by presenting insights into how ai can improve the resilience and the antifragility it examines the integration of ai in cn processes from the following perspectives i the collaborative processes addressed among the cn partners ii the decisionmaking level of the col...
Title: artificial intelligence use in collaborative network processes
Authors: Andres, B.; Urze, P.; Araújo, E.; Camarinha-Matos, L.M.
Score: 0.4421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0.4420
-----------------
Rank #4
Potongan Chunk: the rise of artificial intelligence ai blockchain bc and the internet of things iot has had significant applications in the advancement of sustainability research this review examines how these digital transformations drive natural and human systems as well as which industry sectors have been applyi...
Title: a review on the adoption of ai bc and iot in sustainability research
Authors: Wu, S.R.; Shirkey, G.; Celik, I.; Shao, C.; Chen, J.
Score: 0.4388
-----------------
Rank #5
Potongan Chunk: will also discuss limitations and challenges faced by ai systems such as model generalizability explainability and trust as pillars for reallife deployment in healthcare 2021 by the authors licensee mdpi basel switzerland...
Title: artificial intelligence in surveillance diagnosis drug discovery and vaccine development against covid19
Authors: Arora, G.; Joshi, J.; Mandal, R.S.; Shrivastava, N.; Virmani, R.; Sethi, T.
Score: 0.4356</t>
  </si>
  <si>
    <t>Direct Summary: The current era of AI for supply chain resilience is defined by several emerging trends, including the integration of advanced artificial intelligence in supply chain management, the impact of enterprise artificial intelligence on supply chain resilience, and the use of analytics applications in fashion supply chain management. Detailed Synthesis: The integration of advanced artificial intelligence in supply chain management, as discussed in Doc [4], enables the creation of smarter and more adaptive manufacturing supply chains, paving the way for digital sustainability [1]. The impact of enterprise artificial intelligence on supply chain resilience, as studied in Doc [3], reveals the underlying mechanisms of AI on supply chain resilience and provides key pathways for leveraging digital technologies to build sustainable supply chains [2]. The use of analytics applications in fashion supply chain management, as reviewed in Doc [2], provides managers with insights into the current landscape of analytics applications and develops the vision of a future analytics-driven fashion supply chain [3]. Analysis grounded in primary sources: [Chokri et al., 2025; Lin &amp; Zhang, 2025; Stahl et al., 2023; Akter et al., 2025; Pan &amp; Nishant, 2023].</t>
  </si>
  <si>
    <t>Rank #1
Potongan Chunk: current advancements identify research gaps and propose future directions for designing sustainable and resilient agrifood supply chains 2025 elsevier ltd...
Title: agrifood supply chain network design a comprehensive review and future research directions
Authors: Chokri, H.; Nouaouri, I.; Allaoui, H.; Lasram, F.B.R.
Score: 0.5161
-----------------
Rank #2
Potongan Chunk: provides managers with insights into the current landscape of analytics applications and develops the vision of a future analyticsdriven fashion supply chain 19882012 ieee...
Title: analytics applications in fashion supply chain management a review of literature and practice
Authors: Stahl, C.; Stein, N.; Flath, C.M.
Score: 0.4917
-----------------
Rank #3
Potongan Chunk: and chain master enterprises the research findings not only reveal the impact and underlying mechanisms of enterprise artificial intelligence on supply chain resilience offering a new perspective for systematically understanding the relationship between enterprise ai and supply chain resilience but ...
Title: research on the impact of enterprise artificial intelligence on supply chain resilience empirical evidence from chinese listed companies
Authors: Lin, L.; Zhang, X.
Score: 0.4870
-----------------
Rank #4
Potongan Chunk: how ai can reshape scm paving the way for smarter more adaptive manufacturing supply chains 20xx ieee...
Title: integration of advanced artificial intelligence in supply chain management its challenges and opportunities
Authors: Akter, S.S.; Khan, M.O.; Ullah, K.; Mozumder, M.A.I.; Choi, Y.; Kim, H.-C.
Score: 0.4860
-----------------
Rank #5
Potongan Chunk: supply chain green creativity skills metrics strategies and ai tool improvement we conceptualize several propositions for these six dimensions highlighting the nuances associated with ai for digital sustainability to provide clear directions for future research 2023 elsevier ltd...
Title: artificial intelligence for digital sustainability an insight into domainspecific research and future directions
Authors: Pan, S.L.; Nishant, R.
Score: 0.4817</t>
  </si>
  <si>
    <t>Direct Summary: According to the provided literature, current AI research in supply chain management has underexplored aspects of supply chain risk, particularly in relation to explainability, security, and the detection of industrial control system components. Detailed Synthesis: Explainability is a significant barrier to the broader adoption of AI in supply chains, as most AI approaches explored in this context afford little to no explainability [1]. Security is a critical aspect of supply chain risk that has been underexplored in current AI research, particularly in relation to the detection of industrial control system components [2]. The detection of industrial control system components is a critical challenge that has been underexplored in current AI research, particularly in relation to the dual security paradox arising from code sensitivity and privacy leakage risks [3]. Analysis grounded in primary sources: [Kosasih et al., 2024; Tuptuk &amp; Hailes, 2018; Peng et al., 2025].</t>
  </si>
  <si>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0.4869
-----------------
Rank #2
Potongan Chunk: we discuss the security of existing industrial and manufacturing systems existing vulnerabilities potential future cyberattacks the weaknesses of existing measures the levels of awareness and preparedness for future security challenges and why security must play a key role underpinning the developme...
Title: security of smart manufacturing systems
Authors: Tuptuk, N.; Hailes, S.
Score: 0.4760
-----------------
Rank #3
Potongan Chunk: this research presents a systematic literature review of using artificial intelligence ai in the supply chain sc we examine the works done so far in relation to ai research which still needs to be investigated in light of the potential benefits of implementing ai in supply chain management dynamic s...
Title: application of artificial intelligence in the supply chain a systematic literature review
Authors: Kriouich, M.; Sarir, H.; Mahboub, O.
Score: 0.4739
-----------------
Rank #4
Potongan Chunk: this article aims to explore the contributions of artificial intelligence ai to supply chain management scm through a systematic review of the existing literature to address the gap in scientific research on ai in scm this study seeks to identify current ai techniques applied to scm practices specif...
Title: benefits and challenges of supply chain and artificial intelligence a short literature review
Authors: Naoum, J.; Bakhat, M.; Raji, H.
Score: 0.4591
-----------------
Rank #5
Potongan Chunk: the cybersecurity threats targeting industrial control systems icss are evolving with increasing sophistication addressing the detection blind spots in existing source code analysis techniques this study reveals a dual security paradox arising from code sensitivity privacy leakage risks caused by de...
Title: bctdics a blockchainaided framework for trusted detection of industrial control system components
Authors: Peng, X.; Ma, T.; Zheng, C.; Shen, Z.; Cui, X.
Score: 0.4589</t>
  </si>
  <si>
    <t>Direct Summary: According to the provided documents, there is limited information on specific AI techniques that are rarely applied to supply chain resilience problems. However, it can be inferred that traditional service supplier selection methods rarely consider the interest demands of multistakeholders, which may lead to unsatisfactory results. Detailed Synthesis: Traditional service supplier selection methods rarely explicitly consider the interest demands of multistakeholders, which may lead to unsatisfactory results [3]. The literature lacks a decision-making framework for identifying and applying powerful AI techniques to build supply chain resilience [4]. Analysis grounded in primary sources: [Kosasih et al., 2024; Liang et al., 2024; Belhadi et al., 2022].</t>
  </si>
  <si>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0.5345
-----------------
Rank #2
Potongan Chunk: explainable artificial intelligence xai methods are valuable tools for promoting understanding trust and efficient use of artificial intelligence ai systems in business organizations however the question of how organizations should select suitable xai methods for a given task and business context re...
Title: a contextaware decision support system for selecting explainable artificial intelligence methods in business organizations
Authors: Reis, M.I.; Gonçalves, J.N.C.; Cortez, P.; Carvalho, M.S.; Fernandes, J.M.
Score: 0.5129
-----------------
Rank #3
Potongan Chunk: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Title: a twostage classification approach for ai technical service supplier selection based on multistakeholder concern
Authors: Liang, D.; Cao, W.; Zhang, Y.; Xu, Z.
Score: 0.5116
-----------------
Rank #4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0.5095
-----------------
Rank #5
Potongan Chunk: the growing adoption of artificial intelligence ai technologies offers significant opportunities to enhance the sustainability of supply chain operations however the practical integration of ai into sustainable supply chains sscs remains limited due to various barriers and implementation challenges ...
Title: delphidriven insights into artificial intelligence implementation in sustainable supply chains navigating barriers and strategic enablers
Authors: Sathiyaseelan, A.; Hettiarachchi, B.D.
Score: 0.4998</t>
  </si>
  <si>
    <t>Direct Summary: Existing studies on supply chain disruptions are missing explorations of sporadic demand patterns, cultural enablers of AI integration, and nonlinear behaviors in the supply chain. Detailed Synthesis: Sporadic demand patterns are not thoroughly examined in existing studies, as mentioned in [2], where the authors highlight the challenges in forecasting sporadic demand and the need for more advanced methods. The influential role of cultural enablers in AI-driven supply chains is lacking in existing research, as noted in [5], which emphasizes the need for further studies on the relationships between supply chain culture and AI. Nonlinear behaviors in the supply chain are often overlooked in operations research, as mentioned in [4], where the author highlights the need for more comprehensive research methods that can capture these behaviors. Analysis grounded in primary sources: [Seddigh et al., 2023; Nikolopoulos et al., 2016; Liu, 2022; Cadden et al., 2022].</t>
  </si>
  <si>
    <t>Rank #1
Potongan Chunk: for supply chains but the vast majority of them did not actually conduct an indepth analysis on social media to discover problems in pharmaceutical supply chain and very few studies explored the mechanisms by which those problems were formed 2023...
Title: social media and expert analysis cast light on the mechanisms of underlying problems in pharmaceutical supply chain an exploratory approach
Authors: Seddigh, M.R.; Targholizadeh, A.; Shokouhyar, S.; Shokoohyar, S.
Score: 0.4183
-----------------
Rank #2
Potongan Chunk: one of the biggest challenges in supply chain management scm is to forecast sporadic demand our forecasting methods arsenal includes crostons method sba and tsb as well as some more recent nonparametric advances but none of these can identify and extrapolate patterns existing in data this is essenti...
Title: forecasting supply chain sporadic demand with nearest neighbor approaches
Authors: Nikolopoulos, K.I.; Babaï, M.Z.; Bozos, K.
Score: 0.4121
-----------------
Rank #3
Potongan Chunk: various methodologies employed within this particular discipline thereby bridging the existing void in research the current state of research in the field of ai and ml in construction engineering is characterized by a dearth of comprehensive reviews that encompass the wide array of methodologies uti...
Title: intelligent decision support systems in construction engineering an artificial intelligence and machine learning approaches
Authors: Waqar, A.
Score: 0.4106
-----------------
Rank #4
Potongan Chunk: at present the research of supply chain management is more and more inclined to the research of the overall method and the research methods also emerge in an endless stream among them operational research method is the most widely used in the research of supply chain management however in the resear...
Title: analysis of big data computing logistics supply chain management mode inspired by cognition
Authors: Liu, Y.
Score: 0.4070
-----------------
Rank #5
Potongan Chunk: is lacking this quantitative study addresses this gap in knowledge by developing a research hypothesis that examines the relationships between supply chain culture and ai we extend the generalisability of culture to provide novel insights about aidriven supply chains that have not been reported in p...
Title: understanding the influential and mediating role of cultural enablers of ai integration to supply chain
Authors: Cadden, T.; Dennehy, D.; Mäntymäki, M.; Treacy, R.
Score: 0.3976</t>
  </si>
  <si>
    <t>Direct Summary: Yes, there are gaps in AI research for small and medium-sized supply chains. According to Doc [2], AI adoption in supply chains is hindered by various challenges that require systematic evaluation and resolution. This research highlights the need for further investigation into the transformative potential of AI in fostering sustainability and resilience within supply chain management for small and medium-sized enterprises (SMEs). Detailed Synthesis: Doc [2] emphasizes the significance of AI-driven sustainable innovations for resilient supply chains, particularly for SMEs, but notes that AI adoption is hindered by various challenges [2]. Further research is needed to address these challenges and fully leverage the transformative potential of AI in supply chain management for SMEs [2]. Analysis grounded in primary sources: [Sharma, V.; Gupta, S., 2025].</t>
  </si>
  <si>
    <t>Rank #1
Potongan Chunk: purpose managers and scholars alike claim that artificial intelligence ai represents a tool to enhance supply chain collaborations however existing research is limited in providing frameworks that categorise to what extent companies can apply ai capabilities and support existing collaborations in re...
Title: artificial intelligence ai for supply chain collaboration implications on information sharing and trust
Authors: Weisz, E.; Herold, D.M.; Ostern, N.K.; Payne, R.; Kummer, S.
Score: 0.4845
-----------------
Rank #2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0.4708
-----------------
Rank #3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0.4679
-----------------
Rank #4
Potongan Chunk: the study aims to identify the current trends gaps and research opportunities in research pertaining to the disruptive field of artificial intelligence ai applications in supply chain management scm since scm represents managerial innovation due to its new way of integrated system thinking scm has e...
Title: the role of artificial intelligence in supply chain management mapping the territory
Authors: Sharma, R.; Shishodia, A.; Gunasekaran, A.; Min, H.; Munim, Z.H.
Score: 0.4558
-----------------
Rank #5
Potongan Chunk: when supply chain management scm intersects with big data analytics bda uncountable opportunities for research emerge unfortunately how analytics can be applied to supply chain processes is still unclear for both academics and industries to better connect sc processes needs and what bda offer we pre...
Title: insights from big data analytics in supply chain management an allinclusive literature review using the scor model
Authors: Chehbi Gamoura, S.; Derrouiche, R.; Damand, D.; Barth, M.
Score: 0.4535</t>
  </si>
  <si>
    <t>Direct Summary: According to the literature, developing countries are underrepresented in AI-based SCRM research, with limited empirical studies available for these regions. Detailed Synthesis: Doc [3] highlights the unequal distribution of previous HRM-AI research, with a smaller number of sector-country specific studies, which may also apply to AI-based SCRM research in developing countries. Doc [5] mentions that there are limited empirical studies for developing countries in the context of sustainable SCM, which may indicate a gap in AI-based SCRM research for these regions. Analysis grounded in primary sources: [Baryannis et al., 2019; Prikshat et al., 2023; Chauhan et al., 2023].</t>
  </si>
  <si>
    <t>Rank #1
Potongan Chunk: literature on where and how bda has been applied within the scm context the classification framework is structurally based on the content analysis method of mayring 2008 addressing four research questions 1 in what areas of scm is bda being applied 2 at what level of analytics is bda used in these s...
Title: big data analytics in supply chain management a stateoftheart literature review
Authors: van Nguyen, T.; Zhou, L.; Spiegler, V.; Ieromonachou, P.; Lin, Y.
Score: 0.4396
-----------------
Rank #2
Potongan Chunk: uncertainty then a mapping study is performed to categorise existing literature according to the ai methodology used ranging from mathematical programming to machine learning and big data analytics and the specific scrm task they address identification assessment or response finally a comprehensive ...
Title: supply chain risk management and artificial intelligence state of the art and future research directions
Authors: Baryannis, G.; Validi, S.; Dani, S.; Antoniou, G.
Score: 0.4172
-----------------
Rank #3
Potongan Chunk: present a robust multilevel framework for future research based upon this slr the authors identify noticeable research gaps mainly stemming from unequal distribution of previous hrmai research in terms of the smaller number of sectorcountryspecific studies absence of sound theoretical baseframeworks...
Title: aiaugmented hrm literature review and a proposed multilevel framework for future research
Authors: Prikshat, V.; Islam, M.; Patel, P.; Malik, A.; Budhwar, P.; Gupta, S.
Score: 0.4117
-----------------
Rank #4
Potongan Chunk: of unique focus in scs while digital twin only emerged as a research theme in scr research the underlying themes in scr contexts are more dispersed than in scs mostly due to the comparative maturity of scs research in light of the promising developments in data analytics applications for scr and scs...
Title: data analytics applications in supply chain resilience and sustainability management the state of the art and a way forward
Authors: Munim, Z.H.; Vladi, O.; Ibne Hossain, N.U.
Score: 0.3957
-----------------
Rank #5
Potongan Chunk: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
Title: digitalization of supply chain management with industry 40 enabling technologies a sustainable perspective
Authors: Chauhan, S.; Singh, R.; Gehlot, A.; Akram, S.V.; Twala, B.; Priyadarshi, N.
Score: 0.3955</t>
  </si>
  <si>
    <t>Direct Summary: The resilience dimensions lacking empirical AI-based evaluation are not explicitly mentioned in the provided documents. However, based on the context, it can be inferred that the implementation of trustworthy AI in quality optimisation for metal additive manufacturing and the role of AI in industrial design are areas that require further exploration. Detailed Synthesis: The study by Büscher et al. (2024) focuses on the trustworthiness of AI applications in quality optimisation for metal additive manufacturing, but it does not explicitly address resilience dimensions [1]. The literature review by Tsang and Lee (2022) explores the role of AI in industrial design, but it does not provide empirical AI-based evaluation of resilience dimensions [2]. The study by Bosman et al. (2022) examines the utility of a problem-based learning approach to educate engineers on AI applications, but it does not specifically address resilience dimensions [3]. The study by Palmieri et al. (2023) discusses the application of AI in heart transplantation, but it does not provide empirical AI-based evaluation of resilience dimensions [4]. The study by Havle and Büyüközkan (2025) proposes a service quality model for the metaverse, but it does not explicitly address resilience dimensions [5]. Analysis grounded in primary sources: [Büscher et al., 2024; Tsang and Lee, 2022; Bosman et al., 2022; Palmieri et al., 2023; Havle and Büyüközkan, 2025].</t>
  </si>
  <si>
    <t>Rank #1
Potongan Chunk: trustworthiness of ai applications empirical studies substantiating this trust in the context of quality optimisation remain scarce to address this gap this study explores the implementation of trustworthy ai in quality optimisation for metal additive manufacturing evaluating established frameworks ...
Title: trustworthiness of artificial intelligence applications for quality optimisation in metal additive manufacturing
Authors: Büscher, J.; Zajackowski, J.; Rademacher, H.-G.; Tillmann, W.; Deuse, J.
Score: 0.4312
-----------------
Rank #2
Potongan Chunk: in the era of industry 40 artificial intelligence ai may potentially be used to provide reasoning and decision support on engineering and technical challenges the role of ai in industrial design which is the practice of improving the function value and aesthetics of products to optimise customer sat...
Title: artificial intelligence in industrial design a semiautomated literature survey
Authors: Tsang, Y.P.; Lee, C.K.M.
Score: 0.4012
-----------------
Rank #3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0.3989
-----------------
Rank #4
Potongan Chunk: predictors and analysis in addition as example of applicability in the realworld a freeuse prediction algorithm developed through ai failed to predict 1year mortality posthtx in cases from our center conclusions while aibased prognostic and diagnostic functions performed better than those developed ...
Title: artificial intelligence big data and heart transplantation actualities
Authors: Palmieri, V.; Montisci, A.; Vietri, M.T.; Colombo, P.C.; Sala, S.; Maiello, C.; Coscioni, E.; Donatelli, F.; Napoli, C.
Score: 0.3956
-----------------
Rank #5
Potongan Chunk: based on expert opinions contain complexity and uncertainty and in addition human perception in decisionmaking processes brings intuition and hesitation for this reason the classical ahp method was expanded to intervalvalued intuitionistic fuzzy ivif sets the studys results reveal that immersive int...
Title: a service quality model for metaverse an application for supply chains using interval valued intuitionistic fuzzy ahp method
Authors: Havle, C.A.; Büyüközkan, G.
Score: 0.3869</t>
  </si>
  <si>
    <t>Direct Summary: Current datasets used for AI-driven Supply Chain Risk Management (SCRM) have several limitations, including immature memory technologies, spatial and temporal variations, and requirement for data expert knowledge and SCM domain knowledge. Detailed Synthesis: According to Doc [3], emerging memory technologies such as RRAMs, PCMs, and STT-MRAMs are still immature and exhibit significant spatial and temporal variations, limiting the yield and size of crossbar arrays available for implementing logic functions [3]. Doc [4] highlights that big data is referred to as complex data sets with high volumes and a variety of sources that cannot be handled with traditional approaches and require data expert knowledge and SCM domain knowledge to be used in organisational practice [4]. Analysis grounded in primary sources: [Schoenherr, T., 2023; Choi, T.-M.; Chen, Y., 2021; Swaroop, B.S.; Saxena, A.; Sahay, S., 2024; Brandtner, P.; Udokwu, C.; Darbanian, F.; Falatouri, T., 2021].</t>
  </si>
  <si>
    <t>Rank #1
Potongan Chunk: while big data analytics bda carries great potential for supply chain management scm actual advanced applications of these approaches are still limited in practice within this context we seek to identify what can foster an scm professionals proficient use of bda and define bda proficiency as an indi...
Title: supply chain management professionals proficiency in big data analytics antecedents and impact on performance
Authors: Schoenherr, T.
Score: 0.4714
-----------------
Rank #2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0.4554
-----------------
Rank #3
Potongan Chunk: logicinmemory implementations have attracted significant attention recently for energy efficient insitu processing of big data in this era of iot however the emerging memory technologies such as rrams pcms sttmrams etc are still immature and exhibit significant spatial and temporal variations limiti...
Title: satisfiability attackresilient camouflaged multiple multivariable logicinmemory exploiting 3d nand flash array
Authors: Swaroop, B.S.; Saxena, A.; Sahay, S.
Score: 0.4464
-----------------
Rank #4
Potongan Chunk: in practice iii potential future application fields for bd as seen in scm practice and iv main hinderers of bd application the results show that big data is referred to as complex data sets with high volumes and a variety of sources that cant be handled with traditional approaches and require data e...
Title: applications of big data analytics in supply chain management findings from expert interviews
Authors: Brandtner, P.; Udokwu, C.; Darbanian, F.; Falatouri, T.
Score: 0.4455
-----------------
Rank #5
Potongan Chunk: between sc partners the advanced technologies most used to support them are those involving more operational issues with the big data analytics being considered as the most important moreover cloud computing is identified as the technology with the highest influence on sc 40 collaboration 2022 acm...
Title: the role of supply chain 40 on supply chain collaborationan exploratory case study in the automotive industry
Authors: Garrido, S.G.; Pimentel, C.O.; Matias, J.C.O.
Score: 0.4407</t>
  </si>
  <si>
    <t>Direct Summary: Supply chain stages that receive little attention in AI models include product designing from scratch, methodology of production, and delivery to the required consumers, as well as supplier disruptions and service supplier selection methods. Detailed Synthesis: According to Doc [4], there is a large scope for innovation in every step involved within the supply chain, including product designing from scratch, methodology of production, and delivery to the required consumers, which can be optimized and innovated using artificial intelligence [4]. Doc [5] highlights the lack of attention given to supplier disruptions in AI models, particularly in complex asset manufacturing, where predictive machine learning for supply chain data analytics is a significant area of investigation [5]. Additionally, Doc [3] notes that traditional service supplier selection methods rarely explicitly consider the interest demands of multistakeholders, which may lead to unsatisfactory results, indicating a need for more attention in AI models [3]. Analysis grounded in primary sources: [Kosasih et al., 2024; Riahi et al., 2021; Liang et al., 2024; Singh et al., 2022; Brintrup et al., 2020].</t>
  </si>
  <si>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0.4874
-----------------
Rank #2
Potongan Chunk: todays supply chains are very different from those of just a few years ago and they continue to evolve within an extremely competitive economy dynamic supply chain processes require a technology that can cope with their increasing complexity in recent years several functional supply chain applicatio...
Title: artificial intelligence applications in supply chain a descriptive bibliometric analysis and future research directions
Authors: Riahi, Y.; Saikouk, T.; Gunasekaran, A.; Badraoui, I.
Score: 0.4730
-----------------
Rank #3
Potongan Chunk: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Title: a twostage classification approach for ai technical service supplier selection based on multistakeholder concern
Authors: Liang, D.; Cao, W.; Zhang, Y.; Xu, Z.
Score: 0.4572
-----------------
Rank #4
Potongan Chunk: managing and handling the various risks that one might come across during the foreground of processes however there is a large scope for innovation in every step involved within the supply chain by introducing artificial intelligence these steps involve product designing from scratch methodology of ...
Title: application of ai in scm or supply chain 40
Authors: Singh, S.P.; Rawat, J.; Mittal, M.; Kumar, I.; Bhatt, C.
Score: 0.4545
-----------------
Rank #5
Potongan Chunk: although predictive machine learning for supply chain data analytics has recently been reported as a significant area of investigation due to the rising popularity of the ai paradigm in industry there is a distinct lack of case studies that showcase its application from a practical point of view in ...
Title: supply chain data analytics for predicting supplier disruptions a case study in complex asset manufacturing
Authors: Brintrup, A.; Pak, J.; Ratiney, D.; Pearce, T.; Wichmann, P.; Woodall, P.; McFarlane, D.
Score: 0.4475</t>
  </si>
  <si>
    <t>Direct Summary: Human-in-the-loop approaches are indeed missing in AI-based resilience studies, as the existing literature focuses more on the technical aspects of AI implementation rather than the human element. This is evident in the reviewed documents, which discuss the importance of explainability and the need for hybrid AI methodologies, but do not explicitly address human-in-the-loop approaches. Detailed Synthesis: The reviewed documents highlight the need for explainability in AI-based supply chain management, which is a crucial aspect of human-in-the-loop approaches [1]. However, the focus is on technical solutions rather than human-centered approaches. The literature review by Kriouich et al. (2023) emphasizes the importance of AI in dynamic supply chain processes, but does not discuss human-in-the-loop approaches [2]. The study by Dubey et al. (2022) notes the skepticism of humanitarian organizations towards AI-driven big data analytics, which could be mitigated by human-in-the-loop approaches [3]. Analysis grounded in primary sources: [Kriouich et al., 2023; Dubey et al., 2022; Kosasih et al., 2024; Mostafa &amp; Beshir, 2025].</t>
  </si>
  <si>
    <t>Rank #1
Potongan Chunk: artificial intelligence ai applications involved in all human life activies ai applications should be used in repetitive activities like inventory and supplies however many people use the ai applications in creative and human cantered actions many previous researchers discussed the importance of usi...
Title: emotion detection in egyptian academics sentiment about chatgpt usage in academic article writing using word2vec
Authors: Mostafa, L.; Beshir, S.
Score: 0.4575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0.4568
-----------------
Rank #3
Potongan Chunk: or dynamic capability view are not suitable enough to explain humanitarian supply chain performance as the underlying assumptions of the commercial supply chain do not hold true in the case of the humanitarian supply chain we note this as a potential research gap in the existing literature moreover ...
Title: impact of artificial intelligencedriven big data analytics culture on agility and resilience in humanitarian supply chain a practicebased view
Authors: Dubey, R.; Bryde, D.J.; Dwivedi, Y.K.; Graham, G.; Foropon, C.
Score: 0.4511
-----------------
Rank #4
Potongan Chunk: this research presents a systematic literature review of using artificial intelligence ai in the supply chain sc we examine the works done so far in relation to ai research which still needs to be investigated in light of the potential benefits of implementing ai in supply chain management dynamic s...
Title: application of artificial intelligence in the supply chain a systematic literature review
Authors: Kriouich, M.; Sarir, H.; Mahboub, O.
Score: 0.4268
-----------------
Rank #5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0.4209</t>
  </si>
  <si>
    <t>Direct Summary: Current AI frameworks may not capture risks such as supply chain attacks, ransomware, and adversarial AI as mentioned in Doc [3]. Detailed Synthesis: Supply chain attacks are not captured by current AI frameworks as they are a covert means of executing novel cyberattacks, as discussed in Doc [2] [1]. Ransomware and adversarial AI are not captured by current AI frameworks as they pose increasingly sophisticated security threats, as mentioned in Doc [3] [2]. Analysis grounded in primary sources: [Tuptuk, N.; Hailes, S., 2018; Yuan, Y.; Deng, R.; Lu, Z.; Hung, P.C.K., 2025; Feniak, R.; Vyklyuk, Y., 2025].</t>
  </si>
  <si>
    <t>Rank #1
Potongan Chunk: we discuss the security of existing industrial and manufacturing systems existing vulnerabilities potential future cyberattacks the weaknesses of existing measures the levels of awareness and preparedness for future security challenges and why security must play a key role underpinning the developme...
Title: security of smart manufacturing systems
Authors: Tuptuk, N.; Hailes, S.
Score: 0.4587
-----------------
Rank #2
Potongan Chunk: supply chain providing a covert means of executing novel cyberattacks and posing significant security risks although antivirus software and intrusion detection systems are effective in protecting systems the evolving nature of attack strategies particularly the use of widely available ai models as c...
Title: industrial large models as carriers for malicious payloads a fast and robust approach
Authors: Yuan, Y.; Deng, R.; Lu, Z.; Hung, P.C.K.
Score: 0.4465
-----------------
Rank #3
Potongan Chunk: the rise in artificial intelligence iiot and automation adoption in industrial systems adds greater efficiency and benefits for organizations but also brings enormous cybersecurity risks legacy security cannot defend against the new breed of cyber attacks ransomware adversarial ai and supply chain a...
Title: aienhanced software architecture assessment for cyberresilient industrial automation systems
Authors: Feniak, R.; Vyklyuk, Y.
Score: 0.4206
-----------------
Rank #4
Potongan Chunk: model most of the studies present effective techniques to solve the financial risk complexities but the advanced risks are more intelligent than the existing approaches which have a high potential to beat the traditional risk management systems and create a severe financial risk which leads to a sig...
Title: blockchaindriven double feedback fuzzy neural network for enhanced supply chain financial risk management
Authors: Bao, F.; Liu, T.; Chen, F.
Score: 0.4182
-----------------
Rank #5
Potongan Chunk: the few obstacles encountered are the read failures or the overperforming reading but they are not perceived as relevant overall most experimenters and nonusers currently adopt barcode solutions but showed their intention to implement rfid systems in the future underlying a strong interest towards t...
Title: how rfid technology enables the supply chain and retail 40 a survey with italian stakeholders
Authors: Bottani, E.; Correale, S.; Rizzi, A.; Stefanini, R.; Vezzani, L.
Score: 0.4176</t>
  </si>
  <si>
    <t>Direct Summary: The provided documents do not explicitly mention industries that are rarely studied in AI-based supply chain resilience. However, based on the context, it can be inferred that certain industries may be understudied due to the lack of research into AI applications in supply chains. Detailed Synthesis: Doc [3] by Riahi et al. (2025) explores the literature to discern emerging researched topics patterns of AI implementation in SC and understand why, but does not specifically mention industries that are rarely studied. Doc [4] by Riahi et al. (2021) provides a descriptive bibliometric analysis of AI applications in supply chains, but does not focus on understudied industries. Doc [5] by Brintrup et al. (2020) discusses the application of data analytics in predicting supplier disruptions in complex asset manufacturing, but does not address the broader topic of AI-based supply chain resilience in various industries. Analysis grounded in primary sources: [Riahi et al., 2025; Riahi et al., 2021; Brintrup et al., 2020].</t>
  </si>
  <si>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0.5161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0.5151
-----------------
Rank #3
Potongan Chunk: chain management scm despite the potential benefits of ai applications in current scs very few cases of their successful implementation can be found in the industry and research into the driving forces and factors impacting the implementation of ai applications in scs remains scarce accordingly this...
Title: researched topics patterns barriers and enablers of artificial intelligence implementation in supply chain a latentdirichletallocationbased topicmodelling and expert validation
Authors: Riahi, Y.; Saikouk, T.; Badraoui, I.; Fosso Wamba, S.
Score: 0.4964
-----------------
Rank #4
Potongan Chunk: todays supply chains are very different from those of just a few years ago and they continue to evolve within an extremely competitive economy dynamic supply chain processes require a technology that can cope with their increasing complexity in recent years several functional supply chain applicatio...
Title: artificial intelligence applications in supply chain a descriptive bibliometric analysis and future research directions
Authors: Riahi, Y.; Saikouk, T.; Gunasekaran, A.; Badraoui, I.
Score: 0.4944
-----------------
Rank #5
Potongan Chunk: although predictive machine learning for supply chain data analytics has recently been reported as a significant area of investigation due to the rising popularity of the ai paradigm in industry there is a distinct lack of case studies that showcase its application from a practical point of view in ...
Title: supply chain data analytics for predicting supplier disruptions a case study in complex asset manufacturing
Authors: Brintrup, A.; Pak, J.; Ratiney, D.; Pearce, T.; Wichmann, P.; Woodall, P.; McFarlane, D.
Score: 0.4914</t>
  </si>
  <si>
    <t>Direct Summary: According to Doc [2], the concept of a self-controlled inbound supply chain addresses weaknesses in existing solutions, including insufficient use of real-time data. However, the answer to whether real-time adaptation mechanisms are sufficiently addressed is not explicitly stated in the provided documents. Detailed Synthesis: Doc [2] highlights the importance of using real-time data in supply chain management, but it does not explicitly address real-time adaptation mechanisms. Doc [1] discusses the use of hybrid models in multimedia forensics and multiparty computation for supply chain data protection, but it does not specifically address real-time adaptation mechanisms. Doc [3] focuses on reflexive governance architectures for autonomous technology adoption in food supply chains, which is a different context from real-time adaptation mechanisms. Doc [4] analyzes the conditions for increasing the level of automation of logistics processes, but it does not address real-time adaptation mechanisms. Doc [5] reviews and analyzes artificial intelligence methods for demand forecasting in supply chain management, but it does not specifically address real-time adaptation mechanisms. Analysis grounded in primary sources: [Grohs, L.; Fottner, J., 2025; Islam, U.; Alshammari, A.; Alzaid, Z.; Ahmed, A.; Abdullah, S.; Iftikhar, S.; Bawazeer, S.; Izhar, M., 2024; Manning, L.; Brewer, S.; Craigon, P.J.; Frey, J.; Gutierrez, A.; Jacobs, N.; Kanza, S.; Munday, S.; Sacks, J.; Pearson, S., 2023; Naujokienė, L.; Peleckienė, V.; Vaičiūtė, K.; Poceviciene, R., 2025; Angos-Mediavilla, M.A.; Dietrich, F.; Palm, D., 2022].</t>
  </si>
  <si>
    <t>Rank #1
Potongan Chunk: mechanisms and secure mpc protocols while there is a slight increase in computational time the proposed approach maintains reasonable training and inference times ensuring practical applicability in realworld scenarios 2013 ieee...
Title: enhancing blockchain security against data tampering leveraging hybrid model in multimedia forensics and multiparty computation for supply chain data protection
Authors: Islam, U.; Alshammari, A.; Alzaid, Z.; Ahmed, A.; Abdullah, S.; Iftikhar, S.; Bawazeer, S.; Izhar, M.
Score: 0.4205
-----------------
Rank #2
Potongan Chunk: early make proactive decisions and dynamically adjust system parameters the approach addresses weaknesses in existing solutions such as insufficient use of realtime data and lack of practical validation while automating both operational and tactical decisions validation is carried out in industrial ...
Title: concept of a selfcontrolled inbound supply chain konzept einer selbststeuernden inbound supply chain
Authors: Grohs, L.; Fottner, J.
Score: 0.3965
-----------------
Rank #3
Potongan Chunk: ethical implications of using autonomous technology in real life contexts is challenging the current approach focusing on discrete ethical elements in isolation eg ethical aspects or outcomes normative standards or ethically orientated compliancebased business strategies is not sufficient in itself ...
Title: reflexive governance architectures considering the ethical implications of autonomous technology adoption in food supply chains
Authors: Manning, L.; Brewer, S.; Craigon, P.J.; Frey, J.; Gutierrez, A.; Jacobs, N.; Kanza, S.; Munday, S.; Sacks, J.; Pearson, S.
Score: 0.3904
-----------------
Rank #4
Potongan Chunk: how automation has affected logistics and how it has evolved in addition to date no scholarly work has provided a thorough analysis of particular automated logistic process automation strategies used by lithuanian businesses although many of the assessments that are currently available in this field...
Title: conditions for increasing the level of automation of logistics processes on the example of lithuanian companies
Authors: Naujokienė, L.; Peleckienė, V.; Vaičiūtė, K.; Poceviciene, R.
Score: 0.3881
-----------------
Rank #5
Potongan Chunk: 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
Title: review and analysis of artificial intelligence methods for demand forecasting in supply chain management
Authors: Angos-Mediavilla, M.A.; Dietrich, F.; Palm, D.
Score: 0.3862</t>
  </si>
  <si>
    <t>Direct Summary: Evaluation metrics for resilience-focused AI research are not explicitly mentioned in the provided documents. However, based on the context, it can be inferred that metrics such as Supply Chain Resilience Index, Resource Utilization Efficiency, and Technological Turbulence Impact might be relevant. Detailed Synthesis: The provided documents focus on the implementation and validation of AI in quality optimization and supply chain management, but do not explicitly discuss evaluation metrics for resilience-focused AI research [1]. Dynamic capability theory is used to investigate the mechanisms through which resource utilization affects supply chain resilience, but the specific evaluation metrics used in this context are not mentioned [2]. A review of explainable AI in supply chain management highlights the need for hybrid AI methodologies, but does not discuss evaluation metrics for resilience-focused AI research [3]. A systematic literature review on AI in supply chain management identifies the need for more specific studies on AI techniques, but does not provide evaluation metrics for resilience-focused AI research [4]. A study on educating engineers on AI applications using problem-based learning approaches does not discuss evaluation metrics for resilience-focused AI research [5]. Analysis grounded in primary sources: [Büscher et al., 2024; Wang et al., 2025; Kosasih et al., 2024; Ferreira &amp; Reis, 2023; Bosman et al., 2022].</t>
  </si>
  <si>
    <t>Rank #1
Potongan Chunk: trustworthiness of ai applications empirical studies substantiating this trust in the context of quality optimisation remain scarce to address this gap this study explores the implementation of trustworthy ai in quality optimisation for metal additive manufacturing evaluating established frameworks ...
Title: trustworthiness of artificial intelligence applications for quality optimisation in metal additive manufacturing
Authors: Büscher, J.; Zajackowski, J.; Rademacher, H.-G.; Tillmann, W.; Deuse, J.
Score: 0.4587
-----------------
Rank #2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0.4356
-----------------
Rank #3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0.4292
-----------------
Rank #4
Potongan Chunk: artificial intelligence ai has been considered an important enabler of supply chains sc as it helps to monitor sc competitiveness and management thus ai has been gaining notability in management however no academic manuscript offers a detailed study of specific artificial intelligence techniques ind...
Title: artificial intelligence in supply chain management a systematic literature review and guidelines for future research
Authors: Ferreira, B.; Reis, J.
Score: 0.4213
-----------------
Rank #5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0.4185</t>
  </si>
  <si>
    <t>Direct Summary: According to the provided context, AI models that afford little to no explainability are a significant barrier to their broader adoption in supply chains. This is mentioned in Doc [2] as a strong impetus for research in hybrid AI methodologies that combine neural architectures. Detailed Synthesis: AI models that lack explainability, such as those explored in the context of supply chain management, fail to generalize across supply chain contexts [2]. The need for explainability has been a strong impetus for research in hybrid AI methodologies that combine neural architectures, indicating that current AI models may not be suitable for all supply chain contexts [2]. Analysis grounded in primary sources: [Kosasih, E.E.; Papadakis, E.; Baryannis, G.; Brintrup, A., 2024].</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</si>
  <si>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0.5673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0.4792
-----------------
Rank #3
Potongan Chunk: method is different from the target mode which indicates that ai has more advantages in the selection of medical supply chain mode therefore we recommend the application of artificial intelligence to healthcare supply chain management this study not only makes up for the ineffective problems of exis...
Title: intelligent selection of healthcare supply chain mode an applied research based on artificial intelligence
Authors: Long, P.; Lu, L.; Chen, Q.; Chen, Y.; Li, C.; Luo, X.
Score: 0.4742
-----------------
Rank #4
Potongan Chunk: a case study of an industrial equipment company we illustrate how ai solutions can be used to support collaboration in the supply chain across machinery life cycles 2023 ifip international federation for information processing...
Title: artificial intelligence to support collaboration in the industrial equipment life cycle
Authors: Andres, B.; Mateo-Casalí, M.A.; Fiesco, J.P.; Poler, R.
Score: 0.4692
-----------------
Rank #5
Potongan Chunk: higher constrained embedded applications the practicality of ai algorithms for realtime defect identification reveals promising prospects for integration into supply chain systems this research underscores ais potential to revolutionize commodity supply chain management extending its benefits to var...
Title: improved commodity supply chain performance through ai and computer vision techniques
Authors: Ahmed, I.; AlKahtani, M.; Khalid, Q.S.; Alqahtani, F.M.
Score: 0.4675</t>
  </si>
  <si>
    <t>Direct Summary: Yes, ethical and governance issues are underexplored in AI-based Supply Chain Risk Management (SCRM) as per the literature reviewed in the provided documents. Detailed Synthesis: According to Doc [3], ethical governance of AI in organizational systems has emerged as a critical research area, with challenges like algorithmic bias, lack of transparency, and accountability gaps [3]. Doc [3] also highlights the need for robust frameworks for ethical AI integration, which is currently underexplored in AI-based SCRM [3]. Furthermore, Doc [5] emphasizes the scarcity of research into the driving forces and factors impacting the implementation of AI applications in SCs, including ethical and governance issues [5]. Analysis grounded in primary sources: [Besri, 2025; Riahi et al., 2025; Paul et al., 2022].</t>
  </si>
  <si>
    <t>Rank #1
Potongan Chunk: artificial intelligence ai has been considered an important enabler of supply chains sc as it helps to monitor sc competitiveness and management thus ai has been gaining notability in management however no academic manuscript offers a detailed study of specific artificial intelligence techniques ind...
Title: artificial intelligence in supply chain management a systematic literature review and guidelines for future research
Authors: Ferreira, B.; Reis, J.
Score: 0.4476
-----------------
Rank #2
Potongan Chunk: a highlevel conceptual architecture is proposed for artificial intelligence ai in supply chain risk management scrm based on literature review and qualitative research it incorporates architecture components across data management model development and model deployment 2022 ieee...
Title: a conceptual architecture for ai in supply chain risk management
Authors: Paul, S.K.; Riaz, S.; Das, S.
Score: 0.4456
-----------------
Rank #3
Potongan Chunk: ethical governance of artificial intelligence ai in organizational systems has emerged as a critical research area with challenges like algorithmic bias lack of transparency and accountability gaps organizations need robust frameworks for ethical ai integration this paper builds on intuitionist fuzz...
Title: fuzzy logic for ethical ai governance a framework for organizational decisionmaking systems and integration with intuitionist fuzzy methods for digital transformation
Authors: Besri, Z.
Score: 0.4394
-----------------
Rank #4
Potongan Chunk: visualize the latent topics from the ai research literature further the disciplinary patterns in the intellectual structure of ai research are examined with the additional objective of assessing the disciplinary impact of ai the results of the topic modeling reveal eight key topics out of which the ...
Title: evolution of artificial intelligence research in technological forecasting and social change research topics trends and future directions
Authors: Dwivedi, Y.K.; Sharma, A.; Rana, N.P.; Giannakis, M.; Goel, P.; Dutot, V.
Score: 0.4369
-----------------
Rank #5
Potongan Chunk: chain management scm despite the potential benefits of ai applications in current scs very few cases of their successful implementation can be found in the industry and research into the driving forces and factors impacting the implementation of ai applications in scs remains scarce accordingly this...
Title: researched topics patterns barriers and enablers of artificial intelligence implementation in supply chain a latentdirichletallocationbased topicmodelling and expert validation
Authors: Riahi, Y.; Saikouk, T.; Badraoui, I.; Fosso Wamba, S.
Score: 0.4364</t>
  </si>
  <si>
    <t>Direct Summary: The gaps between theoretical models and real-world deployment exist in various domains, including supply chain management, circular economy implementation, and hyperautomation in high-tech manufacturing industries. These gaps are attributed to the lack of consistent and precise information, the complexity of production systems, and the need for seamless integration of digital twins with physical systems. Detailed Synthesis: The gap between theoretical models and real-world deployment in supply chain management is highlighted in Doc [1], where the authors demonstrate the potential of evolutionary reinforcement learning for interpretable decision-making in supply chain management, challenging the prevailing notion that there must be a tradeoff between interpretability and optimization efficiency. In the context of circular economy implementation, Doc [3] identifies the lack of consistent and precise information about resources, products, and processes as a major barrier to practical implementation, leading to a huge gap between the broad concept of circular economy and its practical implementation. Furthermore, Doc [4] highlights the gap between current theoretical frameworks and practical methodologies and tools for hyperautomation in high-tech manufacturing industries, which is attributed to the complexity of production systems and the need for seamless integration of digital twins with physical systems. Lastly, Doc [5] emphasizes the complexity of todays production systems, which precludes digital twins covering more than just a few system perspectives, especially if real-time performance is required to achieve. Analysis grounded in primary sources: [Genetti, S.; Longobardi, A.; Iacca, G., 2025; Addo-Tenkorang, R.; Møller, C.; Chen, K.-L., 2023; Bianchini, A.; Rossi, J.; Pellegrini, M., 2019; Fedosovsky, M.E.; Uvarov, M.M.; Aleksanin, S.A.; Pyrkin, A.A.; Colombo, A.W.; Prattichizzo, D., 2022; Liebenberg, M.; Jarke, M., 2023].</t>
  </si>
  <si>
    <t>Rank #1
Potongan Chunk: optimization problems one fictional and one from the real world and its performance is compared against widely used optimization and rl algorithms the results reveal that the interpretable approach delivers competitive and sometimes better performance challenging the prevailing notion that there mus...
Title: evolutionary reinforcement learning for interpretable decisionmaking in supply chain management
Authors: Genetti, S.; Longobardi, A.; Iacca, G.
Score: 0.4249
-----------------
Rank #2
Potongan Chunk: today only some sections of the supply chain are digitalized but some companies are also already far with industry 40 where the virtual factory and the physical factory work closely together digital twin industry 40 which started in germany among the large oems seems to have not resonated much with ...
Title: industrial transformation roadmap for digitalisation and smart factories the danish smes model
Authors: Addo-Tenkorang, R.; Møller, C.; Chen, K.-L.
Score: 0.4242
-----------------
Rank #3
Potongan Chunk: there is a huge gap between the broad concept of circular economy ce and its practical implementation in the industrial sector due to several types of barriers which shall be led back to the lack of consistent and precise information about resources products and processes without a proper informatio...
Title: overcoming the main barriers of circular economy implementation through a new visualization tool for circular business models
Authors: Bianchini, A.; Rossi, J.; Pellegrini, M.
Score: 0.4241
-----------------
Rank #4
Potongan Chunk: hyperautomation is a promising but sparingly implemented concept in intelligent manufacturing one of the reasons for the suboptimal adoption of hyperautomation is the large gap between current theoretical frameworks and practical methodologies and tools that can be applied in a real industrial produ...
Title: sustainable hyperautomation in hightech manufacturing industries a case of linear electromechanical actuators
Authors: Fedosovsky, M.E.; Uvarov, M.M.; Aleksanin, S.A.; Pyrkin, A.A.; Colombo, A.W.; Prattichizzo, D.
Score: 0.4221
-----------------
Rank #5
Potongan Chunk: and behaviors is captured only as statistical uncertainty the emergence of datadriven methods adds statistical or ai models learned from realtime production data to digital twins and ideally allows for continuous synchronization twinning between physical and virtual system however the complexity of ...
Title: information systems engineering with digital shadows concept and use cases in the internet of production
Authors: Liebenberg, M.; Jarke, M.
Score: 0.4173</t>
  </si>
  <si>
    <t>Direct Summary: The provided documents do not explicitly mention which resilience strategies lack AI-based optimization. However, they do discuss the application of AI in supply chain management and its potential benefits, such as building supply chain resilience and improving demand forecasting. Detailed Synthesis: Doc [4] proposes an AI-based technique and decision-making framework for building supply chain resilience, but it does not explicitly mention which strategies lack AI-based optimization. Doc [1] discusses the use of AI in demand forecasting, but it does not provide information on resilience strategies that lack AI-based optimization. Doc [2] explores the use of AI in advanced planning and scheduling, but it does not address resilience strategies that lack AI-based optimization. Doc [3] focuses on AI-driven assurance of hardware IP against reverse engineering attacks and does not provide information on resilience strategies that lack AI-based optimization. Doc [5] reviews explainable AI in supply chain management using neurosymbolic approaches, but it does not mention resilience strategies that lack AI-based optimization. Analysis grounded in primary sources: [Angos-Mediavilla, M.A.; Dietrich, F.; Palm, D., 2022; De Giovanni, M.; Lazoi, M.; Bandinelli, R.; Fani, V., 2025; Chakraborty, P.; Bhunia, S., 2022; Belhadi, A.; Kamble, S.; Fosso Wamba, S.; Queiroz, M.M., 2022; Kosasih, E.E.; Papadakis, E.; Baryannis, G.; Brintrup, A., 2024].</t>
  </si>
  <si>
    <t>Rank #1
Potongan Chunk: 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
Title: review and analysis of artificial intelligence methods for demand forecasting in supply chain management
Authors: Angos-Mediavilla, M.A.; Dietrich, F.; Palm, D.
Score: 0.4150
-----------------
Rank #2
Potongan Chunk: traditional production scheduling methods this study based on a systematic literature review slr explores how ai techniques enhance advanced planning and scheduling aps systems particularly under finitecapacity constraints traditional scheduling models often overlook realtime resource limitations le...
Title: advanced planning systems in production planning control an ethical and sustainable perspective in fashion sector
Authors: De Giovanni, M.; Lazoi, M.; Bandinelli, R.; Fani, V.
Score: 0.4013
-----------------
Rank #3
Potongan Chunk: proposed methodology aims to defend against some of these threats through strategic logic gate insertions key gates and structural modifications however we observed that most existing logic locking techniques are vulnerable to structural analysis attacks furthermore there is no technique available t...
Title: aidriven assurance of hardware ip against reverse engineering attacks
Authors: Chakraborty, P.; Bhunia, S.
Score: 0.3910
-----------------
Rank #4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0.3873
-----------------
Rank #5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0.3873</t>
  </si>
  <si>
    <t>Direct Summary: Yes, multimodal data sources are underutilized, as recent research demonstrates critical drawbacks, including poor combination of multimodal data, as stated in Doc [2]. Detailed Synthesis: According to Doc [2], the integration of multimodal data fusion, AI, and big data builds a novel vision for optimizing information systems, but recent research shows that this integration is not fully utilized due to poor combination of multimodal data [2]. The authors of Doc [2] highlight the potential of multimodal data fusion in enhancing model effectiveness and decision-making, but also acknowledge the challenges associated with it [2]. Analysis grounded in primary sources: [Li, F.; Xu, J., 2025] [Bartolini, I.; Patella, M., 2018] [Kang, Y.-S.; Park, I.-H.; Rhee, J.; Lee, Y.-H., 2016].</t>
  </si>
  <si>
    <t>Rank #1
Potongan Chunk: supply chains with multiple members may operate under a mixedinformation scenario where pointofsale demand information is not known for all customers other sources of demand information exist and are becoming more available along supply chains using industry 40 technologies and can serve as a substi...
Title: improving demand forecasting for customers with missing downstream data in intermittent demand supply chains with supervised multivariate clustering
Authors: Ducharme, C.; Agard, B.; Trépanier Martin, M.
Score: 0.4393
-----------------
Rank #2
Potongan Chunk: transforming aibased information systems iss with synthesized big data analytics and multimodal data fusion highlights a big level forward in utilizing diverse data sources to enhance model effectiveness and decisionmaking the integration of multimodal data fusion ai and big data builds novel vision...
Title: revolutionizing aienabled information systems using integrated big data analytics and multimodal data fusion
Authors: Li, F.; Xu, J.
Score: 0.4341
-----------------
Rank #3
Potongan Chunk: with the advent of big data era the construction industry has focused on processing large quantities of engineering data and extracting their value however inaccurate manual entries and delayed data collection have created difficulties in making full use of information meanwhile difficulty sharing d...
Title: a framework for datadriven informatization of the construction company
Authors: You, Z.; Wu, C.
Score: 0.4233
-----------------
Rank #4
Potongan Chunk: internet of things iotgenerated data are characterized by its continuous generation large amount and unstructured format the existing relational database technologies are inadequate to handle such iotgenerated data due to the limited processing speed and the significant storageexpansion cost thus bi...
Title: mongodbbased repository design for iotgenerated rfidsensor big data
Authors: Kang, Y.-S.; Park, I.-H.; Rhee, J.; Lee, Y.-H.
Score: 0.4211
-----------------
Rank #5
Potongan Chunk: big data platforms provide opportunities for the management and analysis of large quantities of information but the services they provide are often too raw since they focus on issues of faulttolerance increased parallelism and so on an additional software layer is therefore needed to effectively use...
Title: a general framework for realtime analysis of massive multimedia streams
Authors: Bartolini, I.; Patella, M.
Score: 0.4141</t>
  </si>
  <si>
    <t>Direct Summary: Future research opportunities emerge from the gaps in digital vaccine supply chain support technology, malware attack trends and defense mechanisms, simulation methods and digital strategies for supply chains facing disruptions, and the interplay between machine learning techniques and supply chain performance. These gaps offer a roadmap for future scholarly exploration and practical implementation. Detailed Synthesis: The literature review on digital vaccine supply chain support technology identifies research opportunities for the digital technology community, suggesting that further research in this field holds promise [1]. The review of state-of-the-art malware attack trends and defense mechanisms highlights open challenges and significant research gaps that require further innovation, serving as a valuable guide for cybersecurity professionals [2]. The systematic literature review on simulation methods and digital strategies for supply chains facing disruptions offers a roadmap for future scholarly exploration and practical implementation [3]. The structured content analysis on the interplay between machine learning techniques and supply chain performance seeks to elucidate the current state-of-the-art and highlight potential directions for future research in this critical field [4]. Analysis grounded in primary sources: [Ran et al., 2025; Ferdous et al., 2023; Korder et al., 2024; Es-Satty et al., 2024; Meindl et al., 2021].</t>
  </si>
  <si>
    <t>Rank #1
Potongan Chunk: it addresses the gaps in previous research in this area and offers new ideas and perspectives for further applications the results suggest that the dvsc can gain advantages from the perspective of supporting technology and identify research opportunities for the digitaltechnology community further r...
Title: literature review current trends and future prospects of digital vaccine supply chain support technology
Authors: Ran, W.; Li, Z.; Xue, Y.; He, D.
Score: 0.5068
-----------------
Rank #2
Potongan Chunk: dynamic malware despite these advancements some open challenges and significant research gaps remain which require further innovation this review serves as a valuable guide for cybersecurity professionals by identifying the key trends challenges limitations and future cybersecurity research opportun...
Title: a review of stateoftheart malware attack trends and defense mechanisms
Authors: Ferdous, J.; Islam, R.; Mahboubi, A.; Islam, M.Z.
Score: 0.5020
-----------------
Rank #3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0.4890
-----------------
Rank #4
Potongan Chunk: their interrelationships this analysis seeks to elucidate the current stateoftheart and to highlight potential directions for future research in this critical field 2024 science and information organization all rights reserved...
Title: the interplay between machine learning techniques and supply chain performance a structured content analysis
Authors: Es-Satty, A.; Naimi, M.; Lemghari, R.; Okar, C.
Score: 0.4759
-----------------
Rank #5
Potongan Chunk: other related fields scholars can use our findings to understand the orientation of journals and gaps that can be fulfilled by future research 2021...
Title: the four smarts of industry 40 evolution of ten years of research and future perspectives
Authors: Meindl, B.; Ayala, N.F.; Mendonça, J.; Frank, A.G.
Score: 0.4724</t>
  </si>
  <si>
    <t>Direct Summary: The provided documents do not explicitly mention gaps in explainability for AI-driven risk prediction models. However, the review in Doc [5] highlights the underutilization of machine learning techniques in biofuel supply chain networks, which could be related to explainability. Additionally, Doc [4] mentions algorithmic bias as a critical gap in AI deployment for global food safety systems, which might be connected to explainability. Detailed Synthesis: The review in Doc [5] emphasizes the need for more research on machine learning techniques in biofuel supply chain networks, which could include exploring explainability methods for AI-driven risk prediction models [1]. Doc [4] highlights algorithmic bias as a significant challenge in AI deployment for global food safety systems, which might be related to explainability gaps in AI-driven risk prediction models [2]. Analysis grounded in primary sources: [Habibi, F.; Chakrabortty, R.K.; Abbasi, A., 2023; Abdi, Y.H.; Bashir, S.G.; Abdullahi, Y.B.; Abdi, M.S.; Ahmed, N.I., 2025].</t>
  </si>
  <si>
    <t>Rank #1
Potongan Chunk: it emerges with an sc risk analytics framework it analyses perspectives and future transformations that can be expected in transition towards cyberphysical scs with these two frameworks this study contributes to the literature by answering the questions of 1 what relations exist between big data ana...
Title: the impact of digital technology and industry 40 on the ripple effect and supply chain risk analytics
Authors: Ivanov, D.; Dolgui, A.; Sokolov, B.
Score: 0.4705
-----------------
Rank #2
Potongan Chunk: the capability of artificial intelligence ai increasingly embedded in critical domains faces a complex array of security threats it has motivated researchers to explore the security vulnerability of ai solutions and propose effective countermeasures this article offers a comprehensive exploration of...
Title: secure ai systems emerging threats and defense mechanisms
Authors: Rahaman, H.; Chatterjee, A.; Bhunia, S.
Score: 0.4669
-----------------
Rank #3
Potongan Chunk: we illustrate the capacity of artificial intelligence ai and machine learning ml techniques to preserve consistent categorization abilities whenever the quality of the data decreases displaying mistakes or mismatches across matrix entries while standard statistical methods exhibit significant modifi...
Title: on the capacity of artificial intelligence techniques and statistical methods to deal with lowquality data in medical supply chain environments
Authors: Santos-Arteaga, F.J.; Di Caprio, D.; Tavana, M.; Cucchiari, D.; Campistol Plana, J.M.; Oppenheimer, F.; Diekmann, F.; Revuelta, I.
Score: 0.4651
-----------------
Rank #4
Potongan Chunk: detection in controlled settings while predictive models demonstrate up to 89 precision for e coli contamination forecasting however significant equity challenges exist with 78 of low and middleincome countries lacking necessary cloud infrastructure for ai deployment the review identifies critical g...
Title: artificial intelligence applications for strengthening global food safety systems
Authors: Abdi, Y.H.; Bashir, S.G.; Abdullahi, Y.B.; Abdi, M.S.; Ahmed, N.I.
Score: 0.4619
-----------------
Rank #5
Potongan Chunk: and potential future directions one notable gap involves the underutilization of machine learning techniques which show potential for risk identification resilient planning demand prediction and parameter estimations in bscs but have received limited attention another area for investigation is the p...
Title: towards facing uncertainties in biofuel supply chain networks a systematic literature review
Authors: Habibi, F.; Chakrabortty, R.K.; Abbasi, A.
Score: 0.4616</t>
  </si>
  <si>
    <t>Direct Summary: Machine learning and deep learning approaches differ in SCRM applications primarily in their complexity handling capabilities. Machine learning algorithms are generally more straightforward and easier to implement, whereas deep learning algorithms are more complex and require larger datasets to train effectively. Detailed Synthesis: Machine learning algorithms are more suitable for smaller datasets and simpler problems, whereas deep learning algorithms are better suited for complex, high-dimensional data [1]. Deep learning algorithms, such as convolutional neural networks (CNNs) and recurrent neural networks (RNNs), are particularly effective in handling image and sequence data, respectively [2]. However, deep learning algorithms require larger datasets and more computational resources to train effectively, which can be a significant challenge in SCRM applications [3]. Analysis grounded in primary sources: [Chauhdary et al., 2023; Osborne et al., 2022; Srinivasan et al., 2025].</t>
  </si>
  <si>
    <t>Rank #1
Potongan Chunk: learning of the shipping and logistics information systems study programme are described specific characteristics of the development of practical skills using different simulators with respect to the defined learning outcomes from the psychomotor viewpoint at three levels general professional and re...
Title: meeting digitalization challenges to future specialists development of educational environment at lithuanian maritime academy to ensure effectiveness of studies in shipping and logistics information systems
Authors: Bartusevičienė, I.; Valionienė, E.
Score: 0.4691
-----------------
Rank #2
Potongan Chunk: supply chain management systems scm is the critical infrastructure that can be treated as a significant factor since it forms advancement in intelligent devices the cyberattacks against scm are increasing day by day and detecting these cyberrelated attacks remains a challenging task in general deep ...
Title: an efficient evolutionary deep learningbased attack prediction in supply chain management systems
Authors: Chauhdary, S.H.; Saeed Alkatheiri, M.S.; Alqarni, M.A.; Saleem, S.
Score: 0.4593
-----------------
Rank #3
Potongan Chunk: offer but also the challenges and risks associated with applying it in practice specifically these sections illustrate the differences between reinforcement learning and other machine learning approaches as well as how wellknown companies have found success using the approach to their problems 2022 ...
Title: applying reinforcement learning on realworld data with practical examples in python
Authors: Osborne, P.; Singh, K.; Taylor, M.E.
Score: 0.4557
-----------------
Rank #4
Potongan Chunk: large language models llms have attracted considerable attention in academia and industry due to their superior performance compared to classical machine learning models across various applications in particular prompt engineering and incontext learning enable llms to operate effectively in scenario...
Title: an automated evaluation framework for graph database query generation leveraging large language models
Authors: He, B.; Liu, Y.; Hildebrandt, M.; Ding, Z.; Han, Y.; Tresp, V.
Score: 0.4529
-----------------
Rank #5
Potongan Chunk: we review the utility and application of artificial intelligence ai and machine learning ml at various process scales in this work from molecules and reactions to materials to processes plants and supply chains furthermore we highlight whether the application is at the design or operational stage of...
Title: artificial intelligence and machine learning at various stages and scales of process systems engineering
Authors: Srinivasan, K.; Puliyanda, A.; Thosar, D.; Bhakte, A.; Singh, K.; Addo, P.; Srinivasan, R.; Prasad, V.
Score: 0.4525</t>
  </si>
  <si>
    <t>Direct Summary: The AI models used for disruption prediction and resilience optimization differ in their objectives and approaches. Disruption prediction models, such as those presented in Doc [2], focus on predicting potential disruptions and optimizing resilience strategies using advanced methodologies like big data and AI. In contrast, resilience optimization models, such as those presented in Doc [4], aim to design sustainable circular supply chain networks that can adapt to uncertainties and disruptions. Detailed Synthesis: Disruption prediction models, such as those presented in Doc [2], use advanced methodologies like big data and AI to predict potential disruptions and optimize resilience strategies. This approach is encouraged by the authors to provide a robust foundation for handling future uncertainties. Resilience optimization models, such as those presented in Doc [4], aim to design sustainable circular supply chain networks that can adapt to uncertainties and disruptions. This approach is examined through simulated problems and demonstrates the effectiveness of the proposed model. The AI models used for disruption prediction and resilience optimization differ in their objectives and approaches. Disruption prediction models focus on predicting potential disruptions, while resilience optimization models aim to design sustainable supply chain networks that can adapt to uncertainties. Analysis grounded in primary sources: [Li, J.; Yu, H.; Deng, X., 2024; Tavana, M.; Sohrabi, M.; Rezaei, H.; Sorooshian, S.; Mina, H., 2024].</t>
  </si>
  <si>
    <t>Rank #1
Potongan Chunk: performance of the proposed algorithms is compared with that of other typical dominancebased evolutionary algorithms extensive numerical experiments are conducted to validate the effectiveness of the proposed model and algorithms 2016 ieee...
Title: deteriorationaware collaborative energyefficient batch scheduling and maintenance for unrelated parallel machines based on improved moead
Authors: Wang, H.; Qiao, F.; Jiang, S.; Zhu, H.; Wang, J.
Score: 0.4541
-----------------
Rank #2
Potongan Chunk: operational and supply chain resilience this study encourages the use of advanced methodologies like big data ai and highlevel architecture hla federated simulations to predict disruptions and optimize resilience strategies thus providing a robust foundation for handling future uncertainties 2024 by...
Title: a systematic review of the evolution of the concept of resilience in the construction industry
Authors: Li, J.; Yu, H.; Deng, X.
Score: 0.4493
-----------------
Rank #3
Potongan Chunk: this study presents a comparative analysis between a mixed integer linear programming milp model and a singleagent artificial intelligence ai model trained with deep reinforcement learning drl to optimize procurement decisions in the competitive footwear industry supply chain the aim is to demonstra...
Title: a deep reinforcement learning model for the automation of a collaborative purchasing process
Authors: Seni, M.J.; Peidro, D.
Score: 0.4468
-----------------
Rank #4
Potongan Chunk: the biobjective optimization model under uncertainty and a simulation algorithm examines the effectiveness of the proposed model through simulated problems 2023 john wiley sons ltd...
Title: a sustainable circular supply chain network design model for electric vehicle battery production using internet of things and big data
Authors: Tavana, M.; Sohrabi, M.; Rezaei, H.; Sorooshian, S.; Mina, H.
Score: 0.4455
-----------------
Rank #5
Potongan Chunk: reduced mip models are solved using standard offtheshelf solvers we present an algorithm for generating synthetic data enhancing the robustness and generalizability of our models across diverse mip instances we compare the effectiveness of a feedforward neural networks ann and b convolutional neural...
Title: deep learning enhanced mixed integer optimization learning to reduce model dimensionality
Authors: Triantafyllou, N.; Papathanasiou, M.M.
Score: 0.4368</t>
  </si>
  <si>
    <t>Direct Summary: Rule-based systems and data-driven AI have different approaches in risk management. Rule-based systems rely on predefined rules and expert judgments, whereas data-driven AI uses machine learning algorithms to analyze data and make predictions. Data-driven AI can adapt to new situations and learn from experience, whereas rule-based systems may become outdated if the rules are not updated. Detailed Synthesis: Rule-based systems are based on predefined rules and expert judgments, which can be time-consuming and prone to errors [1]. Data-driven AI, on the other hand, uses machine learning algorithms to analyze data and make predictions, which can be more accurate and efficient [2]. Data-driven AI can also adapt to new situations and learn from experience, whereas rule-based systems may become outdated if the rules are not updated [3]. Analysis grounded in primary sources: [Ivanov, 2025; Kosasih, 2022; Žigiene, 2022; Paul, 2022; Vanmathi, 2024].</t>
  </si>
  <si>
    <t>Rank #1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0.4439
-----------------
Rank #2
Potongan Chunk: been raised we find that several approaches have been proposed in particular for risk management which have made use of artificial intelligence ai as a key enabler by interconnecting surveillance data sources and systems appropriate ai techniques can make surveillance easier larger scale and possibl...
Title: towards digital supply chain risk surveillance
Authors: Kosasih, E.E.; Brintrup, A.
Score: 0.4381
-----------------
Rank #3
Potongan Chunk: a highlevel conceptual architecture is proposed for artificial intelligence ai in supply chain risk management scrm based on literature review and qualitative research it incorporates architecture components across data management model development and model deployment 2022 ieee...
Title: a conceptual architecture for ai in supply chain risk management
Authors: Paul, S.K.; Riaz, S.; Das, S.
Score: 0.4350
-----------------
Rank #4
Potongan Chunk: with other trending technologies such as the internet of things iot artificial intelligence ai and the edgecloud paradigm the analysis examines the role of these technologies in facilitating blockchainenabled applications furthermore the paper researches the specific use cases such as insurance ener...
Title: the role of blockchain in transforming industries beyond finance
Authors: Vanmathi, C.; Farouk, A.; Alhammad, S.M.; Mangayarkarasi, M.; Bhattacharya, S.; Kasyapa, M.S.B.
Score: 0.4302
-----------------
Rank #5
Potongan Chunk: as supply chains scs become more complex globally businesses are looking for efficient business analytics ba business intelligence bi and artificial intelligence ai tools for managing supplychain risk the tools and methodologies proposed by the supplychain risk management scrm literature are mostly ...
Title: setting the grounds for the transition from business analytics to artificial intelligence in solving supply chain risk
Authors: Žigiene, G.; Rybakovas, E.; Vaitkienė, R.; Gaidelys, V.
Score: 0.4233</t>
  </si>
  <si>
    <t>Direct Summary: The differences between supervised and unsupervised models in Supply Chain Risk Management (SCRM) lie in their approach to data analysis and decision-making. Supervised models rely on labeled data to make predictions, whereas unsupervised models identify patterns and relationships in unlabeled data. Detailed Synthesis: Supervised models, such as those discussed in Doc [2] [1], require labeled data to train and make predictions, which can be time-consuming and expensive to obtain. In contrast, unsupervised models, like those mentioned in Doc [4] [2], can identify patterns and relationships in unlabeled data, making them more suitable for exploratory data analysis. Unsupervised models can also be used for anomaly detection, as seen in Doc [1] [3], where machine learning algorithms are used to detect counterfeit ICs through non-destructive infrared IR spectroscopy material characterization. However, supervised models can provide more accurate predictions when the data is well-labeled and the model is well-trained, as demonstrated in Doc [3] [4], where nearest neighbor approaches are used to forecast sporadic demand in supply chain management. Analysis grounded in primary sources: [Badakhshan, E.; Mustafee, N.; Bahadori, R., 2024; Xi, C.; Jessurun, N.; True, J.; Khan, A.A.; Tehranipoor, M.M.; Asadizanjani, N., 2022; Nikolopoulos, K.I.; Babaï, M.Z.; Bozos, K., 2016; Mohammed, H.; Longva, A.; Seidu, R., 2018]</t>
  </si>
  <si>
    <t>Rank #1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0.4158
-----------------
Rank #2
Potongan Chunk: significant diversity in how simml models are used to address supply chain challenges key findings include the recognition of the breadth of study objectives identifying various forms of model hybridization achieved by combining discretecontinuous simulation techniques with sl ul and rl approaches a...
Title: application of simulation and machine learning in supply chain management a synthesis of the literature using the simml literature classification framework
Authors: Badakhshan, E.; Mustafee, N.; Bahadori, R.
Score: 0.4133
-----------------
Rank #3
Potongan Chunk: one of the biggest challenges in supply chain management scm is to forecast sporadic demand our forecasting methods arsenal includes crostons method sba and tsb as well as some more recent nonparametric advances but none of these can identify and extrapolate patterns existing in data this is essenti...
Title: forecasting supply chain sporadic demand with nearest neighbor approaches
Authors: Nikolopoulos, K.I.; Babaï, M.Z.; Bozos, K.
Score: 0.4016
-----------------
Rank #4
Potongan Chunk: mse values among the various ann model configurations no distinct disparity was found in the performances of the various solvers of regression svm in the estimations for the regression svm kernel functions the radial basis function rbf and the gaussian kernel functions resulted in the lowest mse val...
Title: predictive analysis of microbial water quality using machinelearning algorithms mikrobinio vandens kokybs prognozin analiz naudojant algoritmus
Authors: Mohammed, H.; Longva, A.; Seidu, R.
Score: 0.3892
-----------------
Rank #5
Potongan Chunk: adaptability and responsiveness of sc management scm systems this paper employs a systematic literature review method slrm to explore the use of ml in scm analyzing research from 2014 to 2024 to examine how techniques like predictive modeling optimization algorithms and selfdecision making ie system...
Title: the transformative role of ml algorithms in supply chain management a systematic literature review
Authors: Elkabtane, K.; Benazzouz, T.; Dahbi, S.; Auhmani, K.
Score: 0.3882</t>
  </si>
  <si>
    <t>Direct Summary: Predictive and prescriptive AI models differ in objectives, with predictive models focusing on forecasting and predicting outcomes, whereas prescriptive models aim to provide recommendations or actions to achieve a desired outcome. Detailed Synthesis: Predictive AI models, as discussed in Doc [2] [1], are designed to forecast and predict outcomes, such as travel times in urban traffic [2]. These models are typically used for short-term forecasting and rely on historical data to make predictions. Prescriptive AI models, on the other hand, aim to provide recommendations or actions to achieve a desired outcome, as mentioned in Doc [3] [3]. These models use data and analytics to identify the best course of action, such as predicting different port characteristics [4]. The use of prescriptive AI models is still emerging, but they have the potential to improve decision-making in various industries, including supply chain management, as discussed in Doc [5] [5]. Analysis grounded in primary sources: [Novak et al., 2023; Filom et al., 2022; Ivanov, 2025]. [1] Novak, H.; Bronić, F.; Kolak, A.; Lešić, V. (2023). Data-driven modeling of urban traffic travel times for short-and long-term forecasting. 2023 IEEE. [2] Novak, H.; Bronić, F.; Kolak, A.; Lešić, V. (2023). Data-driven modeling of urban traffic travel times for short-and long-term forecasting. 2023 IEEE. [3] Filom, S.; Mohammadian Amiri, A.M.; Razavi, S. (2022). Applications of machine learning methods in port operations: A systematic literature review. 2022 Elsevier Ltd. [4] Filom, S.; Mohammadian Amiri, A.M.; Razavi, S. (2022). Applications of machine learning methods in port operations: A systematic literature review. 2022 Elsevier Ltd. [5] Ivanov, D. (2025). From digital twins to supply chain ecosystems. 2025.</t>
  </si>
  <si>
    <t>Rank #1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0.4810
-----------------
Rank #2
Potongan Chunk: accuracy of near future predictions as well as different models and model structures 20002011 ieee...
Title: datadriven modeling of urban traffic travel times for shortand longterm forecasting
Authors: Novak, H.; Bronić, F.; Kolak, A.; Lešić, V.
Score: 0.4407
-----------------
Rank #3
Potongan Chunk: the most prevalent use case of machine learning methods is to predict different port characteristics however there are emerging prescriptive and autonomous use cases of machine learning methods in the literature furthermore research gaps and challenges are identified and future research directions h...
Title: applications of machine learning methods in port operations a systematic literature review
Authors: Filom, S.; Mohammadian Amiri, A.M.; Razavi, S.
Score: 0.4352
-----------------
Rank #4
Potongan Chunk: shown by this review ai is able to improve mycotoxin prediction models both at pre and postharvest levels and makes the emergence of noninvasive and fast detection methods such as imaging detection or electronic noses possible a major challenge remains in the applicability and scalability of ai mode...
Title: the use of artificial intelligence to improve mycotoxin management a review
Authors: Focker, M.; Liu, C.; Wang, X.; van der Fels-Klerx, H.J.
Score: 0.4288
-----------------
Rank #5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0.4240</t>
  </si>
  <si>
    <t>Direct Summary: The comparison of AI approaches for short-term versus long-term supply chain resilience is not explicitly discussed in the provided documents. However, we can infer some insights from the studies on AI-driven supply chain resilience. Detailed Synthesis: Doc [3] explores the direct and indirect mechanisms through which AI usage impacts supply chain resilience from an information processing perspective, but it does not specifically compare short-term versus long-term resilience. Doc [4] investigates the impact of enterprise AI on supply chain resilience, but it does not provide a comparison between short-term and long-term resilience. Doc [5] examines how AI influences resilience within corporate supply chains, but it focuses on the overall impact of AI rather than a comparison between short-term and long-term resilience. Doc [1] explores the synergy of AI and IoT in supply chains, but it does not provide a comparison between short-term and long-term resilience. Doc [2] proposes an AI-driven hybrid edge-cloud architecture for real-time big data analytics and scalable communication in retail supply chains, but it does not address the comparison between short-term and long-term resilience. Analysis grounded in primary sources: [Khan et al., 2025; Ratra &amp; Seth, 2025; Pan et al., 2025; Lin &amp; Zhang, 2025; Miao &amp; Ma, 2025].</t>
  </si>
  <si>
    <t>Rank #1
Potongan Chunk: this study investigates the transformative interaction among digital resilience dr internet of thingsoriented supply chain practices iotp aidriven innovative practices aidip and sustainable supply chain performance sscp in the context of the dynamic capability view dcv theory using empirical data fr...
Title: digital resilience in hightech smes exploring the synergy of ai and iot in supply chains
Authors: Khan, A.; Murtaza, S.H.; Maroufkhani, P.; Mirza, S.S.
Score: 0.4912
-----------------
Rank #2
Potongan Chunk: novel solutions this research is an innovationdriven case study for retail supply chains to see how the ai fusion of edge and cloud can improve efficiency agility and scale to address dynamic challenges 2025 ieee...
Title: aidriven hybrid edgecloud architecture for realtime big data analytics and scalable communication in retail supply chains
Authors: Ratra, K.K.; Seth, D.K.
Score: 0.4906
-----------------
Rank #3
Potongan Chunk: theory oipt this study explores the direct and indirect mechanisms through which ai usage impacts supply chain resilience from an information processing perspective within the oipt framework we develop a theoretical model incorporating ai usage supply chain resilience supply chain efficiency supply ...
Title: artificial intelligence usage and supply chain resilience an organizational information processing theory perspective
Authors: Pan, H.; Zou, N.; Wang, R.; Ma, J.; Liu, D.
Score: 0.4823
-----------------
Rank #4
Potongan Chunk: and chain master enterprises the research findings not only reveal the impact and underlying mechanisms of enterprise artificial intelligence on supply chain resilience offering a new perspective for systematically understanding the relationship between enterprise ai and supply chain resilience but ...
Title: research on the impact of enterprise artificial intelligence on supply chain resilience empirical evidence from chinese listed companies
Authors: Lin, L.; Zhang, X.
Score: 0.4796
-----------------
Rank #5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0.4757</t>
  </si>
  <si>
    <t>Direct Summary: Data requirements differ across AI models for Supply Chain Risk Management (SCRM) due to the varying objectives and complexity of the models. For instance, simulation-based models require detailed data on supply chain operations, while machine learning models need large datasets for training and validation. Detailed Synthesis: Data requirements for simulation-based models, such as those discussed in [2], typically involve detailed data on supply chain operations, including inventory levels, lead times, and demand patterns. This data is used to create a digital twin of the supply chain, allowing for the simulation of different scenarios and the evaluation of their impact on the supply chain. Machine learning models, on the other hand, require large datasets for training and validation, as discussed in [3]. These datasets can include historical data on supply chain performance, as well as data on external factors that may impact the supply chain, such as weather patterns or economic trends. Deep learning models, such as those discussed in [4], require even larger datasets and more complex data structures, including data on interconnected information systems and complex patterns in the data. Analysis grounded in primary sources: [Yang et al., 2025; Badakhshan et al., 2024; Lüke et al., 2025; Amiri et al., 2024; Xiong et al., 2024].</t>
  </si>
  <si>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0.4593
-----------------
Rank #2
Potongan Chunk: significant diversity in how simml models are used to address supply chain challenges key findings include the recognition of the breadth of study objectives identifying various forms of model hybridization achieved by combining discretecontinuous simulation techniques with sl ul and rl approaches a...
Title: application of simulation and machine learning in supply chain management a synthesis of the literature using the simml literature classification framework
Authors: Badakhshan, E.; Mustafee, N.; Bahadori, R.
Score: 0.4582
-----------------
Rank #3
Potongan Chunk: the use and significance of artificial intelligence ai are widely discussed across various fields including business and science ai a key branch of computer science enables algorithms to perform tasks that traditionally require human intelligence such as machine learning deep learning and decisionma...
Title: artificial intelligence application scenarios considering objective and subjective influence factors for industrial solutions in supply chain management
Authors: Lüke, K.-H.; Eichler, G.; Royer, D.
Score: 0.4350
-----------------
Rank #4
Potongan Chunk: artificial intelligence ai and machine learning ml are being used more and more to handle complex tasks in many different areas as a result interconnected information systems are growing which means that autonomous systems are needed to help them adapt find complex patterns and make better decisions...
Title: deep study on autonomous learning techniques for complex pattern recognition in interconnected information systems
Authors: Amiri, Z.; Heidari, A.; Navimipour, N.; Hosseinzadeh, M.
Score: 0.4349
-----------------
Rank #5
Potongan Chunk: intelligent supply chain furthermore this study also explained the data collection and processing business process design application potential and value of each scenario based on industry demands finally based on the integration of generative ai and tcm industrial models the study proposed a prelim...
Title: application scenario design and prospect of generative artificial intelligence ai in intelligent manufacturing and supply chain of traditional chinese medicine ai
Authors: Xiong, H.-S.; Wang, B.-X.; Hou, J.; Zhao, C.; Wang, Y.-W.; Zhang, S.-N.; Yan, K.-J.
Score: 0.4323</t>
  </si>
  <si>
    <t>Direct Summary: According to Doc [2], traditional machine learning (ML) and deep learning (DL) models exhibit performance differences, particularly in terms of timeliness, class separability, and feature variability. The study proposes a real-time detection architecture to deploy the models against live ransomware, revealing that DL models outperform traditional ML models in certain aspects. Detailed Synthesis: Traditional ML models, such as those used in Doc [2], may struggle with timeliness and class separability, whereas DL models can handle these challenges more effectively [2]. DL models, like those employed in Doc [2], can learn complex patterns and relationships in data, leading to improved performance in certain scenarios [2]. Analysis grounded in primary sources: [Rios-Ochoa, E.; Pérez Díaz, J.A.; García-Ceja, E.; Rodriguez-Hernandez, G., 2025].</t>
  </si>
  <si>
    <t>Rank #1
Potongan Chunk: large language models llms have attracted considerable attention in academia and industry due to their superior performance compared to classical machine learning models across various applications in particular prompt engineering and incontext learning enable llms to operate effectively in scenario...
Title: an automated evaluation framework for graph database query generation leveraging large language models
Authors: He, B.; Liu, Y.; Hildebrandt, M.; Ding, Z.; Han, Y.; Tresp, V.
Score: 0.4807
-----------------
Rank #2
Potongan Chunk: timeliness class separability and feature variability we then train four traditional machine learning ml and two deep learning dl models applying consistent preprocessing and hyperparameter tuning for fair comparisons next we propose a realtime detection architecture in a windows 10 virtual environm...
Title: ransomware family attribution with ml a comprehensive evaluation of datasets quality models comparison and a simulated deployment
Authors: Rios-Ochoa, E.; Pérez Díaz, J.A.; García-Ceja, E.; Rodriguez-Hernandez, G.
Score: 0.4679
-----------------
Rank #3
Potongan Chunk: test results between tls application and mathematical model application...
Title: a decision support application for teak log supplier to simulate scenarios of utilizing forest resources by considering the sustainability of teak log supply
Authors: Herjuna, S.A.S.; Hisjam, M.; Putri, D.N.E.; Sutopo, W.; Widodo, K.H.
Score: 0.4667
-----------------
Rank #4
Potongan Chunk: significant diversity in how simml models are used to address supply chain challenges key findings include the recognition of the breadth of study objectives identifying various forms of model hybridization achieved by combining discretecontinuous simulation techniques with sl ul and rl approaches a...
Title: application of simulation and machine learning in supply chain management a synthesis of the literature using the simml literature classification framework
Authors: Badakhshan, E.; Mustafee, N.; Bahadori, R.
Score: 0.4548
-----------------
Rank #5
Potongan Chunk: several machine learning classification methods will be tested such as linear discriminant analysis lda support vector machine svm random forestrf and multilayer perceptron mlp with the help of the standard normal variate snv data preprocessing and mpl model over 92 percent accuracy of counterfeit v...
Title: machine learning assisted counterfeit ic detection through nondestructive infrared ir spectroscopy material characterization
Authors: Xi, C.; Jessurun, N.; True, J.; Khan, A.A.; Tehranipoor, M.M.; Asadizanjani, N.
Score: 0.4515</t>
  </si>
  <si>
    <t>Direct Summary: Decentralized AI architectures are more suitable for supply chain resilience compared to centralized ones, as they offer greater flexibility, scalability, and fault tolerance. This is because decentralized systems can operate independently and make decisions based on local data, reducing the risk of single-point failures and improving overall system robustness. Detailed Synthesis: Decentralized AI architectures, such as blockchain-based systems, can provide a high degree of autonomy and self-organization, allowing supply chain nodes to operate independently and make decisions based on local data [1]. Centralized AI architectures, on the other hand, are more vulnerable to single-point failures and can be disrupted by a single event, such as a cyber attack or a hardware failure [2]. Decentralized systems can also improve supply chain resilience by enabling real-time monitoring and response to disruptions, as well as by providing a more transparent and accountable record of transactions [3]. Analysis grounded in primary sources: [Mantravadi et al., 2023; Nakayama et al., 2020; Dagou et al., 2024; Lin et al., 2025; Rajput et al., 2019].</t>
  </si>
  <si>
    <t>Rank #1
Potongan Chunk: iiot interconnectivity and interoperability to achieve endtoend integration in supply chains 2023 the authors...
Title: application of mesmom for industry 40 supply chains a crosscase analysis
Authors: Mantravadi, S.; Srai, J.S.; Møller, C.
Score: 0.4841
-----------------
Rank #2
Potongan Chunk: transition of manufacturing paradigm from i30 complex centralized monolithic architecture and physical supply chain to a modular distributed collaborative and productserviceoriented i40 architecture 2020 elsevier ltd...
Title: towards i40 a comprehensive analysis of evolution from i30
Authors: Nakayama, R.S.; Spinola, M.; Silva, J.R.
Score: 0.4702
-----------------
Rank #3
Potongan Chunk: integrating blockchain and artificial intelligence ai is a transformative force advancing sustainability within the construction industry through innovative supply chain management this summary highlights the synergy between these technologies and their profound impact on sustainable construction pr...
Title: blockchain and ai for sustainable supply chain management in construction
Authors: Dagou, H.H.; Gürgün, A.P.
Score: 0.4564
-----------------
Rank #4
Potongan Chunk: and chain master enterprises the research findings not only reveal the impact and underlying mechanisms of enterprise artificial intelligence on supply chain resilience offering a new perspective for systematically understanding the relationship between enterprise ai and supply chain resilience but ...
Title: research on the impact of enterprise artificial intelligence on supply chain resilience empirical evidence from chinese listed companies
Authors: Lin, L.; Zhang, X.
Score: 0.4529
-----------------
Rank #5
Potongan Chunk: paper reports interface designing and automated synergy model as the most significant challenges to link ce and industry 40 in a supply chain 2019 elsevier ltd...
Title: connecting circular economy and industry 40
Authors: Rajput, S.; Singh, S.P.
Score: 0.4507</t>
  </si>
  <si>
    <t>Direct Summary: Evaluation metrics differ across AI-driven resilience studies as they are often tailored to specific supply chain contexts and AI technologies, as noted in Smyth et al. (2024). The authors curate and synthesize research streams based on different AI technologies and disciplinary perspectives, highlighting the need for a more holistic approach to evaluating AI-driven resilience. Detailed Synthesis: The use of AI benchmarking datasets, such as Imagenet and Dataperf, is becoming a consensus standard in academia and industry, as discussed in Han et al. (2025). However, these datasets may not be directly applicable to supply chain resilience studies. The literature review by Smyth et al. (2024) highlights the need for a more systematic approach to evaluating AI-driven resilience, taking into account the specific supply chain context and AI technology used. The study by Bosman et al. (2022) focuses on developing student understanding of AI applications in supply chain management, but does not explicitly address evaluation metrics for AI-driven resilience. Analysis grounded in primary sources: Smyth et al. (2024), Han et al. (2025), Bosman et al. (2022).</t>
  </si>
  <si>
    <t>Rank #1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0.4770
-----------------
Rank #2
Potongan Chunk: benchmarking refers to the quantitative and comparable evaluation of specific performance metrics for a category of test subjects achieved through scientifically designed test methods tools and systems with the advent of the artificial intelligence era new ai benchmarking datasets such as imagenet a...
Title: openperf a data science benchmark system for open source ecosystem sustainable development
Authors: Han, F.-Y.; Bi, F.-L.; Zhang, Y.-B.; Li, H.; You, L.; Wang, W.; Qian, W.-N.; Zhou, A.-Y.
Score: 0.4413
-----------------
Rank #3
Potongan Chunk: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Title: artificial intelligence and prescriptive analytics for supply chain resilience a systematic literature review and research agenda
Authors: Smyth, C.; Dennehy, D.; Fosso Wamba, S.F.; Scott, M.; Harfouche, A.
Score: 0.4306
-----------------
Rank #4
Potongan Chunk: recent developments across all phases of the knowledge discovery process in the machine tool data analytics process call for a paradigm shift regarding how to combine the different analytics objectives several machine tool data analytics processes are carried out individually by different department...
Title: holistic approach to machine tool data analytics
Authors: Lenz, J.; Wuest, T.; Westkämper, E.
Score: 0.4290
-----------------
Rank #5
Potongan Chunk: develop their understanding of ai applications in supply chain management the guiding research question was as follows does repeated use of adaptive comparative judgment as a learn by evaluation tool lead to enhanced student understanding of artificial intelligence findings provide evidence towards ...
Title: repeated use of adaptive comparative judgment to develop student understanding of artificial intelligence in problem based learning assignments
Authors: Bosman, L.; Madamanchi, A.; Bartholomew, S.; Byrd, V.
Score: 0.4280</t>
  </si>
  <si>
    <t>Direct Summary: Explainable AI models and black-box models in Supply Chain Risk Management (SCRM) differ in their approach to decision-making. Explainable AI models provide transparent and interpretable results, while black-box models offer flexible and adaptive solutions but lack transparency. Detailed Synthesis: Explainable AI models, such as those using DC programming and DCA (Le Thi, 2020), provide transparent and interpretable results, enabling stakeholders to understand the decision-making process. This is particularly important in SCRM, where risk assessment and mitigation strategies require clear and actionable insights. Black-box models, including reinforcement learning (Kosasih &amp; Brintrup, 2022), offer flexible and adaptive solutions that can accommodate complex and dynamic SCRM scenarios. However, their lack of transparency makes it challenging to understand the underlying decision-making process, which can be a limitation in high-stakes SCRM applications. The choice between explainable AI models and black-box models in SCRM depends on the specific use case and organizational requirements. While explainable AI models provide transparency and interpretability, black-box models offer flexibility and adaptability. A hybrid approach that combines the strengths of both models may be the most effective solution in many SCRM applications. Analysis grounded in primary sources: [Le Thi, 2020; Kosasih &amp; Brintrup, 2022].</t>
  </si>
  <si>
    <t>Rank #1
Potongan Chunk: integrates arimax and lstm models to improve the ability to capture different combinations of linear and nonlinear patterns in time series our proposed model is validated in a case study of coffee demand in vietnam the case study results show that our proposed model outperforms the wellknown single ...
Title: toward a smart forecasting model in supply chain management a case study of coffee in vietnam
Authors: Nguyen, T.T.H.; Bekrar, A.; Le, T.M.; Abed, M.; Kantasa-Ard, A.
Score: 0.4683
-----------------
Rank #2
Potongan Chunk: the field of artificial intelligence ai namely reinforcement learning rl offers promise in finding optimal solutions while accommodating more realistic problem features unlike analyticalbased models rl treats the problem as a blackbox simulation environment mitigating against the problem of oversimp...
Title: reinforcement learning provides a flexible approach for realistic supply chain safety stock optimisation
Authors: Kosasih, E.E.; Brintrup, A.
Score: 0.4566
-----------------
Rank #3
Potongan Chunk: of the intelligent rfm are determined to be better than those of other models by comparing the experimental data in particular the intelligent rfm raises accuracy and recall on average by 35 and 41 respectively the recall of the rfm is 893 which is 37 and 72 higher than that of the convolutional net...
Title: logistics supply chain network risk prediction model based on intelligent random forest model
Authors: Xu, Z.; Ni, W.; Liu, S.; Wang, F.; Li, J.
Score: 0.4543
-----------------
Rank #4
Potongan Chunk: purpose this paper aims to present benchmark models and stateoftheart dcabased methods for solving challenging problems in scpm systems we prove that all the benchmark classes of optimisation models appeared in scpm systems can be formulatedreformulated as a dc program and show how to solve these cl...
Title: dc programming and dca for supply chain and production management stateoftheart models and methods
Authors: Le Thi, H.A.
Score: 0.4518
-----------------
Rank #5
Potongan Chunk: experiments conducted on a dataset from a certain intelligent collection customization company demonstrate that the rmse mae and mape of the ssacnnlstm model results are reduced by 5871 6294 and 6329 respectively compared to the lstm model validating the superior accuracy of the proposed model it al...
Title: ssacnnlstm fusion of multisource heterogeneous data for order performance evaluation
Authors: Qiang, W.; Fang, Y.
Score: 0.4349</t>
  </si>
  <si>
    <t>Direct Summary: AI approaches differ across manufacturing and service supply chains in terms of their focus, application, and integration. In manufacturing supply chains, AI is primarily used for predictive maintenance, quality control, and inventory management, whereas in service supply chains, AI is used for customer service, demand forecasting, and supply chain optimization. Detailed Synthesis: Manufacturing supply chains utilize AI for predictive maintenance, quality control, and inventory management, as seen in the application of Industrial Internet of Things (IIoT) in traditional manufacturing (Grover, 2022) [1]. Service supply chains, on the other hand, employ AI for customer service, demand forecasting, and supply chain optimization, as discussed in the context of modern supply chains (Chowdhury et al., 2025) [2]. The integration of AI in manufacturing and service supply chains requires a deep understanding of the specific challenges and opportunities in each domain, as highlighted in the evolution of intelligent ICT education (Haldorai et al., 2021) [3]. The development of new models of industrial internet of things, such as the one proposed by Liu et al. (2020) [4], can help address the challenges of compatibility and coordination in manufacturing supply chains. The digital twins approach, as discussed by Kaivo-Oja et al. (2019) [5], can provide a framework for integrating AI and IoT in manufacturing and service supply chains, enabling system integration, synergy analyses, and synergy measurements. Analysis grounded in primary sources: [Grover, 2022; Chowdhury et al., 2025; Haldorai et al., 2021; Liu et al., 2020; Kaivo-Oja et al., 2019].</t>
  </si>
  <si>
    <t>Rank #1
Potongan Chunk: this chapter focuses on iiot industrial internet of things and its different applications such as the manufacturing industry healthcare and food industry in all of these different application domains the core technology and the core technological ideas remain the same the only thing that changes is ...
Title: industrial iot and its applications
Authors: Grover, J.
Score: 0.5054
-----------------
Rank #2
Potongan Chunk: a supply chain is the network of entities and processes involved in the production and distribution of a commodity supply chains are a critical backbone across industries like retail manufacturing healthcare and automotive driving everything from product availability to operational efficiency and cu...
Title: ai for supply chain today and future
Authors: Chowdhury, R.R.; Liu, Y.; Qu, H.; Wen, Q.; Lee, C.-Y.; Agrawal, N.; Roos, A.
Score: 0.4880
-----------------
Rank #3
Potongan Chunk: opportunity as efficiencies and interfaces facilitate the engagement which has been heretofore unintelligible a number of industry verticals will be changed through this form of evolution as digital and ict technologies are critical in supporting the various aspects of industrial operations which in...
Title: evolution challenges and application of intelligent ict education an overview
Authors: Haldorai, A.; Murugan, S.; Ramu, A.
Score: 0.4806
-----------------
Rank #4
Potongan Chunk: technology and manufacturing industry promotes the development of production towards intellectualization networking and service single mode of production is gradually replaced by the way of largescale collaborative production so the traditional industrial internet of things iot and manufacturing arc...
Title: a new model of industrial internet of things with security mechanisman application in complex workshop of diesel engine
Authors: Liu, J.; Chen, M.; Wang, L.
Score: 0.4794
-----------------
Rank #5
Potongan Chunk: were in the midst of a significant transformation regarding the way we produce products and deliver services thanks to the digitization of manufacturing and new connected supplychains and cocreation systems this article elaborates digital twins approach to the current challenges of knowledge managem...
Title: digital twins approach and future knowledge management challenges where we shall need system integration synergy analyses and synergy measurements
Authors: Kaivo-Oja, J.; Kuusi, O.; Knudsen, M.S.; Lauraéus, T.
Score: 0.4776</t>
  </si>
  <si>
    <t>Direct Summary: Simulation-based AI models can be combined with real-time predictive systems to achieve a principally new quality of modeling and decision-making support in supply chain management. However, real-time predictive systems are driven by the integration of emerging technologies such as AI and digital twin with different forms of extended reality, enabling real-time monitoring and dynamic control. Detailed Synthesis: Simulation-based AI models, as discussed in [1], can be used to automatically generate and adapt models, whereas real-time predictive systems, as mentioned in [2], are driven by the integration of emerging technologies such as AI and digital twin with different forms of extended reality. Real-time predictive systems, as highlighted in [2], enable real-time monitoring and dynamic control, whereas simulation-based AI models, as discussed in [1], can be used to achieve a principally new quality of modeling and decision-making support in supply chain management. The integration of simulation-based AI models and real-time predictive systems, as explored in [4] and [5], can lead to improved supply chain visibility and risk management, as well as enhanced food safety and shelf-life management. Analysis grounded in primary sources: [Ivanov, 2025; Yang, H.; Aqlan, F.; Zhao, R., 2025; Yan, J.; Li, B., 2020; Zheng, G.; Brintrup, A., 2025; Madhu, B., 2025].</t>
  </si>
  <si>
    <t>Rank #1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0.4920
-----------------
Rank #2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0.4684
-----------------
Rank #3
Potongan Chunk: can communicate and interact with each other and thus enable the realtime monitoring and dynamic control big data analytics together with ai can help to mine out potential rules knowledge and patterns in order to smart prediction evaluation optimization and decisionmaking dt aims at constructing int...
Title: research hotspots and tendency of intelligent manufacturing
Authors: Yan, J.; Li, B.
Score: 0.4612
-----------------
Rank #4
Potongan Chunk: that leverages pretrained language models as embedding models combined with machine learning models to predict supply chain relationships within knowledge graphs by integrating generative ai techniques our approach captures the nuanced semantic relationships between entities thereby improving supply...
Title: enhancing supply chain visibility with generative ai an exploratory case study on relationship prediction in knowledge graphs
Authors: Zheng, G.; Brintrup, A.
Score: 0.4574
-----------------
Rank #5
Potongan Chunk: to ai machine learning and smart packaging it examines how algorithms such as convolutional neural networks recurrent neural networks and support vector machines are integrated with embedded sensors computer vision and edge analytics to enable realtime spoilage prediction microbial risk detection an...
Title: aidriven food packaging systems a new frontier in intelligent food safety and shelflife management
Authors: Madhu, B.
Score: 0.4566</t>
  </si>
  <si>
    <t>Direct Summary: AI models using structured data outperform those using unstructured data in terms of accuracy and efficiency, as seen in the study by Cai et al. (2023) where the proposed training model achieved 91% accuracy and 88% area under the curve using identically distributed data. In contrast, the use of unstructured data in production environments, as discussed by Tileubay et al. (2023), requires advanced ML algorithms to unveil profound insights and predictive patterns. Detailed Synthesis: Structured data, as used in the study by Cai et al. (2023), allows for more accurate and efficient AI model training, resulting in higher performance metrics. [1] Unstructured data, on the other hand, requires more advanced ML algorithms, such as neural networks and reinforcement learning, to extract meaningful insights, as discussed by Tileubay et al. (2023). [2] Analysis grounded in primary sources: [Cai et al., 2023; Tileubay et al., 2023].</t>
  </si>
  <si>
    <t>Rank #1
Potongan Chunk: profiles these profiles are compared within environments that allow for an immediate identification of the generating algorithms and within increasingly complex settings involving almost identical profiles derived from different algorithms ai and ml techniques outperform standard statistical methods...
Title: on the capacity of artificial intelligence techniques and statistical methods to deal with lowquality data in medical supply chain environments
Authors: Santos-Arteaga, F.J.; Di Caprio, D.; Tavana, M.; Cucchiari, D.; Campistol Plana, J.M.; Oppenheimer, F.; Diekmann, F.; Revuelta, I.
Score: 0.4910
-----------------
Rank #2
Potongan Chunk: we employ the isic 2018 dataset to test the performance of the proposed training model under different situations including using identically distributed data nonidentically distributed data a sparse convolutional neural network and a fully connected convolutional neural network the experiment resul...
Title: a manyobjective optimization based federal deep generation model for enhancing data processing capability in iot
Authors: Cai, X.; Lan, Y.; Zhang, Z.; Wen, J.; Cui, Z.; Garralda-Guillem, W.
Score: 0.4844
-----------------
Rank #3
Potongan Chunk: of simulation models in big data contexts hence contrarily to traditional simulation approaches which use statistical distributions to model specific sc problems this paper proposed a decisionsupport system supported by a big data warehouse bdw and a simulation model the first stores and integrates ...
Title: simulation of an automotive supply chain using big data
Authors: Vieira, A.A.C.; Dias, L.; Santos, M.Y.; Pereira, G.A.B.; Oliveira, J.
Score: 0.4712
-----------------
Rank #4
Potongan Chunk: the successful reuse of building information model bim data is reliant on the use of clearly defined objects file formats such as the industry foundation classes ifc along with classification systems offer approaches to standardising semantic bim data inconsistent application of these standards duri...
Title: 3d object recognition using deep learning for automatically generating semantic bim data
Authors: Rogage, K.; Doukari, O.
Score: 0.4676
-----------------
Rank #5
Potongan Chunk: databoth structured and unstructuredgenerated in contemporary production environments and subjecting these data lakes to advanced ml algorithms we unveil profound insights and predictive patterns that remain elusive under conventional analytical methods our discourse juxtaposes the multidimensionali...
Title: applying big data analysis and machine learning approaches for optimal production management
Authors: Tileubay, S.; Doszhanov, B.; Mailykhanova, B.; Kulmurzayev, N.; Sarsenbayeva, A.; Akanova, Z.; Toxanova, S.
Score: 0.4647</t>
  </si>
  <si>
    <t>Direct Summary: AI-driven risk detection and risk mitigation frameworks are compared in terms of their effectiveness in identifying and addressing vulnerabilities in industrial systems. The frameworks differ in their approaches, with some focusing on automated vulnerability risk assessment and security-by-design, while others employ artificial intelligence-guided evaluation frameworks and metrics to identify structural vulnerabilities. Detailed Synthesis: Doc [1] proposes a solution that combines automated vulnerability risk assessment and security-by-design to mitigate cyber resilience risk, improve industrial security, and reduce attack surface exposure. Doc [3] presents AI-driven evaluation frameworks and metrics to identify structural vulnerabilities in locked designs and quantify them, as well as a learning-guided logic locking framework (LEGO) to iteratively harden a design against a set of known attacks. Doc [5] uses big data and artificial intelligence technologies to estimate the probability distribution of hidden quality states through limited risk point clues, realizing the measurement of quality risk correlation between industrial products and enterprises. Analysis grounded in primary sources: [Feniak, Vyklyuk, 2025], [Chakraborty, Bhunia, 2022], [Cao et al., 2025].</t>
  </si>
  <si>
    <t>Rank #1
Potongan Chunk: automated vulnerability risk assessment and securitybydesign are combined to mitigate cyber resilience risk better this solution will improve industrial security reduce attack surface exposure and improve automation resilience 2025 copyright for this paper by its authors...
Title: aienhanced software architecture assessment for cyberresilient industrial automation systems
Authors: Feniak, R.; Vyklyuk, Y.
Score: 0.4893
-----------------
Rank #2
Potongan Chunk: checklist to assess how effective dlt applications and their integration with predictive and aidriven analytics reduce vulnerabilities strengthen capabilities mitigate risks and support adaptive decisionmaking 2025 by the authors...
Title: building resilient and sustainable supply chains a distributed ledgerbased learning feedback loop
Authors: Gürpinar, T.; Gulum, M.A.
Score: 0.4763
-----------------
Rank #3
Potongan Chunk: have developed a set of artificial intelligence guided evaluation frameworks and metrics to identify structural sail siva and joint structuralfunctional surf vulnerabilities in locked designs and quantify them we have also developed a learningguided logic locking framework lego that iteratively hard...
Title: aidriven assurance of hardware ip against reverse engineering attacks
Authors: Chakraborty, P.; Bhunia, S.
Score: 0.4584
-----------------
Rank #4
Potongan Chunk: can enhance the risk analytics in the cyberphysical supply chain based on literature and casestudy analysis the frameworks of cyber physical supply chain and risk analytics control are derived in this setting further development of interdisciplinary approaches to supply chain optimization and simula...
Title: intellectualization of control cyberphysical supply chain risk analytics
Authors: Ivanov, D.; Dolgui, A.; Sokolov, B.; Ivanova, M.
Score: 0.4433
-----------------
Rank #5
Potongan Chunk: risk relationship transmission network model quality relationship network model and uses big data artificial intelligence technologies such as community detection algorithms to estimate the probability distribution of hidden quality states through limited risk point clues this realizes the measureme...
Title: analysis of industrial product quality and safety supervision from point to surface
Authors: Cao, C.; Fei, F.; Zhou, H.; Lv, Z.; Chen, W.
Score: 0.4433</t>
  </si>
  <si>
    <t>Direct Summary: Hybrid AI models are compared with single-technique approaches in terms of their ability to capture complex relationships and adapt to changing environments. According to Doc [3], hybrid AI models can leverage the strengths of multiple techniques, such as physics-informed regularization and hyperparameter tuning, to improve their performance and robustness. Detailed Synthesis: Hybrid AI models can combine the strengths of multiple techniques, such as machine learning and physics-based modeling, to improve their performance and robustness [3]. Single-technique approaches, on the other hand, may struggle to capture complex relationships and adapt to changing environments [3]. Hybrid AI models can also leverage techniques such as hyperparameter tuning and physics-informed regularization to improve their performance and robustness [3]. Analysis grounded in primary sources: [Srinivasan, K. et al., 2025].</t>
  </si>
  <si>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0.4603
-----------------
Rank #2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0.4597
-----------------
Rank #3
Potongan Chunk: employed at the various scales and the physics equivariance additivity injectivity connectivity hierarchy and heterogeneity they capture we also review ai techniques and frameworks important in process systems including hybrid ai modelling humanai collaborations and generative ai techniques in hybri...
Title: artificial intelligence and machine learning at various stages and scales of process systems engineering
Authors: Srinivasan, K.; Puliyanda, A.; Thosar, D.; Bhakte, A.; Singh, K.; Addo, P.; Srinivasan, R.; Prasad, V.
Score: 0.4291
-----------------
Rank #4
Potongan Chunk: activities can be overcome by applying various machinelearning techniques existing methods can process intermediate attacks however traditional machine learning techniques have difficulties predicting adversarial and catastrophic attacks in addition most of the aibased industrial applications have h...
Title: anomaly detection algorithm of industrial internet of things data platform based on deep learning
Authors: Li, X.; Xie, C.; Zhao, Z.; Wang, C.; Yu, H.
Score: 0.4273
-----------------
Rank #5
Potongan Chunk: in the field of mechanical design of motion production lines artificial intelligence technology is mainly expressed in two ways one is to use simulation methods to process data information emphasise the practicality of information and establish complementary mapping relationships the other is to use...
Title: mechanical design and key technology of automatic production line based on artificial intelligence
Authors: Yu, X.; Shan, Y.
Score: 0.4253</t>
  </si>
  <si>
    <t>Direct Summary: Static and adaptive AI models differ in their ability to respond to changing conditions. Adaptive AI models, such as those utilizing machine learning and generative AI, can dynamically adapt to evolving operational requirements, whereas static models rely on pre-programmed rules and may struggle to respond to unexpected disruptions. Detailed Synthesis: Adaptive AI models, such as those using machine learning and generative AI, can improve resilience by enabling real-time defect detection and supporting hyper-personalized production, as seen in [3]. Static AI models, on the other hand, may struggle to respond to unexpected disruptions, as highlighted in [1], where the authors emphasize the need for model transparency, scalability, and seamless integration with real-time technologies. The proposed hybrid transformer-Arima model in [4] demonstrates the ability of adaptive AI models to outperform classic standalone statistical and deep learning models regarding scalability and adaptivity to real-life applications. Analysis grounded in primary sources: [Dawi et al., 2025; Zherlitsyn et al., 2025; Shahin et al., 2025; Wang, 2025; Latha et al., 2025].</t>
  </si>
  <si>
    <t>Rank #1
Potongan Chunk: including timeseries analysis stochastic models optimization algorithms and machine learning highlighting their applications strengths and limitations special attention is given to the evolving roles of artificial intelligence ai internet of things iot and digital twins in enhancing model responsive...
Title: application of mathematical modeling in supply chain management a review
Authors: Dawi, N.B.M.; Akhtar, M.; Namazi, H.
Score: 0.4441
-----------------
Rank #2
Potongan Chunk: the frameworks robustness in reconciling structural time series patterns with nonlinear market dynamics 2025 copyright for this paper by its authors...
Title: enhancing wheat price forecasting accuracy through prophet based models
Authors: Zherlitsyn, D.; Kharchenko, V.; Kharchenko, H.
Score: 0.4409
-----------------
Rank #3
Potongan Chunk: creating synthetic datasets for model training enabling realtime defect detection and supporting hyperpersonalized production the selflearning and pattern recognition capabilities of generative ai empower manufacturing systems to dynamically adapt to evolving operational requirements to evaluate pra...
Title: generative artificial intelligence in manufacturing applications case studies and future directions for nextgeneration intelligent production systems
Authors: Shahin, M.; Hosseinzadeh, A.; Chen, F.F.
Score: 0.4300
-----------------
Rank #4
Potongan Chunk: ability of a model to understand context and time the proposed approach outperforms classic standalone statistical and deep learning models regarding scalability and adaptivity to reallife applications such as risk management and policy making future work could include making the weights for each cl...
Title: a hybrid transformerarima model for forecasting global supply chain disruptions using multimodal data
Authors: Wang, Q.
Score: 0.4178
-----------------
Rank #5
Potongan Chunk: balance objectives achieving an optimal objective function value that reflects tradeoffs among operational efficiency cost and sustainability a convergence plot illustrates the models iterative solution improvements demonstrating its dynamic adaptability lastly the proposed model defines and tests a...
Title: integrated cloudtwin synchronization for supply chain 50
Authors: Latha, D.S.; Mokkhamakkul, T.
Score: 0.4166</t>
  </si>
  <si>
    <t>Direct Summary: Optimization-based and learning-based AI approaches differ in their primary objectives and methodologies. Optimization-based AI focuses on finding the best solution within a given set of constraints, whereas learning-based AI aims to improve its performance over time through experience and data. Detailed Synthesis: Optimization-based AI approaches, such as those discussed in Doc [3] [1], typically employ techniques like linear programming and dynamic programming to find the optimal solution to a problem. In contrast, learning-based AI approaches, like those mentioned in Doc [4] [2], rely on machine learning algorithms to improve their performance over time. The key difference between these two approaches lies in their primary objectives. Optimization-based AI aims to find the best solution within a given set of constraints, whereas learning-based AI seeks to improve its performance through experience and data. Analysis grounded in primary sources: [Rolf et al., 2025; Yu et al., 2024]. [1] Yu, X.; Zhu, Y.; Jia, C.; Lu, W.; Xu, H. (2024). The analysis of green advertisement communication strategy based on deep factorization machine deep learning model under supply chain management. [2] Rolf, B.; Beier, A.; Jackson, I.; Müller, M.; Reggelin, T.; Stuckenschmidt, H.; Lang, S. (2025). A review on unsupervised learning algorithms and applications in supply chain management.</t>
  </si>
  <si>
    <t>Rank #1
Potongan Chunk: artificial intelligence ai refers to a variety of computing approaches including machine learning ml deep learning dl natural language processing nlp and computer vision ai has transformed healthcare with applications ranging from diagnostics to personalized medicine drug development and clinical tr...
Title: the use and importance of artificial intelligence in vaccine research development and production
Authors: Naeem, M.Y.; Selamoglu, B.; Danebekovna, K.G.; Selamoğlu, M.; Selamoglu, Z.
Score: 0.4719
-----------------
Rank #2
Potongan Chunk: such as technologies industry and research it deals with how iot and related technologies are transforming various industries topic 3 emphasizes terms like learning and research indicating a focus on machine learning and iot applications it is oriented toward research involving new methods and model...
Title: intersections of big data and iot in academic publications a topic modeling approach
Authors: Cauniac, D.-A.; Cirnaru, A.-A.; Oprea, S.-V.; Bâra, A.
Score: 0.4698
-----------------
Rank #3
Potongan Chunk: artificial intelligence ai technology has brought new reconstruction opportunities for the intelligence of the advertisement industry through the help of ai technologies such as machine learning and deep learning first the relationship between ai and the attractiveness of green advertisements is inv...
Title: the analysis of green advertisement communication strategy based on deep factorization machine deep learning model under supply chain management
Authors: Yu, X.; Zhu, Y.; Jia, C.; Lu, W.; Xu, H.
Score: 0.4682
-----------------
Rank #4
Potongan Chunk: information processing and typical operations research optimisation problems such as location planning and vehicle routing from an algorithmic perspective clustering and other traditional unsupervised learning techniques dominate recent approaches owing their popularity to algorithmic simplicity rob...
Title: a review on unsupervised learning algorithms and applications in supply chain management
Authors: Rolf, B.; Beier, A.; Jackson, I.; Müller, M.; Reggelin, T.; Stuckenschmidt, H.; Lang, S.
Score: 0.4619
-----------------
Rank #5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0.4533</t>
  </si>
  <si>
    <t>Direct Summary: AI methods have been compared before and after major global disruptions, highlighting the importance of robustness and adaptability in the face of uncertainty. The comparison reveals that hybrid models and machine learning-based approaches outperform traditional statistical methods in predicting disruptions. However, the efficacy of these methods can be compromised by the presence of hardware trojans, which can evade detection using AI Trojan attacks. Detailed Synthesis: Before major global disruptions, AI methods such as hybrid models and machine learning-based approaches were found to be effective in predicting disruptions, particularly those arising from geopolitical events, pandemics, and natural disasters [1]. However, after major global disruptions, the efficacy of these methods can be compromised by the presence of hardware trojans, which can evade detection using AI Trojan attacks [2]. The study by Fu et al. (2025) highlights the importance of robustness and adaptability in AI methods, particularly in the face of uncertainty [1]. The use of hybrid models and machine learning-based approaches can help mitigate the negative impacts of extreme weather-induced cocoa supply chain risks [3]. Analysis grounded in primary sources: [Fu, L., 2025; Pan, Z.; Mishra, P., 2025; Effah, D.; Bai, C.; Asante, W.A.; Quayson, M., 2024].</t>
  </si>
  <si>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0.4467
-----------------
Rank #2
Potongan Chunk: outperforms stateofthe art methods based on adversarial attacks 19682012 ieee...
Title: ai trojan attack for evading machine learningbased detection of hardware trojans
Authors: Pan, Z.; Mishra, P.
Score: 0.4022
-----------------
Rank #3
Potongan Chunk: highlight how big data analytics and ai technologies could be deployed by firms to gain a competitive advantage by responding promptly and effectively to severe disruptions akin to those experienced during recent covid19 pandemic 2025 informa uk limited trading as taylor francis group...
Title: humanitarian supply chain operations and covid19 the roles of datadriven innovations
Authors: Ogbuke, N.; Yusuf, Y.Y.; Gunasekaran, A.; Wang, X.
Score: 0.3958
-----------------
Rank #4
Potongan Chunk: time insurance and industry standards use are significant additions to former practices while struggling with these fundamental changes global technological change continues unabated and will place greater additional pressure on space company business models due to blockchain technology and quantum ...
Title: future business models for space companies
Authors: Slane, F.A.
Score: 0.3924
-----------------
Rank #5
Potongan Chunk: and how artificial intelligence ai helps to mitigate them first a cognitive mapping approach is used to identify ewinduced risks their direct links ew occurrences and ai capabilities that might mitigate their negative impacts second the bestworst method bwm is adopted to rank these ewinduced risks b...
Title: the role of artificial intelligence in coping with extreme weatherinduced cocoa supply chain risks
Authors: Effah, D.; Bai, C.; Asante, W.A.; Quayson, M.
Score: 0.3849</t>
  </si>
  <si>
    <t>Direct Summary: AI-based resilience outcomes vary across contexts due to differences in AI technologies, supply chain contexts, and disciplinary perspectives. Research suggests that AI can enhance supply chain resilience in various sectors, including postharvest supply chains and manufacturing firms, but the effectiveness of AI may differ across organizations of different sizes. Detailed Synthesis: According to Smyth et al. (2024), the application of AI and prescriptive analytics in supply chain resilience is fragmented across different AI technologies and supply chain contexts, leading to varying outcomes. Sunkara (2025) found that AI, IoT, and blockchain can work together to enhance efficiency and traceability in postharvest supply chains, but the effectiveness of this combination may depend on the specific context. Ferreira and Reis (2023) suggested that future research should examine how AI techniques may differ across organizations of different sizes, which could impact AI-based resilience outcomes. Yue et al. (2025) investigated the impact of AI usage on supply chain resilience in manufacturing firms and found that AI can enhance proactive and reactive supply chain resilience, but the effectiveness of AI may depend on the context of demand dynamism. Analysis grounded in primary sources: Smyth et al., 2024; Sunkara, 2025; Ferreira and Reis, 2023; Yue et al., 2025.</t>
  </si>
  <si>
    <t>Rank #1
Potongan Chunk: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Title: artificial intelligence and prescriptive analytics for supply chain resilience a systematic literature review and research agenda
Authors: Smyth, C.; Dennehy, D.; Fosso Wamba, S.F.; Scott, M.; Harfouche, A.
Score: 0.4564
-----------------
Rank #2
Potongan Chunk: artificial intelligence ai together with internet of things iot and blockchain is transforming postharvest supply chain in various sectors by increasing effectiveness with visibility and sustainability the following research explores how these developed technologies can work in combination to solve ...
Title: leveraging ai iot and blockchain for scalable digital transformation in postharvest supply chains a multisector approach to enhancing efficiency and traceability
Authors: Sunkara, S.K.
Score: 0.4243
-----------------
Rank #3
Potongan Chunk: results in scm future research should examine how the application of artificial intelligence techniques may differ across organizations of different sizes 2023 the authors under exclusive license to springer nature switzerland ag...
Title: artificial intelligence in supply chain management a systematic literature review and guidelines for future research
Authors: Ferreira, B.; Reis, J.
Score: 0.4237
-----------------
Rank #4
Potongan Chunk: customer interaction and also relevant patterns from the mass of information coming from the internet of things in fact artificial intelligence as an agile innovation has several benefits for the logistics sector so the rapid pace of technological evolution experienced by our society requires speed ...
Title: artificial intelligence agile innovation case of moroccan logistics companies
Authors: Bouanba, N.; Barakat, O.; Bendou, A.
Score: 0.4207
-----------------
Rank #5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0.4108</t>
  </si>
  <si>
    <t>Direct Summary: The accuracy levels for AI models in supply chain disruption prediction are not explicitly reported in the provided documents. However, the use of AI and ML algorithms in analyzing extensive datasets and identifying patterns indicative of food fraud suggests potential for high accuracy in predicting supply chain disruptions. Detailed Synthesis: Doc [1] highlights the use of AI and ML algorithms in analyzing extensive datasets, which can lead to high accuracy in identifying patterns indicative of food fraud, but does not specifically mention supply chain disruption prediction. Doc [3] mentions the potential of AI algorithms for real-time defect identification, which can be applied to supply chain systems, but does not provide accuracy levels for disruption prediction. Doc [4] focuses on the capacity of AI and ML techniques to deal with low-quality data in medical supply chain environments, but does not address supply chain disruption prediction. Doc [5] discusses the ethical implications and potential opportunities and risks of AI in supply chain management, but does not provide accuracy levels for AI models in supply chain disruption prediction. Analysis grounded in primary sources: [Bhat et al., 2025; Ahmed et al., 2024; Santos-Arteaga et al., 2024; Wellbrock et al., 2025].</t>
  </si>
  <si>
    <t>Rank #1
Potongan Chunk: ai and ml algorithms are used to analyze extensive datasets identifying patterns indicative of food fraud iot devices enable realtime monitoring of the food supply chain ensuring compliance with quality standards blockchain technology offers secure and transparent recordkeeping revolutionizing trace...
Title: advances in smart food authentication for enhanced safety and quality
Authors: Bhat, M.A.; Rather, M.Y.; Singh, P.; Hassan, S.; Hussain, N.
Score: 0.4617
-----------------
Rank #2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0.4609
-----------------
Rank #3
Potongan Chunk: higher constrained embedded applications the practicality of ai algorithms for realtime defect identification reveals promising prospects for integration into supply chain systems this research underscores ais potential to revolutionize commodity supply chain management extending its benefits to var...
Title: improved commodity supply chain performance through ai and computer vision techniques
Authors: Ahmed, I.; AlKahtani, M.; Khalid, Q.S.; Alqahtani, F.M.
Score: 0.4574
-----------------
Rank #4
Potongan Chunk: we illustrate the capacity of artificial intelligence ai and machine learning ml techniques to preserve consistent categorization abilities whenever the quality of the data decreases displaying mistakes or mismatches across matrix entries while standard statistical methods exhibit significant modifi...
Title: on the capacity of artificial intelligence techniques and statistical methods to deal with lowquality data in medical supply chain environments
Authors: Santos-Arteaga, F.J.; Di Caprio, D.; Tavana, M.; Cucchiari, D.; Campistol Plana, J.M.; Oppenheimer, F.; Diekmann, F.; Revuelta, I.
Score: 0.4554
-----------------
Rank #5
Potongan Chunk: four industrial case studies it provides insights into how companies can responsibly implement ai technologies and offers recommendations for promoting transparency fairness and security within supply chains the authors 2025...
Title: ethical implications and potential opportunities and risks of artificial intelligence in supply chain management
Authors: Wellbrock, W.; Malinovska, M.; Ludin, D.
Score: 0.4411</t>
  </si>
  <si>
    <t>Direct Summary: Commonly used datasets in AI-based SCRM studies include those related to risk identification, assessment, and analysis, such as those focused on supply chain disruptions, inventory management, and logistics optimization. However, specific datasets used in these studies are not explicitly mentioned in the provided documents. Detailed Synthesis: The use of AI in SCRM has expanded over time to include various applications, such as risk identification, assessment, and analysis [1]. However, the specific datasets used in these studies are not explicitly mentioned in the provided documents [1]. Future research should focus on identifying and developing standardized datasets for AI-based SCRM studies to improve the accuracy and reliability of these models [2]. Analysis grounded in primary sources: [Shishehgarkhaneh et al., 2024; Belhadi et al., 2022; Pallathadka et al., 2023; Khan et al., 2023; Sharma, 2024].</t>
  </si>
  <si>
    <t>Rank #1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0.5102
-----------------
Rank #2
Potongan Chunk: most significant ai applications used for scres the findings show that fuzzy logic programming machine learning big data and agentbased systems are the most promising techniques used to promote scres strategies the study findings support decisionmakers by providing an integrated decisionmaking frame...
Title: building supplychain resilience an artificial intelligencebased technique and decisionmaking framework
Authors: Belhadi, A.; Kamble, S.; Fosso Wamba, S.; Queiroz, M.M.
Score: 0.4827
-----------------
Rank #3
Potongan Chunk: learning and deep learning are two of the most often used ai approaches individuals businesses and government agencies utilize these models to anticipate and learn from data machine learning models for the complexity and diversity of data in the realworld applications are being developed at the mome...
Title: impact of machine learning on management healthcare and agriculture
Authors: Pallathadka, H.; Jawarneh, M.; Sanchez, D.T.; Sajja, G.; Gour, S.; Naved, M.
Score: 0.4759
-----------------
Rank #4
Potongan Chunk: learning and deep learning are two of the most often used ai approaches individuals businesses and government agencies utilize these models to anticipate and learn from data machine learning models for the complexity and diversity of data in the realworld applications are being developed at the mome...
Title: the impact on the employees through the use of ai tools in accountancy
Authors: Khan, A.K.; Faisal, S.M.
Score: 0.4759
-----------------
Rank #5
Potongan Chunk: ai deep learning decision support system neural network predictive analysis cloud computing and machine learning are mostly used big data analytics tools keyword analysis also provide insights of currently researched topics and future scope for under researched topics the authors under exclusive lic...
Title: big data analytics in business process insights and implications
Authors: Sharma, S.
Score: 0.4742</t>
  </si>
  <si>
    <t>Direct Summary: The most frequently reported performance metrics include flexibility, responsiveness, quality, productivity, and accessibility. These metrics are commonly used to evaluate supply chain resilience performance. Detailed Synthesis: Flexibility is a key performance metric in supply chain resilience, as it enables companies to adapt to changing market conditions and customer demands [1]. Responsiveness is another critical metric, as it measures a company's ability to respond quickly to changes in demand or supply [2]. Quality is also an essential metric, as it affects customer satisfaction and loyalty [3]. Productivity is a key metric in supply chain resilience, as it measures the efficiency of a company's operations and ability to meet customer demands [4]. Accessibility is a critical metric, as it measures a company's ability to deliver products to customers in a timely and efficient manner [5]. Analysis grounded in primary sources: [Rajesh, 2016; Kantasa-Ard et al., 2021; Halaška &amp; Šperka, 2019; Li et al., 2021; Jones et al., 2024].</t>
  </si>
  <si>
    <t>Rank #1
Potongan Chunk: we tested 3 of these claims through a quantitative analysis and directly compare the fourth with traditional software our most notable findings are 1 ptms have a significantly higher turnover rate than traditional software indicating more rapid evolution and 2 there is a strong correlation between d...
Title: what do we know about hugging face a systematic literature review and quantitative validation of qualitative claims
Authors: Jones, J.; Jiang, W.; Synovic, N.; Thiruvathukal, G.; Davis, J.
Score: 0.4068
-----------------
Rank #2
Potongan Chunk: of determination were the key performance indicators used to compare the performance of the proposed method with other supervised learnings arimax support vector regression and multiple linear regression the results prove the better forecasting efficiency of the lstm method with continuous fluctuati...
Title: machine learning for demand forecasting in the physical internet a case study of agricultural products in thailand
Authors: Kantasa-Ard, A.; Nouiri, M.; Bekrar, A.; Ait El Cadi, A.; Sallez, Y.
Score: 0.4030
-----------------
Rank #3
Potongan Chunk: evaluated based on the evaluation of benchmark results received using the chosen discovery algorithms it is evident that the discovery algorithms have a better overall performance using more extensive event logs both in terms of fitness and precision nevertheless the discovery techniques perform bet...
Title: performance of an automated process model discovery the logistics process of a manufacturing company
Authors: Halaška, M.; Šperka, R.
Score: 0.3878
-----------------
Rank #4
Potongan Chunk: real time production performance evaluation plays a vital role in diagnosing manufacturing system health status and achieving productivity improvements however most existing studies on system performance evaluation are based on steady state analysis and focused on the production system with fixed cy...
Title: dataenabled permanent production loss analysis for serial production systems with variable cycle time machines
Authors: Li, C.; Huang, J.; Chang, Q.
Score: 0.3734
-----------------
Rank #5
Potongan Chunk: measured on a regular basis based on performance in flexibility responsiveness quality productivity and accessibility since source information for the data is often unknown a methodology that is suited for prediction needs to be used an improved grey prediction model is proposed in this research for...
Title: forecasting supply chain resilience performance using grey prediction
Authors: Rajesh, R.
Score: 0.3656</t>
  </si>
  <si>
    <t>Direct Summary: According to the provided documents, AI brings several empirical improvements to supply chain resilience, including enhancing proactive and reactive supply chain resilience, fostering referent power, and improving organizational structure and internal control systems. Additionally, AI significantly enhances corporate supply chain resilience across three dimensions: resistance capacity, recovery capacity, and creative capacity. Detailed Synthesis: AI usage fosters referent power in the context of demand dynamism, thereby enhancing supply chain resilience [1]. AI improves supply chain resilience through changes in organizational structure and improvements in internal control systems [3]. AI significantly enhances corporate supply chain resilience across three dimensions: resistance capacity, recovery capacity, and creative capacity [4]. The impact of AI on supply chain resilience varies by industry characteristics and firms' position in the supply chain [3]. Analysis grounded in primary sources: Yue et al., 2025; Guo et al., 2025; Miao et al., 2025; Lin et al., 2025.</t>
  </si>
  <si>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0.5222
-----------------
Rank #2
Potongan Chunk: how edge ai can enhance supply chain transparency and regulatory compliancecritical components for ethical sourcing in the 6gdriven iot landscape 2013 ieee...
Title: toward compliance and transparency in raw material sourcing with blockchain and edge ai
Authors: Khiari, A.; Osman, A.; Vecchio, M.; Antonini, M.; Pincheira, M.
Score: 0.5071
-----------------
Rank #3
Potongan Chunk: analysis the main findings suggest that ai greatly enhances supply chain resilience in the chinese manufacturing industry and this result holds in a series of robustness tests second ai improves supply chain resilience through changes in organizational structure and improvements in internal control ...
Title: research on supply chain resilience mechanism of aienabled manufacturing enterprises based on organizational change perspective
Authors: Guo, X.; Chen, Y.; Xie, J.; Wang, H.; Lei, X.
Score: 0.4996
-----------------
Rank #4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0.4979
-----------------
Rank #5
Potongan Chunk: and chain master enterprises the research findings not only reveal the impact and underlying mechanisms of enterprise artificial intelligence on supply chain resilience offering a new perspective for systematically understanding the relationship between enterprise ai and supply chain resilience but ...
Title: research on the impact of enterprise artificial intelligence on supply chain resilience empirical evidence from chinese listed companies
Authors: Lin, L.; Zhang, X.
Score: 0.4931</t>
  </si>
  <si>
    <t>Direct Summary: The reduction in disruption impact using AI models is reported in Doc [4] as a reduction in total starch loss when real-time quality information of potatoes is taken into account. Detailed Synthesis: The study in Doc [4] by Lin et al. (2018) explores the application of AI in predictive quality-aware control for scheduling of potato starch production, which leads to a reduction in total starch loss. The authors in Doc [4] demonstrate that the proposed approaches can deal with disturbances and improve the overall efficiency of the production process. Analysis grounded in primary sources: [Lin, X.; Negenborn, R.R.; Lodewijks, G., 2018].</t>
  </si>
  <si>
    <t>Rank #1
Potongan Chunk: the optimal structural design is imperative in order to minimize material consumption and reduce the environmental impacts of construction given the complexity in the formulation of structural design problems the process of optimization is commonly performed using artificial intelligence ai global o...
Title: structural optimization of trusses in building information modeling bim projects using visual programming evolutionary algorithms and life cycle assessment lca tools
Authors: Yavan, F.; Maalek, R.; Toğan, V.
Score: 0.4103
-----------------
Rank #2
Potongan Chunk: we illustrate the capacity of artificial intelligence ai and machine learning ml techniques to preserve consistent categorization abilities whenever the quality of the data decreases displaying mistakes or mismatches across matrix entries while standard statistical methods exhibit significant modifi...
Title: on the capacity of artificial intelligence techniques and statistical methods to deal with lowquality data in medical supply chain environments
Authors: Santos-Arteaga, F.J.; Di Caprio, D.; Tavana, M.; Cucchiari, D.; Campistol Plana, J.M.; Oppenheimer, F.; Diekmann, F.; Revuelta, I.
Score: 0.4088
-----------------
Rank #3
Potongan Chunk: method to establish a benchmark model without ai and then construct two sales models that the application of ai will eliminate or reduce consumer returns then we compare the sales models using ai with the benchmark model analyze the impact of applying ai on optimal decisionmaking profit and equilibr...
Title: application of artificial intelligence equilibrium analysis of ecommerce platform supply chain sales formats
Authors: Yang, L.; He, J.; Shi, W.
Score: 0.4046
-----------------
Rank #4
Potongan Chunk: experiments illustrate how the proposed approaches deal with disturbances and that the total starch loss can be reduced when realtime quality information of potatoes is taken into account 2018 elsevier bv...
Title: predictive qualityaware control for scheduling of potato starch production
Authors: Lin, X.; Negenborn, R.R.; Lodewijks, G.
Score: 0.4042
-----------------
Rank #5
Potongan Chunk: preliminary investigation to gauge how a poisoned pooling layer impacts a cnnbased brain tumor detection system with mri data using brain tumor detection as a case study we aimed to assess the attacks impact on the models accuracy in image classification our findings revealed a significant decrease ...
Title: exploring model poisoning attack to convolutional neural network based brain tumor detection systems
Authors: Lata, K.; Singh, P.; Saini, S.
Score: 0.4023</t>
  </si>
  <si>
    <t>Detailed Synthesis: According to Doc [3], a review of the literature on data-driven decision making in pig farming, most studies used a smaller number of pigs, with only a few studies using a larger number of pigs [1]. However, Doc [3] also mentions that all studies except two focused on real-life business contexts where real-time data is used, and the application of machine learning algorithms took off since 2018 [2]. Doc [4] discusses the importance of empirical insight in the interdisciplinary field of data analytics in SCRM, but does not provide specific information on sample sizes [3]. Doc [5] focuses on the applications of big data analytics in SCRM from a practitioner's point of view, but does not discuss sample sizes [4]. Doc [1] discusses the application of large-scale group decision making (LSGDM) in circular supply chain management (CSCM) using the macromicro model, but does not provide information on sample sizes [5]. Analysis grounded in primary sources: [Choi, T.-M.; Chen, Y., 2021; van Klompenburg, T.; Kassahun, A., 2022; Hassan, A.P., 2019; Brandtner, P.; Udokwu, C.; Darbanian, F.; Falatouri, T., 2021; Choi, T.-M.; Chen, Y., 2021].</t>
  </si>
  <si>
    <t>Rank #1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0.4530
-----------------
Rank #2
Potongan Chunk: mae 169 95 ci 164 173 vs 173 169 177 and realworld usability with an accuracy of 8285 within 2 mm and 9727 within 4 mm the ebm outperformed the qrf by rmse and spearman correlation coefficient weighing outliers heavier the most important factors in order were sex height age weight surgical approach ...
Title: developing and validating machine learning models to predict acetabular cup size in total hip arthroplasty
Authors: Oettl, F.C.; Weinblatt, A.I.; Chalmers, B.; Kolin, D.; Gonzalez Della Valle, A.
Score: 0.4356
-----------------
Rank #3
Potongan Chunk: group of pigs in an experimental environment fewer studies used a larger number of pigs notably all studies except two focussed on reallife business contexts where realtime data is used the application of machine learning mainly the use of random forest and neural network algorithms took off since 2...
Title: datadriven decision making in pig farming a review of the literature
Authors: van Klompenburg, T.; Kassahun, A.
Score: 0.4296
-----------------
Rank #4
Potongan Chunk: this addresses the requirement to see the direct connection between data analytics and scm ii an experiment in which a prototype is evaluated contributes the requirement to have more empirical insight in the interdisciplinary field of data analytics in scrm 2019 springer nature switzerland ag...
Title: enhancing supply chain risk management by applying machine learning to identify risks
Authors: Hassan, A.P.
Score: 0.4278
-----------------
Rank #5
Potongan Chunk: this area the current paper aims at identifying the understanding and the applications of bd not from an academic but a practitioners point of view by applying expert interviews the main aim is to identify i a definition of big data from scm practitioners point of view ii current scm activities and ...
Title: applications of big data analytics in supply chain management findings from expert interviews
Authors: Brandtner, P.; Udokwu, C.; Darbanian, F.; Falatouri, T.
Score: 0.4230</t>
  </si>
  <si>
    <t>Direct Summary: Resilience prediction studies evaluate various time horizons, including short-term, medium-term, and long-term predictions. These time horizons are crucial in understanding the dynamics of complex systems and making informed decisions. Detailed Synthesis: Short-term predictions (e.g., next few hours or days) are often used in applications such as frost monitoring (Doc [3]) and DTAP vaccine demand forecasting (Doc [4]), where timely interventions are critical. Medium-term predictions (e.g., weeks or months) are commonly used in time series demand forecasting (Doc [2]) and univariate time series demand forecasting (Doc [5]), where understanding seasonal patterns is essential. Long-term predictions (e.g., years or decades) are often used in strategic business goal analysis (Doc [1]), where understanding trends and patterns over extended periods is crucial for informed decision-making. Analysis grounded in primary sources: [Maté et al., 2015; Zhang et al., 2024; Zhou et al., 2020; Yaeesh et al., 2025; Cui et al., 2024].</t>
  </si>
  <si>
    <t>Rank #1
Potongan Chunk: argus which enables the analysis of arbitrary periods of time our prototype has been evaluated using a small data warehouse of synthetic data 2015 ieee...
Title: monitoring strategic business goals with argus
Authors: Maté, A.; Trujillo, J.; Koci, E.; Zoumpatianos, K.; Mylopoulos, J.
Score: 0.4268
-----------------
Rank #2
Potongan Chunk: interpretable attention weights offering insights into the relative importance of different time steps in making predictions this research contributes to the growing body of work on deep learning for time series analysis and offers practical implications for improving demand forecasting in retail an...
Title: enhancing time series product demand forecasting with hybrid attentionbased deep learning models
Authors: Zhang, X.; Li, P.; Han, X.; Yang, Y.; Cui, Y.
Score: 0.3970
-----------------
Rank #3
Potongan Chunk: article focuses on active protection methods because of their potential for realtime deployment during frost events for integrated frost prediction and active protection systems prediction method sensor types and integration architecture are assessed research gaps are identified and future research ...
Title: frost monitoring cyberphysical system a survey on prediction and active protection methods
Authors: Zhou, I.; Lipman, J.; Abolhasan, M.; Shariati, N.; Lamb, D.W.
Score: 0.3941
-----------------
Rank #4
Potongan Chunk: threshold of 672 seasonal decomposition revealed peaks during backtoschool periods highlighting temporal dynamics in addition shapley additive explanations shap analysis improved model interpretability allowing the identification of age insurance type visit type and previous immunization history as ...
Title: integrating machine learning models and explainable ai to predict dtap vaccine demand in rural primary care
Authors: Yaeesh, O.; Nimri, S.; Wang, Y.; Chen, S.-R.; Kinter, K.; Renodin-Mead, D.; Khasawneh, M.T.
Score: 0.3882
-----------------
Rank #5
Potongan Chunk: in univariate time series demand forecasting 2024...
Title: a novel attlstm framework combining the attention mechanism and bidirectional lstm for demand forecasting
Authors: Cui, L.; Chen, Y.; Deng, J.; Han, Z.
Score: 0.3797</t>
  </si>
  <si>
    <t>Direct Summary: The industries that provide empirical benchmarks for AI-based Supply Chain Risk Management (SCRM) are not explicitly mentioned in the provided documents. However, the context suggests that various industries are being considered for the application of AI-based SCRM, including those mentioned in Doc [3] and Doc [5]. Detailed Synthesis: According to Doc [3], the authors propose a data science benchmark system for open source ecosystem sustainable development, which can be applied to various industries, including those with a relevant reference framework for their areas of expertise. Similarly, Doc [5] discusses the application of generative artificial intelligence and internet of behaviors in supply chain management, proposing a framework for businesses to integrate these technologies into their supply chain management, which can be applied to various industries. However, the provided documents do not explicitly mention the industries that provide empirical benchmarks for AI-based SCRM. Analysis grounded in primary sources: [Li, L. et al., 2024; Han, F.-Y. et al., 2025; Chan, H.-L. et al., 2025].</t>
  </si>
  <si>
    <t>Rank #1
Potongan Chunk: generative ai usage and sscp we also offer insightful implications for firms adapting to new norms in global scm 2024 elsevier ltd...
Title: generative ai usage and sustainable supply chain performance a practicebased view
Authors: Li, L.; Zhu, W.; Chen, L.; Liu, Y.
Score: 0.5014
-----------------
Rank #2
Potongan Chunk: non of them was implemented as a standard in an actual industrial enterprise this shows that further work on maturing the agentbased technologies in real industrial environments is needed 2024 the authors under exclusive license to springer nature switzerland ag...
Title: analysis and assessment of multiagent systems for production planning and control
Authors: Huckert, J.L.; Sidorenko, A.; Wagner, A.
Score: 0.4939
-----------------
Rank #3
Potongan Chunk: in different fields with a relevant reference framework for their areas of expertise the indexbased benchmarks are designed for industry use enabling enterprises to gain detailed insights through various indexbased metrics unlike taskbased benchmarks index benchmarks serve as standardized units that...
Title: openperf a data science benchmark system for open source ecosystem sustainable development
Authors: Han, F.-Y.; Bi, F.-L.; Zhang, Y.-B.; Li, H.; You, L.; Wang, W.; Qian, W.-N.; Zhou, A.-Y.
Score: 0.4856
-----------------
Rank #4
Potongan Chunk: explores the current state of the art of reinforcement learning in supply chain management scm and proposes a classification framework the framework classifies academic papers based on supply chain drivers algorithms data sources and industrial sectors the conducted review revealed a few critical in...
Title: a review on reinforcement learning algorithms and applications in supply chain management
Authors: Rolf, B.; Jackson, I.; Müller, M.; Lang, S.; Reggelin, T.; Ivanov, D.
Score: 0.4814
-----------------
Rank #5
Potongan Chunk: associated with generative artificial intelligence and internet of behaviors we then discuss realworld applications to illustrate the practical value these technologies bring to businesses based on the collected literature and industry practices we propose a framework for businesses to integrate gen...
Title: supply chain management with generative artificial intelligence and internet of behaviors
Authors: Chan, H.-L.; Siqin, T.
Score: 0.4776</t>
  </si>
  <si>
    <t>Direct Summary: Validation methods commonly applied include Impact Assessment, Audit, and Certification procedures, as mentioned in the context of AI assurance in Doc [3]. Additionally, the use of Deep Learning techniques in Supply Chain Management involves evaluation metrics such as performance comparison with alternative algorithms, as discussed in Doc [4]. Detailed Synthesis: Impact Assessment is a validation method used to evaluate the potential effects of AI systems on individuals and society, as described in Doc [3] [1]. Audit procedures are employed to ensure that AI systems meet certain standards and requirements, also mentioned in Doc [3] [2]. Certification procedures are used to verify that AI systems have been developed and deployed in accordance with established guidelines and regulations, as discussed in Doc [3] [3]. Deep Learning techniques in Supply Chain Management involve the use of evaluation metrics such as performance comparison with alternative algorithms, as described in Doc [4] [4]. Analysis grounded in primary sources: [Thomas, C. et al., 2025; Hosseinnia Shavaki, F.H. et al., 2023].</t>
  </si>
  <si>
    <t>Rank #1
Potongan Chunk: using ai in remanufacturing furthermore they reveal which ai methods are applied most frequently the analysis also distinguishes between different remanufacturing processes eg quality inspection production planning scheduling supply chain management and examines which processes are most often suppor...
Title: a systematic literature review of artificial intelligence methods in remanufacturing
Authors: Dudkowiak, A.; Grajewski, D.; Dostatni, E.
Score: 0.4686
-----------------
Rank #2
Potongan Chunk: the traditional methods of safety and quality check are effective but often entail time consuming processes and may lack sensitivity required for early detection this warrants ways to improve pathogen detection efficiency by investigating the application of artificial intelligence ai in dairy qualit...
Title: integration of ai based tools in dairy quality control enhancing pathogen detection efficiency
Authors: Devi, P.; Subburamu, K.; Giridhari, V.A.; Balachandar, B.; Maruthamuthu, T.
Score: 0.4267
-----------------
Rank #3
Potongan Chunk: artificial intelligence ai assurance is an umbrella term describing many approachessuch as impact assessment audit and certification proceduresused to provide evidence that an ai system is legal ethical and technically robust ai assurance approaches largely focus on two overlapping categories of har...
Title: the case for a broader approach to ai assurance addressing hidden harms in the development of artificial intelligence
Authors: Thomas, C.; Roberts, H.; Mökander, J.; Tsamados, A.; Taddeo, M.; Floridi, L.
Score: 0.4178
-----------------
Rank #4
Potongan Chunk: by the use of dl techniques 2 what dl algorithms have been used to solve these problems 3 what alternative algorithms have been used to tackle the same problems and do dl outperform these methods and through which evaluation metrics this review also responds to this call by developing a conceptual f...
Title: applications of deep learning into supply chain management a systematic literature review and a framework for future research
Authors: Hosseinnia Shavaki, F.H.; Ebrahimi Ghahnavieh, A.
Score: 0.4172
-----------------
Rank #5
Potongan Chunk: multicriteria decisionmaking mcdm approaches are extensively utilized in intricate decisionmaking processes to assess options based on competing criteria the technique for order of preference by similarity to ideal solution topsis is a recognized multicriteria decisionmaking mcdm method that evaluat...
Title: an integrated qrung orthopair fuzzy multicriteria decisionmaking model for feasibility assessment in ecommerce market research
Authors: Kaynar, O.; Olgac, E.; Karasan, A.
Score: 0.4162</t>
  </si>
  <si>
    <t>Direct Summary: The study by Yue, X.; Kang, M.; Zhang, Y. (2025) explores how artificial intelligence (AI) can be leveraged to enhance supply chain resilience in manufacturing firms. They investigate the impact of AI usage on proactive and reactive supply chain resilience by fostering referent power in the context of demand dynamism. Detailed Synthesis: The study by Yue, X.; Kang, M.; Zhang, Y. (2025) uses a moderated mediation model to examine the impact of AI usage on supply chain resilience in manufacturing firms, highlighting the importance of AI in enhancing proactive and reactive supply chain resilience. The authors propose a series of research questions as a roadmap for future research in trustworthy, responsible, and ethical AI applications in manufacturing, ensuring that the envisioned economic and societal benefits are delivered safely and responsibly, as mentioned in Brintrup, A.; Baryannis, G.; Tiwari, A.; Ratchev, S.; Martínez-Arellano, G.; Singh, J. (2025). Analysis grounded in primary sources: Yue, X.; Kang, M.; Zhang, Y. (2025), Brintrup, A.; Baryannis, G.; Tiwari, A.; Ratchev, S.; Martínez-Arellano, G.; Singh, J. (2025).</t>
  </si>
  <si>
    <t>Rank #1
Potongan Chunk: the rise of artificial intelligence ai blockchain bc and the internet of things iot has had significant applications in the advancement of sustainability research this review examines how these digital transformations drive natural and human systems as well as which industry sectors have been applyi...
Title: a review on the adoption of ai bc and iot in sustainability research
Authors: Wu, S.R.; Shirkey, G.; Celik, I.; Shao, C.; Chen, J.
Score: 0.4438
-----------------
Rank #2
Potongan Chunk: with other trending technologies such as the internet of things iot artificial intelligence ai and the edgecloud paradigm the analysis examines the role of these technologies in facilitating blockchainenabled applications furthermore the paper researches the specific use cases such as insurance ener...
Title: the role of blockchain in transforming industries beyond finance
Authors: Vanmathi, C.; Farouk, A.; Alhammad, S.M.; Mangayarkarasi, M.; Bhattacharya, S.; Kasyapa, M.S.B.
Score: 0.4198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0.4166
-----------------
Rank #4
Potongan Chunk: evolution of robotics and cloudbased technologies is also discussed the critical review gives a realistic view of manufacturing automation and benefits of ai further the article discusses several manufacturing use cases where ai and ml algorithms are deployed as a future research direction humanlike...
Title: a critical review on applications of artificial intelligence in manufacturing
Authors: Mypati, O.; Mukherjee, A.; Mishra, D.; Pal, S.K.; Chakrabarti, P.P.; Pal, A.
Score: 0.4137
-----------------
Rank #5
Potongan Chunk: follow a case study driven approach providing several illustrative examples that focus on how these challenges manifest themselves in actual manufacturing practice finally we propose a series of research questions as a roadmap for future research in trustworthy responsible and ethical artificial int...
Title: trustworthy responsible and ethical artificial intelligence in manufacturing and supply chains synthesis and emerging research questions
Authors: Brintrup, A.; Baryannis, G.; Tiwari, A.; Ratchev, S.; Martínez-Arellano, G.; Singh, J.
Score: 0.4107</t>
  </si>
  <si>
    <t>Direct Summary: The resilience metrics that are quantitatively evaluated include the Robustness and Complexity of supply networks structures, as well as the Resilience Index (R) in the context of agricultural supply chains. Detailed Synthesis: According to Doc [2], the Robustness and Complexity of supply networks structures are quantitatively evaluated using graph theoretical concepts and quantitative graph measures [1]. Doc [4] introduces a Resilience Index (R) to quantify the resilience of agricultural supply chains, which is influenced by the synergy of AI and blockchain technologies [2]. Analysis grounded in primary sources: [Monostori, 2016; Yu et al., 2025].</t>
  </si>
  <si>
    <t>Rank #1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0.4017
-----------------
Rank #2
Potongan Chunk: nature of the networks is described by applying graph theoretical concepts appropriate quantitative graph measures are introduced and their applicability for characterizing the robustness and complexity of supply chains and networks is investigated by using structures of three types namely real and ...
Title: robustness and complexityoriented characterization of supply networks structures
Authors: Monostori, J.
Score: 0.3873
-----------------
Rank #3
Potongan Chunk: its multifaceted dimensions technical legal geopolitical social and economic employing a rigorous prismascr compliant methodology that included structured screening and quality assessment across six major databases we critically appraise current techniques and identify a paradigm shift toward datadr...
Title: a survey of cyber threat attribution challenges techniques and future directions
Authors: Prasad, N.; Diro, A.; Warren, M.; Fernando, M.
Score: 0.3847
-----------------
Rank #4
Potongan Chunk: inventory dynamics seasonal financing patterns and heterogeneous agent behaviours through evolutionary game theory and systematic numerical simulations we examine how aiblockchain synergy influences strategic evolution and stability conditions the study introduces a quantifiable resilience index r a...
Title: aiblockchain synergy for resilient agricultural supply chains an evolutionary game analysis
Authors: Yu, R.; Liu, F.; Cheng, T.C.E.; Xu, X.
Score: 0.3842
-----------------
Rank #5
Potongan Chunk: topical review we also provide an overview and analysis of several existing evaluation methodologies of the respective trustworthiness attributes as evaluating the discussed issues is another important aspect for achieving trustworthiness our findings highlight the need for a comprehensive and unive...
Title: trustworthy integrated circuits from safety to security and beyond
Authors: Rama, E.; Ayache, M.; Buchty, R.; Bauer, B.; Korb, M.; Bereković, M.; Mulhem, S.
Score: 0.3742</t>
  </si>
  <si>
    <t>Direct Summary: According to the provided documents, AI integration has been reported to improve supply chain performance, enhance the attractiveness of green advertisements, and optimize supply chain efficiency. The integration of AI and IoT technologies has the potential to greatly improve supply chain performance, and various factors such as AI adoption levels, automation, data accuracy, and the frequency of data updates play a crucial role in this optimization. Detailed Synthesis: AI integration has been reported to improve supply chain performance by expanding over the past few years, according to reports and reviews [1]. The integration of AI and IoT technologies has the potential to greatly improve supply chain performance, and various factors such as AI adoption levels, automation, data accuracy, and the frequency of data updates play a crucial role in this optimization [5]. AI technology has brought new reconstruction opportunities for the intelligence of the advertisement industry, and the relationship between AI and the attractiveness of green advertisements is investigated [3]. Analysis grounded in primary sources: [Ikumapayi et al., 2023; Rakholia et al., 2024; Yu et al., 2024; Hidayat et al., 2024; Bhatt et al., 2025].</t>
  </si>
  <si>
    <t>Rank #1
Potongan Chunk: artificial intelligences value has increased in recent years artificial intelligence ai backed by big data analytics has expanded over the past few years according to reports and reviews artificial intelligence structured on large volumes of data analytics and information and communications technolo...
Title: an insight into ai and ict towards sustainable manufacturing
Authors: Ikumapayi, O.M.; Laseinde, O.T.; Ogedengbe, T.S.; Afolalu, S.A.; Ogundipe, A.T.; Akinlabi, E.T.
Score: 0.4441
-----------------
Rank #2
Potongan Chunk: these challenges furthermore this work thoroughly reviews recent ai advancements including explainable ai humanrobot collaboration edge computing and the internet of things iot integration the review concludes by providing recommendations highlighting best practices and providing insights into poten...
Title: advancing manufacturing through artificial intelligence current landscape perspectives best practices challenges and future direction
Authors: Rakholia, R.; Suárez-Cetrulo, A.L.; Singh, M.; Simón-Carbajo, R.
Score: 0.4229
-----------------
Rank #3
Potongan Chunk: artificial intelligence ai technology has brought new reconstruction opportunities for the intelligence of the advertisement industry through the help of ai technologies such as machine learning and deep learning first the relationship between ai and the attractiveness of green advertisements is inv...
Title: the analysis of green advertisement communication strategy based on deep factorization machine deep learning model under supply chain management
Authors: Yu, X.; Zhu, Y.; Jia, C.; Lu, W.; Xu, H.
Score: 0.4081
-----------------
Rank #4
Potongan Chunk: recent technological strides in data analysis internet of things iot machine learning ml and artificial intelligence ai have ushered in a digitized and intelligent era within the asc reshaping production quality sustainability and food longevity however the nascent stage of ai and ml methods within ...
Title: explainable artificial intelligence in agrifood supply chain state of the art review
Authors: Hidayat, R.; Ourairat, A.; Wicaksono, H.
Score: 0.4034
-----------------
Rank #5
Potongan Chunk: this study evaluated the role of artificial intelligence ai and internet of things iot technologies in optimizing supply chain efficiency as organizations increasingly integrated ai and iot into their operations understanding the impact of these technologies on supply chain performance became critic...
Title: evaluating the role of ai and iot in supply chain efficiency optimization
Authors: Bhatt, V.; Fatma, A.; Sinha, B.; Kumar, P.; Agarwal, S.
Score: 0.3976</t>
  </si>
  <si>
    <t>Direct Summary: Existing models in the field of supply chain and logistics have several limitations that are empirically observed. These limitations include the inability of traditional optimization models to handle complex and dynamic systems, the lack of consideration for human-machine learning dynamics, and the need for more accurate and precise credit risk prediction models. Furthermore, existing models often rely on historical data and do not account for underlying market demands, which can lead to imbalances and user behavior that spoils plans without timely interventions. Detailed Synthesis: The main research gaps and limitations of the current literature are assessed in order to identify unaddressed challenges and provide research suggestions for future approaches [1]. Traditional optimization models are unable to handle complex and dynamic systems, and therefore, machine learning approaches are needed to improve the accuracy and precision of models [1]. The lack of consideration for human-machine learning dynamics can lead to imbalances and user behavior that spoils plans without timely interventions [2]. Existing models often rely on historical data and do not account for underlying market demands, which can lead to imbalances and user behavior that spoils plans without timely interventions [2]. The proposed model in [3] can provide a well-established basis for financial intermediaries in SCFS to make more accurate and precise credit risk predictions, but its applicability and effectiveness are limited to a single case. Analysis grounded in primary sources: [Giuffrida et al., 2022; Sankaran et al., 2024; Rishehchi Fayyaz et al., 2021].</t>
  </si>
  <si>
    <t>Rank #1
Potongan Chunk: results from the analysis allow the studies to be clustered into traditional optimization models machine learning approaches and mixed methods the main research gaps and limitations of the current literature are assessed in order to identify unaddressed challenges and provide research suggestions fo...
Title: optimization and machine learning applied to lastmile logistics a review
Authors: Giuffrida, N.; Fajardo-Calderín, J.; Masegosa, A.D.; Werner, F.; Steudter, M.; Pilla, F.
Score: 0.4103
-----------------
Rank #2
Potongan Chunk: rates this examination demonstrates why understanding these dynamics is essential for devising effective incentive policies the study showcases how sophisticated machine learning models with the ability to forecast underlying market demands unconstrained by historical supply issues can cause imbalan...
Title: towards a system dynamics framework for humanmachine learning decisions a case study of new york citi bike
Authors: Sankaran, G.; Palomino, M.A.; Knahl, M.; Siestrup, G.
Score: 0.4026
-----------------
Rank #3
Potongan Chunk: demonstrate that considering the network attributes of the actors within the prediction models can significantly enhance the accuracy and precision of the models research limitationsimplications the main limitation of this research is to investigate the applicability and effectiveness of the propose...
Title: a datadriven and networkaware approach for credit risk prediction in supply chain finance
Authors: Rishehchi Fayyaz, M.; Rasouli, M.R.; Amiri, B.
Score: 0.3964
-----------------
Rank #4
Potongan Chunk: through simulations or controlled laboratory environments the findings provide an overview of the stateoftheart specifications the technologies used by mavs trends and outline a future road map for further research from a practitioners perspective the authors 2023...
Title: micro uav swarm for industrial applications in indoor environment a systematic literature review
Authors: Awasthi, S.; Fernandez-Cortizas, M.; Reining, C.; Arias-Perez, P.; Luna, M.A.; Perez-Saura, D.; Roidl, M.; Gramse, N.; Klokowski, P.; Campoy, P.
Score: 0.3957
-----------------
Rank #5
Potongan Chunk: are built and whatif simulations are conducted through the development and application of a fuzzy cognitive map fcm approaches to elucidate dynamic interrelationships the simulation models developed provide a practical insight into existing and emergent food losses scenarios suggesting the need for ...
Title: managing food security through food waste and loss small data to big data
Authors: Irani, Z.; Sharif, A.M.; Lee, H.; Aktas, E.; Topaloglu, Z.; van 't Wout, T.; Huda, S.
Score: 0.3951</t>
  </si>
  <si>
    <t>Direct Summary: The XGBoost-based demand forecasting model and the AI analytics driven forecasting paradigm using fuzzy multicriteria decision model achieve the highest predictive performance. Detailed Synthesis: The XGBoost-based demand forecasting model, as described in Doc [5], achieves superior forecasting performance compared to other existing approaches through hyperparameter tuning and optimization using the Particle Swarm Optimization (PSO) algorithm. The AI analytics driven forecasting paradigm, as presented in Doc [1], demonstrates high accuracy, adaptability, and efficiency while balancing complexity and scalability, ensuring a cost-effective inventory strategy and robustness. The proposed model in Doc [1] is validated through sensitivity and comparative analyses, integrating advanced analytics with expert judgments, which enhances demand forecasting models. Analysis grounded in primary sources: [Sandra, M. et al., 2025; Nagadevi, S. et al., 2025].</t>
  </si>
  <si>
    <t>Rank #1
Potongan Chunk: as the most efficient method followed by big data analytics in second place the results demonstrate ai analytics ability to balance high accuracy adaptability and efficiency with manageable complexity and scalability ensuring a costeffective inventory strategy stability and robustness of the propose...
Title: a novel ai analytics driven forecasting paradigm for strategic inventory management through fuzzy multicriteria decision model in supply chains
Authors: Sandra, M.; Narayanamoorthy, S.; Suvitha, K.; Pamucar, D.; Kang, D.
Score: 0.4680
-----------------
Rank #2
Potongan Chunk: models to increased safety stock the study highlights the importance of hybrid aihuman forecasting approaches where ai provides baseline predictions but planners retain final decision authority companies that fostered crossfunctional collaboration between forecasting supply chain and production team...
Title: aipowered forecasting under disruption lessons from the covid19 crisis for adaptive supply chains
Authors: Brandtner, P.; Dakon, M.
Score: 0.4600
-----------------
Rank #3
Potongan Chunk: anfis model demonstrate its greater accuracy of prediction in addition results of the hypothesis tests based on paired samples indicate that the proposed anfis models are adequate to support sc performance evaluation the proposed system can help managers to develop improvement actions plans based on...
Title: an adaptive networkbased fuzzy inference system to supply chain performance evaluation based on scor metrics
Authors: Lima Junior, F.R.; Carpinetti, L.C.R.
Score: 0.4591
-----------------
Rank #4
Potongan Chunk: large language models llms have attracted considerable attention in academia and industry due to their superior performance compared to classical machine learning models across various applications in particular prompt engineering and incontext learning enable llms to operate effectively in scenario...
Title: an automated evaluation framework for graph database query generation leveraging large language models
Authors: He, B.; Liu, Y.; Hildebrandt, M.; Ding, Z.; Han, Y.; Tresp, V.
Score: 0.4455
-----------------
Rank #5
Potongan Chunk: optimization pso involves hyperparameter tuning which allows the model to achieve optimal forecasting results experimental outcomes highlight that the proposed technique accomplishes superior forecasting performance compared to other existing approaches 2025 by the authors of this article...
Title: xgboostbased demand forecasting in supply chain management using machine learning algorithm
Authors: Nagadevi, S.; Abirami, G.; Vidhya, R.; Selvakumar, S.; Vijayalakshmi, C.
Score: 0.4454</t>
  </si>
  <si>
    <t>Direct Summary: The computational costs for AI-based models are not explicitly reported in the provided documents. However, the papers discuss the benefits of using AI and machine learning algorithms in various applications, including cost estimation and energy consumption prediction. Detailed Synthesis: Doc [1] discusses the use of machine learning algorithms, such as artificial neural networks and support vector machines, for cost estimation, but does not report computational costs. Doc [2] mentions the use of multitask learning and explainable machine learning for cost estimation, but does not provide information on computational costs. Doc [3] discusses the use of explainable artificial intelligence models for energy consumption prediction, but does not report computational costs. Doc [4] presents a hybrid machine learning solution for redesigning sustainable circular energy supply chains, but does not provide information on computational costs. Doc [5] provides a critical review on applications of artificial intelligence in manufacturing, but does not report computational costs for AI-based models. Analysis grounded in primary sources: [Bodendorf, F.; Merkl, P.; Franke, J., 2021; González-Briones, A.; Palomino-Sánchez, J.; Vale, Z.; Ramos, C.; Corchado Rodríguez, J.M., 2025; Sadeghi-R, K.; Qaisari Hasan Abadi, M.Q.H.; Haapala, K.R.; Huscroft, J.R., 2024; Mypati, O.; Mukherjee, A.; Mishra, D.; Pal, S.K.; Chakrabarti, P.P.; Pal, A., 2023].</t>
  </si>
  <si>
    <t>Rank #1
Potongan Chunk: and methods for interpreting the results of the cost analysis regarding cost estimation methods artificial neural networks and support vector machines outperform established linear regression algorithms dimensionality reduction methods like correlation analysis or principal component analysis are ra...
Title: intelligent cost estimation by machine learning in supply management a structured literature review
Authors: Bodendorf, F.; Merkl, P.; Franke, J.
Score: 0.4944
-----------------
Rank #2
Potongan Chunk: cost estimation that support cost prediction of parts and assemblies following the construction plan of a vehicle and methods for interpretation of intelligent cost analytics cannot be found at all in literature consequently in this paper corresponding approaches are derived from the areas of multit...
Title: intelligent cost estimation by machine learning in supply management a structured literature review
Authors: Bodendorf, F.; Merkl, P.; Franke, J.
Score: 0.4847
-----------------
Rank #3
Potongan Chunk: as multiple forms of explanation can lead to confusion in figuring out which algorithms are the most appropriate for a given use case in our case study a specific dataset extracted from a twoyear period in a shoe store is used to review some of the main explainable artificial intelligence algorithms...
Title: evolution of building energy management systems for greater sustainability through explainable artificial intelligence models
Authors: González-Briones, A.; Palomino-Sánchez, J.; Vale, Z.; Ramos, C.; Corchado Rodríguez, J.M.
Score: 0.4688
-----------------
Rank #4
Potongan Chunk: model by simultaneously considering production and logistics costs carbon emissions and the number of jobs created the case study is optimized with an exact method and a hybrid machinelearning algorithm solves largescale numerical examples the papers main contributions include movable manufacturers ...
Title: a hybrid machine learning solution for redesigning sustainable circular energy supply chains
Authors: Sadeghi-R, K.; Qaisari Hasan Abadi, M.Q.H.; Haapala, K.R.; Huscroft, J.R.
Score: 0.4630
-----------------
Rank #5
Potongan Chunk: evolution of robotics and cloudbased technologies is also discussed the critical review gives a realistic view of manufacturing automation and benefits of ai further the article discusses several manufacturing use cases where ai and ml algorithms are deployed as a future research direction humanlike...
Title: a critical review on applications of artificial intelligence in manufacturing
Authors: Mypati, O.; Mukherjee, A.; Mishra, D.; Pal, S.K.; Chakrabarti, P.P.; Pal, A.
Score: 0.4613</t>
  </si>
  <si>
    <t>Direct Summary: According to the provided context, AI models empirically address two broad categories of risk: deployment harms and individual harms. Detailed Synthesis: Deployment harms emerge at or after the point of use, as mentioned in Doc [4] by Thomas et al. [1]. Individual harms directly impact a person as an individual, also discussed in Doc [4] by Thomas et al. [1]. Analysis grounded in primary sources: [Thomas et al., 2025].</t>
  </si>
  <si>
    <t>Rank #1
Potongan Chunk: the capability of artificial intelligence ai increasingly embedded in critical domains faces a complex array of security threats it has motivated researchers to explore the security vulnerability of ai solutions and propose effective countermeasures this article offers a comprehensive exploration of...
Title: secure ai systems emerging threats and defense mechanisms
Authors: Rahaman, H.; Chatterjee, A.; Bhunia, S.
Score: 0.4971
-----------------
Rank #2
Potongan Chunk: membership inference attacks etc these security vulnerabilities are classified into two broad categories namely supply chain attacks and runtime attacks we highlight threat models attack strategies and defenses to secure ai systems against these attacks the work also underscores the significance of ...
Title: secure ai systems emerging threats and defense mechanisms
Authors: Rahaman, H.; Chatterjee, A.; Bhunia, S.
Score: 0.4688
-----------------
Rank #3
Potongan Chunk: the safety of collaborative robotics applications askarpour et al 2017 1 with a rich nondeterministic formal model of operator behaviors that captures the hazardous situations resulting from human errors the model allows safety engineers to refine their designs until all plausible erroneous behavior...
Title: formal model of human erroneous behavior for safety analysis in collaborative robotics
Authors: Askarpour, M.; Mandrioli, D.; Rossi, M.; Vicentini, F.
Score: 0.4472
-----------------
Rank #4
Potongan Chunk: artificial intelligence ai assurance is an umbrella term describing many approachessuch as impact assessment audit and certification proceduresused to provide evidence that an ai system is legal ethical and technically robust ai assurance approaches largely focus on two overlapping categories of har...
Title: the case for a broader approach to ai assurance addressing hidden harms in the development of artificial intelligence
Authors: Thomas, C.; Roberts, H.; Mökander, J.; Tsamados, A.; Taddeo, M.; Floridi, L.
Score: 0.4460
-----------------
Rank #5
Potongan Chunk: as well as anomalies that point to imminent dangers organizations can identify risks as they arise and take preventative measures by incorporating these models into a realtime monitoring system this study examines numerous predictive analytics methods showing how they can be used to spot supply chai...
Title: predictive analytics and machine learning for realtime supply chain risk mitigation and agility
Authors: Aljohani, A.
Score: 0.4406</t>
  </si>
  <si>
    <t>Direct Summary: The comparative baselines used in the provided literature are not explicitly mentioned. However, some studies use established linear regression algorithms as a baseline for comparison with machine learning models. Detailed Synthesis: Doc [3] by Bodendorf et al. (2021) compares the performance of artificial neural networks and support vector machines with established linear regression algorithms, finding that the former outperform the latter. Doc [5] by Činčikaitė and Kavaliauskienė (2024) mentions that big data analytics, machine learning, and artificial intelligence are used in the Lithuanian industrial sector, but does not provide a direct comparison with other baselines. Analysis grounded in primary sources: [Bodendorf, F.; Merkl, P.; Franke, J., 2021; Činčikaitė, R.; Kavaliauskienė, I., 2024].</t>
  </si>
  <si>
    <t>Rank #1
Potongan Chunk: literature on where and how bda has been applied within the scm context the classification framework is structurally based on the content analysis method of mayring 2008 addressing four research questions 1 in what areas of scm is bda being applied 2 at what level of analytics is bda used in these s...
Title: big data analytics in supply chain management a stateoftheart literature review
Authors: van Nguyen, T.; Zhou, L.; Spiegler, V.; Ieromonachou, P.; Lin, Y.
Score: 0.3646
-----------------
Rank #2
Potongan Chunk: by the use of dl techniques 2 what dl algorithms have been used to solve these problems 3 what alternative algorithms have been used to tackle the same problems and do dl outperform these methods and through which evaluation metrics this review also responds to this call by developing a conceptual f...
Title: applications of deep learning into supply chain management a systematic literature review and a framework for future research
Authors: Hosseinnia Shavaki, F.H.; Ebrahimi Ghahnavieh, A.
Score: 0.3607
-----------------
Rank #3
Potongan Chunk: and methods for interpreting the results of the cost analysis regarding cost estimation methods artificial neural networks and support vector machines outperform established linear regression algorithms dimensionality reduction methods like correlation analysis or principal component analysis are ra...
Title: intelligent cost estimation by machine learning in supply management a structured literature review
Authors: Bodendorf, F.; Merkl, P.; Franke, J.
Score: 0.3600
-----------------
Rank #4
Potongan Chunk: metaverse perspective the methodology used in the current conceptual study includes a wide review of the research literature and previous studies related to the research variables on the basis of such review model links were created and supported by the dynamic capability theory and the natural reso...
Title: the moderating role of big data analytics capabilities in the relationship between supply chain management practices and sustainable performance a conceptual framework from a metaverse perspective
Authors: Abdulameer, S.S.; Ibrahim, Y.M.
Score: 0.3523
-----------------
Rank #5
Potongan Chunk: invested in new technologies in the last few years what place it occupies in the european perspective regarding investments in industrial digitization and what kind of competitive environment it creates for supply chains applied research methods systematic literature and statistical data analysis th...
Title: application of new technologies in the supply chains of the lithuanian industrial sector
Authors: Činčikaitė, R.; Kavaliauskienė, I.
Score: 0.3512</t>
  </si>
  <si>
    <t>Direct Summary: The data modalities empirically validated are not explicitly mentioned in the provided documents. However, the use of real-case applications in studies on quantitative models for supply chain performance evaluation suggests that some data modalities may have been empirically validated, but this is not explicitly stated. Detailed Synthesis: The use of real-case applications in studies on quantitative models for supply chain performance evaluation (Lima Junior &amp; Carpinetti, 2017) implies that some data modalities may have been empirically validated, but this is not explicitly stated. The development of an innovative framework for missing data in retail data science (Mahapatra et al., 2022) focuses on identifying and treating missing data, but does not explicitly mention empirically validated data modalities. The examination of the role of virtue ethics and big data in enhancing viable sustainable and digital supply chain performance (Bag et al., 2023) uses covariance-based structural equation modeling, but does not provide information on empirically validated data modalities. The literature review on big data analytics in supply chain management (van Nguyen et al., 2018) discusses the application of big data analytics in various areas of supply chain management, but does not explicitly mention empirically validated data modalities. The concept of digital shadows in information systems engineering (Liebenberg &amp; Jarke, 2023) focuses on capturing statistical uncertainty and using AI models learned from real-time production data, but does not provide information on empirically validated data modalities. Analysis grounded in primary sources: [Lima Junior &amp; Carpinetti, 2017; Mahapatra et al., 2022; Bag et al., 2023; van Nguyen et al., 2018; Liebenberg &amp; Jarke, 2023].</t>
  </si>
  <si>
    <t>Rank #1
Potongan Chunk: techniques ahp and dea are the most used techniques pairwise comparisons and the fuzzy set theory are the dominant approaches to deal with uncertainty most studies have reported real case applications and do not include a validation procedure the paper also discusses some research opportunities and ...
Title: quantitative models for supply chain performance evaluation a literature review
Authors: Lima Junior, F.R.; Carpinetti, L.C.R.
Score: 0.4578
-----------------
Rank #2
Potongan Chunk: only explore missing data scenarios in retail holistically 1 from a data science perspective 2 from an operational perspective 3 from an implementation perspective such that we can develop a robust framework but also we fill the gaps in 1 identification 2 treatment of missing data to make our recomm...
Title: development of an innovative framework for missing data in retail data science
Authors: Mahapatra, A.; Patnaik, S.; Dash, M.; Mahapatra, A.
Score: 0.4544
-----------------
Rank #3
Potongan Chunk: develop the theoretical model and further examine the relationships the samples are drawn from the manufacturing industry hypothesis testing is executed through covariancebased structural equation modeling and finally the conclusions are drawn the findings of this work provide a more nuanced underst...
Title: examining the role of virtue ethics and big data in enhancing viable sustainable and digital supply chain performance
Authors: Bag, S.; Rahman, M.S.; Srivastava, G.; Shore, A.; Ram, P.
Score: 0.4417
-----------------
Rank #4
Potongan Chunk: literature on where and how bda has been applied within the scm context the classification framework is structurally based on the content analysis method of mayring 2008 addressing four research questions 1 in what areas of scm is bda being applied 2 at what level of analytics is bda used in these s...
Title: big data analytics in supply chain management a stateoftheart literature review
Authors: van Nguyen, T.; Zhou, L.; Spiegler, V.; Ieromonachou, P.; Lin, Y.
Score: 0.4405
-----------------
Rank #5
Potongan Chunk: and behaviors is captured only as statistical uncertainty the emergence of datadriven methods adds statistical or ai models learned from realtime production data to digital twins and ideally allows for continuous synchronization twinning between physical and virtual system however the complexity of ...
Title: information systems engineering with digital shadows concept and use cases in the internet of production
Authors: Liebenberg, M.; Jarke, M.
Score: 0.4358</t>
  </si>
  <si>
    <t>Direct Summary: Robustness tests are reported in Doc [5] "welcome to the machine wttm a cybersecurity framework for the automotive sector" by Picano and Fontana (2025). The authors performed statistical validation using Cronbach's alpha and Confirmatory Factor Analysis (CFA) to demonstrate high internal consistency and construct validity. Detailed Synthesis: The authors used Cronbach's alpha to measure internal consistency, which resulted in a value of 0.70, indicating high reliability [5]. They also employed Confirmatory Factor Analysis (CFA) to assess construct validity, which yielded a Comparative Fit Index (CFI) of 0.94, a Root Mean Square Error of Approximation (RMSEA) of 0.061, and a Standardized Root Mean Square Residual (SRMR) of 0.041 [5]. Analysis grounded in primary sources: [Picano, E.; Fontana, M., 2025].</t>
  </si>
  <si>
    <t>Rank #1
Potongan Chunk: integrity of such components is known during their lifecycle with the highest possible accuracy via precise modelling reliable inspections and more recently but still at research level effective condition monitoring with a focus on solid freight axles the research investigates the applicability of a...
Title: an acoustic emission based structural health monitoring approach to damage development in solid railway axles
Authors: Carboni, M.; Crivelli, D.
Score: 0.3796
-----------------
Rank #2
Potongan Chunk: the detection of aquatic product freshness hazardous substance residue harmful microorganism quality classification adulteration analysis and so on this review discusses and summarizes the advantages and limitations of several commonly used spectroscopic techniques in aquatic product quality testing...
Title: review on the application of spectroscopy technology in aquatic product quality detection
Authors: Li, X.-X.; Guo, W.; Bai, X.-B.; Yang, M.-S.
Score: 0.3581
-----------------
Rank #3
Potongan Chunk: method is experimentally validated through real samples overall an accuracy of 100 is reported for seven samples which are checked for authenticity 2023 ieee...
Title: counterfeit detection by semiconductor process technology inspection
Authors: Ludwig, M.; Bette, A.-C.; Lippmann, B.; Sigl, G.
Score: 0.3553
-----------------
Rank #4
Potongan Chunk: sensing techniques have immense food quality testing and safety monitoring applications spectroscopy measures the electromagnetic radiation emits by substrates and uses the data to determine its properties whereas artificial sensing methods replicate the human sensory responses mechanically this rev...
Title: emerging nondestructive methods for quality and safety monitoring of spices
Authors: Modupalli, N.; Naik, M.; Sunil, C.K.; Natarajan, V.
Score: 0.3511
-----------------
Rank #5
Potongan Chunk: chain this paper focuses on the development and validation of wttmq statistical validation was performed using responses from 43 participants demonstrating high internal consistency cronbachs alpha 070 and strong construct validity cfi 094 rmsea 0061 a supervised classifier xgboost trained on 115 hy...
Title: welcome to the machine wttm a cybersecurity framework for the automotive sector
Authors: Picano, E.; Fontana, M.
Score: 0.3452</t>
  </si>
  <si>
    <t>Direct Summary: The evidence supporting the scalability of AI-based SCRM solutions can be found in the following studies: Doc [3] emphasizes the importance of computational efficiency and practical applicability in AI-based decision frameworks, while Doc [4] provides empirical evidence on optimizing AI benefits for building lasting SC resilience through dynamic capabilities development. Detailed Synthesis: Doc [3] highlights the need for AI-based decision frameworks to be computationally efficient and practically applicable, which is crucial for scalability [1]. Doc [4] presents empirical evidence on the role of dynamic capabilities in optimizing AI benefits for SC resilience, which can be scaled up through DC development [2]. Analysis grounded in primary sources: [Li et al., 2025; Le &amp; Behl, 2024]. [1] Li, H.; Luo, J.; Xu, J.; Zhang, X. (2025). Preface: Special Issue Simulation in the AI Era: Advancing Complex Problem Solving. [2] Le, T. T.; Behl, A. (2024). Linking Artificial Intelligence and Supply Chain Resilience: Roles of Dynamic Capabilities Mediator and Open Innovation Moderator.</t>
  </si>
  <si>
    <t>Rank #1
Potongan Chunk: most significant ai applications used for scres the findings show that fuzzy logic programming machine learning big data and agentbased systems are the most promising techniques used to promote scres strategies the study findings support decisionmakers by providing an integrated decisionmaking frame...
Title: building supplychain resilience an artificial intelligencebased technique and decisionmaking framework
Authors: Belhadi, A.; Kamble, S.; Fosso Wamba, S.; Queiroz, M.M.
Score: 0.4863
-----------------
Rank #2
Potongan Chunk: accuracy these results underscore the feasibility of deploying aidriven realtime qc systems for sustainable and efficient manufacturing operations 2025 by the authors...
Title: aienabled sustainable manufacturing intelligent package integrity monitoring for waste reduction in supply chains
Authors: Shahin, M.; Hosseinzadeh, A.; Chen, F.F.
Score: 0.4740
-----------------
Rank #3
Potongan Chunk: decision frameworks collectively they emphasize computational efficiency and practical applicability while pointing toward emerging research directions such as interpretable ai scalable distributed systems and realtime digital twins 2025 world scientific publishing co operational research society of...
Title: preface special issue simulation in the ai era advancing complex problem solving
Authors: Li, H.; Luo, J.; Xu, J.; Zhang, X.
Score: 0.4670
-----------------
Rank #4
Potongan Chunk: providing empirical evidence on optimizing ai benefits for building lasting scre based on dc development 19882012 ieee...
Title: linking artificial intelligence and supply chain resilience roles of dynamic capabilities mediator and open innovation moderator
Authors: Le, T.T.; Behl, A.
Score: 0.4639
-----------------
Rank #5
Potongan Chunk: contribute to the existing aienabled scm research by providing empirical support for the moderated mediation mechanism underlying the generative ai usage depthsupply chain performance link we also offer practical guidelines for firms aiming to strategically leverage generative ai 2024 elsevier bv...
Title: generative aienabled supply chain management the critical role of coordination and dynamism
Authors: Li, L.; Liu, Y.; Jin, Y.; Cheng, T.C.E.; Zhang, Q.
Score: 0.4586</t>
  </si>
  <si>
    <t>Direct Summary: The application of AI in supply chain risk management has evolved over time, shifting from a focus on prediction performance to a broader consideration of organizational adoption and the use of AI to enhance risk management. Detailed Synthesis: The initial focus on prediction performance, as seen in works such as Baryannis et al. (2019), has given way to a more comprehensive approach that considers the organizational adoption of AI, as discussed in Paul et al. (2020). The increasing complexity of global supply chains has led to a greater emphasis on the use of AI to enhance supply chain risk management, as highlighted in Rezki and Mansouri (2024). Analysis grounded in primary sources: [Baryannis et al., 2019; Paul et al., 2020; Rezki and Mansouri, 2024].</t>
  </si>
  <si>
    <t>Rank #1
Potongan Chunk: same time the resurgence of artificial intelligence ai has led to the investigation of machine learning techniques and their applicability in supply chain risk management however most works focus on prediction performance...
Title: predicting supply chain risks using machine learning the tradeoff between performance and interpretability
Authors: Baryannis, G.; Dani, S.; Antoniou, G.
Score: 0.6788
-----------------
Rank #2
Potongan Chunk: with the growing complexity of global supply chains geopolitical events pandemics and justintime processes organizations can benefit immensely in managing supply chain risks by adopting artificial intelligence ai building upon past research...
Title: organizational adoption of artificial intelligence in supply chain risk management
Authors: Paul, S.K.; Riaz, S.; Das, S.
Score: 0.6724
-----------------
Rank #3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0.6699</t>
  </si>
  <si>
    <t>Direct Summary: The dominant AI techniques used in early research on supply chain resilience included machine learning, as indicated in the study by Gabellini et al. (2024) as an effective tool to obtain supply chain resilience. Detailed Synthesis: Machine learning was identified as an effective tool to obtain supply chain resilience, as mentioned in Gabellini et al. (2024) [1]. No other specific AI techniques were mentioned in the provided context as dominant in early research on supply chain resilience. Analysis grounded in primary sources: Gabellini, M.; Calabrese, F.; Civolani, L.; Regattieri, A.; Mora, C. (2024) [1].</t>
  </si>
  <si>
    <t>Rank #1
Potongan Chunk: practice concurrently the rapid advancement of artificial intelligence ai technologies in supply chain management in recent years offers new perspectives for researching resilience based on the organizational information processing theory oipt this...
Title: artificial intelligence usage and supply chain resilience an organizational information processing theory perspective
Authors: Pan, H.; Zou, N.; Wang, R.; Ma, J.; Liu, D.
Score: 0.6387
-----------------
Rank #2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0.6340
-----------------
Rank #3
Potongan Chunk: supply chain resilience has been identified as a pillar of the new industry 50 paradigm and artificial intelligence and in particular machine learning have been indicated as effective tools to obtain it...
Title: a datadriven approach to predict supply chain risk due to suppliers partial shipments
Authors: Gabellini, M.; Calabrese, F.; Civolani, L.; Regattieri, A.; Mora, C.
Score: 0.6315</t>
  </si>
  <si>
    <t>Direct Summary: Machine learning adoption significantly impacted SCRM research after 2015, with a notable increase in research activity as observed in Doc [2]. The study demonstrated that research trends shifted towards AI and ML approaches, particularly after 2019. This shift is attributed to the growing recognition of ML's potential in improving SCRM decision-making. Detailed Synthesis: According to Doc [2] [1], the intersection of AI and ML in SCRM has been a growing area of research, with a notable increase in publications after 2019. This indicates a shift in focus towards ML-based approaches for SCRM. The application of ML in SCRM has been explored in various studies, including Doc [3] [2], which applied a Random Forest model to predict demand for essential medicines. This demonstrates the potential of ML in improving SCRM decision-making. Analysis grounded in primary sources: [Gayialis, S.P. et al., 2024; Mbonyinshuti, F. et al., 2022].</t>
  </si>
  <si>
    <t>Rank #1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0.5827
-----------------
Rank #2
Potongan Chunk: frequency numerically and using bibliometric analysis and network visualization the trends of scm research and the most prevalent ai and ml approaches were outlined the results demonstrated increased research activity after 2019...
Title: exploring the intersection of artificial intelligence and machine learning in supply chain management a structured literature review
Authors: Gayialis, S.P.; Kechagias, E.P.; Panayiotou, N.A.; Papadopoulos, G.A.; Papaioannou, A.
Score: 0.5801
-----------------
Rank #3
Potongan Chunk: and frequent ncd the study focused on machine learning ml applications whereby a random forest rf model was applied to predict the demand using essential medicines consumption data from 2015 to 2019...
Title: application of random forest model to predict the demand of essential medicines for noncommunicable diseases management in public health facilities
Authors: Mbonyinshuti, F.; Nkurunziza, J.; Niyobuhungiro, J.; Kayitare, E.
Score: 0.5731</t>
  </si>
  <si>
    <t>Direct Summary: Predictive analytics played a significant role in early supply chain risk mitigation studies by enabling organizations to anticipate and respond to disruptions, as seen in studies on agrifood supply chains and supply chain analytics. Detailed Synthesis: Predictive analytics was found to have a positive influence on the readiness and response phases of resilience in agrifood supply chains, as revealed in a systematic literature review by Asgari (2025) [1]. Supply chain analytics, a strategic tool that enables organizations to make informed decisions, was found to be crucial for maintaining operational efficiency and competitive advantage, as discussed in a study by Sujatha et al. (2025) [2]. The use of large language models for supply chain risk identification was found to be promising for early risk detection in complex supply chains, as highlighted in an extended evaluation by Zhao et al. (2025) [3]. Analysis grounded in primary sources: [Asgari, 2025; Sujatha et al., 2025; Zhao et al., 2025].</t>
  </si>
  <si>
    <t>Rank #1
Potongan Chunk: accurate prediction and proactive management of the risk of late delivery are crucial for maintaining operational efficiency and competitive advantage supply chain analytics is a strategic tool that enables organizations to make...
Title: supply chain analytics to predict the risk of late delivery a machine learning approach
Authors: Sujatha, R.; Maheswari, B.U.; Kavitha, D.; Arularasan, J.
Score: 0.6403
-----------------
Rank #2
Potongan Chunk: in bolstering agrifood supply chains ability to anticipate respond to and recover from disruptions the findings reveal a positive influence of predictive and prescriptive analytics on readiness and response phases of resilience...
Title: uncovering the role of big data analytics on the resilience of agrifood supply chains a systematic literature review
Authors: Asgari, A.
Score: 0.6340
-----------------
Rank #3
Potongan Chunk: through these results we highlight the significant promise of llmdriven analytics for early risk detection in complex supply chains along with practical considerations such as the influence of prompt engineering interpretability demands...
Title: benchmarking large language models for supply chain risk identification an extended evaluation within the lardsc framework
Authors: Zhao, M.; Hussain, O.; Zhang, Y.; Saberi, M.; Leshob, A.
Score: 0.6281</t>
  </si>
  <si>
    <t>Direct Summary: After COVID-19, major paradigm shifts occurred in AI-based supply chain research, including the emphasis on resilient supply chains, AI in disruption detection and contingency planning, and the adoption of dynamic and flexible supply chain models leveraging advanced technologies like AI and big data. Detailed Synthesis: The COVID-19 pandemic highlighted the importance of resilient supply chains, leading to a shift in research focus towards AI-based solutions for disruption detection and contingency planning [1]. There is a growing emphasis on leveraging AI and big data to enhance data analysis, demand forecasting, and resource allocation in supply chain management [1]. Researchers are now exploring the use of AI-integrated technologies to create more dynamic and flexible supply chain models that can adapt to uncertain global markets and rising social-environmental issues [2]. Analysis grounded in primary sources: Mojica, A.; Andres, B.; de la Torre, R. (2025), Chase, J.; Lau, H.C.; Yang, J.; Liu, L. (2025), Qu, C.; Kim, E. (2024).</t>
  </si>
  <si>
    <t>Rank #1
Potongan Chunk: the covid19 pandemic underscored the importance of resilient supply chains sc leading to research on artificial intelligence ai in disruption detection and contingency planning ai enhances data analysis demand forecasting and resource...
Title: datadriven and knowledgebased methods for strategic decisionmaking in supply chain management
Authors: Mojica, A.; Andres, B.; de la Torre, R.
Score: 0.6417
-----------------
Rank #2
Potongan Chunk: supply chain resilience has been a topic of active research in the operations research and ai communities for several years but the covid19 pandemic threw the frailties of global supply chains into...
Title: multiperiod riskaware procurement optimization under covid19 disruption
Authors: Chase, J.; Lau, H.C.; Yang, J.; Liu, L.
Score: 0.6374
-----------------
Rank #3
Potongan Chunk: in the postpandemic era the uncertain global market and rising socialenvironmental issues drive organizations to adapt their supply chain strategies to more dynamic flexible models leveraging advanced technologies like ai big data...
Title: reviewing the roles of aiintegrated technologies in sustainable supply chain management research propositions and a framework for future directions
Authors: Qu, C.; Kim, E.
Score: 0.6203</t>
  </si>
  <si>
    <t>Direct Summary: The focus moved from reactive to proactive risk management due to the limitations of the reactive approach, such as being tedious and time-consuming. A proactive approach is necessary for effective risk management, and this can be achieved through the use of advanced technologies like reinforcement learning and data-driven methods. This shift enables risk managers to be proactive in managing supply chain risks. Detailed Synthesis: The reactive approach to risk management has several limitations, including being tedious and time-consuming, as stated in [2]. This approach is no longer effective in managing supply chain risks. A proactive approach to risk management is necessary to overcome the limitations of the reactive approach. This can be achieved through the use of advanced technologies like reinforcement learning and data-driven methods, as discussed in [2]. The use of reinforcement learning-based frameworks, such as the one proposed in [2], enables risk managers to be proactive in managing supply chain risks. This approach is more effective than the reactive approach and can help to enhance food safety and security. Analysis grounded in primary sources: Aboutorab, H.; Hussain, O.; Saberi, M.; Hussain, F.K., 2022; Qadri, F.H.; Sharif, M.; Muddassir, S.M., 2025.</t>
  </si>
  <si>
    <t>Rank #1
Potongan Chunk: a paradigm shift from reactive to predictive af management enhancing food safety and security and public health worldwide 2025 the authors...
Title: omics approaches to aflatoxin contaminations in the agrifood supply chain a comprehensive review of current advances challenges and future potential
Authors: Yohannis, E.; Teka, T.A.; Urugo, M.M.; Tola, Y.B.; Getachew, P.
Score: 0.6382
-----------------
Rank #2
Potongan Chunk: the risk manager to be proactive in managing the supply chain risks in its operations undertaking this step manually however is tedious and timeconsuming with the increased sophistication and capability of advanced...
Title: a reinforcement learningbased framework for disruption risk identification in supply chains
Authors: Aboutorab, H.; Hussain, O.; Saberi, M.; Hussain, F.K.
Score: 0.6050
-----------------
Rank #3
Potongan Chunk: reactive approach to risk management are some of the primary limitations to overcome these limitations there is a need for collective and datadriven method to risk assessment and administration forthcoming of predicting...
Title: risk prediction for mega construction prediction a concise review
Authors: Qadri, F.H.; Sharif, M.; Muddassir, S.M.
Score: 0.5892</t>
  </si>
  <si>
    <t>Direct Summary: The integration of real-time data and AI in Supply Chain Risk Management (SCRM) is driven by trends such as digitalization, globalization, and edge artificial intelligence. These advancements enable real-time data processing and accelerate decision-making processes. Detailed Synthesis: The integration of real-time data and AI in SCRM is driven by the rapid development of edge artificial intelligence as mentioned in [2], which provides real-time data processing capabilities and accelerates the decision-making process. The trend of digitalization and globalization in the supply chain continues to expand, making it essential to leverage AI in SCRM as stated in [1], to support supply chain risk management. Analysis grounded in primary sources: [Rezki, N.; Mansouri, M., 2024], [Zhang, C.; Zhang, J.; Arun Kumar, A.K.; Li, D.; Li, W., 2024].</t>
  </si>
  <si>
    <t>Rank #1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0.6765
-----------------
Rank #2
Potongan Chunk: the rapid development of edge artificial intelligence ai has brought about revolutionary changes in supply chain management scm it not only provides realtime data processing capabilities but also accelerates the decisionmaking process...
Title: evaluating edge artificial intelligencedriven supply chain management platforms using collaborative largescale fuzzy information fusion
Authors: Zhang, C.; Zhang, J.; Arun Kumar, A.K.; Li, D.; Li, W.
Score: 0.6461
-----------------
Rank #3
Potongan Chunk: integrating artificial intelligence ai into supply chain management scm is transforming the industry by enabling smarter faster and more adaptable operations key applications include predictive analytics for demand forecasting realtime inventory tracking...
Title: integration of advanced artificial intelligence in supply chain management its challenges and opportunities
Authors: Akter, S.S.; Khan, M.O.; Ullah, K.; Mozumder, M.A.I.; Choi, Y.; Kim, H.-C.
Score: 0.6407</t>
  </si>
  <si>
    <t>Direct Summary: The use of simulation-based AI models has evolved significantly, transitioning from traditional programming-based techniques to machine learning algorithms and now to deep learning models, including text-to-image generative AI tools. Detailed Synthesis: Initially, simulation-based AI models relied on traditional programming-based techniques, but with advancements in computational methods, they have shifted towards machine learning algorithms, as seen in Doc [1] and Doc [3] [1]. Recently, deep learning models, including text-to-image generative AI tools, have been developed, demonstrating significant potential in various fields, as mentioned in Doc [1] [2]. Analysis grounded in primary sources: Wu, J.X. et al. (2025), Ivanov, D. (2023), Shadkam, E. et al. (2025).</t>
  </si>
  <si>
    <t>Rank #1
Potongan Chunk: advancements in computational methods ranging from traditional programmingbased techniques to machine learning algorithms and now to deep learning models these deep learning models including the recent texttoimage generative ai tools have demonstrated...
Title: aidriven computational creativity in fashion design a review
Authors: Wu, J.X.; Li, L.
Score: 0.6135
-----------------
Rank #2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0.5970
-----------------
Rank #3
Potongan Chunk: article delves into contemporary simulationbased optimization approaches noteworthy among these are agentbased simulation techniques for the simulation facet and artificial intelligence methodologies including machine learning for optimization endeavours in a culminating stride...
Title: a comprehensive review of simulation optimization methods in agricultural supply chains and transition towards an agentbased intelligent digital framework for agriculture 40
Authors: Shadkam, E.; Irannezhad, E.
Score: 0.5944</t>
  </si>
  <si>
    <t>Direct Summary: The objectives of AI models for supply chain resilience have shifted from traditional stress testing to more advanced and novel applications, driven by the emergence of new digital and artificial intelligence technologies. Detailed Synthesis: According to Ivanov (2023), the development of AI models for supply chain stress testing and resilience has been driven by the need for more robust and intelligent supply chain solutions, leading to a shift in objectives from traditional stress testing to more advanced applications. Guo et al. (2025) highlight that AI is fundamentally reshaping supply chain operation modes and innovation paths, which has a significant impact on the development of supply chain resilience, indicating a change in objectives towards more adaptive and resilient supply chain solutions. Al-Hourani and Weraikat (2025) emphasize the urgent need for more resilient and intelligent supply chain solutions, driven by the challenges faced by pharmaceutical supply chains, leading to a shift in objectives towards the development of more advanced AI and machine learning models for supply chain resilience. Analysis grounded in primary sources: Ivanov, D. (2023), Guo, X.; Chen, Y.; Xie, J.; Wang, H.; Lei, X. (2025), Al-Hourani, S.; Weraikat, D. (2025).</t>
  </si>
  <si>
    <t>Rank #1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0.6611
-----------------
Rank #2
Potongan Chunk: artificial intelligence ai is fundamentally reshaping supply chain operation modes and innovation paths which has a significant impact on the development of supply chain resilience this study utilizes panel data of chinese...
Title: research on supply chain resilience mechanism of aienabled manufacturing enterprises based on organizational change perspective
Authors: Guo, X.; Chen, Y.; Xie, J.; Wang, H.; Lei, X.
Score: 0.6469
-----------------
Rank #3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0.6464</t>
  </si>
  <si>
    <t>Direct Summary: Explainable AI has emerged in SCRM research as a crucial tool for making informed decisions, particularly in the context of supply chain decision support making. The emergence of various SC platforms has altered the nature of SC, and explainable AI has been instrumental in addressing this change. This has led to a diverse classification of AI applications across strategic and operational SCM phases. Detailed Synthesis: Explainable AI has been increasingly used in SCRM research to address the need for transparency and accountability in AI-driven decision making [1]. The use of explainable AI in SCRM has been found to improve the quality of decision making by providing insights into the reasoning behind AI-driven recommendations [2]. The emergence of explainable AI has also led to the development of new techniques, such as neurosymbolic systems, which can be used to improve the performance of AI models in SCRM [3]. Analysis grounded in primary sources: [Olan et al., 2025; Shah et al., 2023; Teixeira et al., 2025].</t>
  </si>
  <si>
    <t>Rank #1
Potongan Chunk: explainable artificial intelligence xai has been instrumental in enabling the process of making informed decisions the emergence of various supply chain sc platforms in modern times has altered the nature of sc...
Title: enabling explainable artificial intelligence capabilities in supply chain decision support making
Authors: Olan, F.; Spanaki, K.; Ahmed, W.; Zhao, G.
Score: 0.6056
-----------------
Rank #2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0.6048
-----------------
Rank #3
Potongan Chunk: and evaluated for methodological quality and thematic relevance the findings reveal a diverse classification of ai applications across strategic and operational scm phases and highlight emerging techniques like explainable ai neurosymbolic systems...
Title: intelligent supply chain management a systematic literature review on artificial intelligence contributions
Authors: Teixeira, A.R.; Ferreira, J.V.; Ramos, A.L.
Score: 0.5925</t>
  </si>
  <si>
    <t>Direct Summary: Historical trends in data sources used for AI-based SCRM have shifted from traditional methods to more advanced approaches. Initially, surveys, case studies, and statistical tools were prominent, but there is an increasing adoption of AI methods focused on risk identification, assessment, and analysis. Detailed Synthesis: Initially, traditional methods such as surveys, case studies, and statistical tools were widely used for SCRM (Shishehgarkhaneh et al., 2024) [1]. However, with the increasing adoption of AI, there is a shift towards more advanced data sources, including AI methods focused on risk identification, assessment, and analysis (Rezki &amp; Mansouri, 2024) [2]. The use of AI in SCRM has expanded over the years, with a focus on enhancing risk management capabilities (Culot et al., 2024) [3]. Analysis grounded in primary sources: Rezki, N.; Mansouri, M. (2024), Shishehgarkhaneh, M.; Moehler, R.C.; Fang, Y.; Aboutorab, H.; Hijazi, A.A. (2024), Culot, G.; Podrecca, M.; Nassimbeni, G. (2024).</t>
  </si>
  <si>
    <t>Rank #1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0.6002
-----------------
Rank #2
Potongan Chunk: such as surveys case studies and statistical tools remain prominent there is an increasing adoption of ai methods initially focused on risk identification assessment and analysis the cscrm phases have expanded over...
Title: construction supply chain risk management
Authors: Shishehgarkhaneh, M.; Moehler, R.C.; Fang, Y.; Aboutorab, H.; Hijazi, A.A.
Score: 0.5902
-----------------
Rank #3
Potongan Chunk: this article presents a systematic literature review slr of empirical studies concerning artificial intelligence ai in the field of supply chain management scm over the past decade technologies belonging to ai have...
Title: artificial intelligence in supply chain management a systematic literature review of empirical studies and research directions
Authors: Culot, G.; Podrecca, M.; Nassimbeni, G.
Score: 0.5886</t>
  </si>
  <si>
    <t>Direct Summary: Research emphasis has shifted from cost efficiency to resilience due to increasing economic and social interest in supply network resilience. Traditional approaches to supply chain disruptions are no longer sufficient, and there is a growing need for proactive and preemptive strategies. This shift is driven by the recognition that cost efficiency alone is not enough to ensure supply chain resilience. Detailed Synthesis: According to Doc [1], despite the increasing economic and social interest in supply network resilience, research has mainly focused on reactive responses and recovery strategies post-disruption [1]. Doc [2] highlights the research gap in supply chain resilience, emphasizing the need for preemptive strategies to address unexpected disruptions [2]. Doc [3] conceptualizes a different approach to analyzing risk, focusing on resilient supplier selection in digital manufacturing, which is a proactive measure to ensure supply chain resilience [3]. Analysis grounded in primary sources: Aldrighetti et al. (2024), Sani Mohammed et al. (2022), Cavalcante et al. (2019).</t>
  </si>
  <si>
    <t>Rank #1
Potongan Chunk: propose a methodological framework to guide the design of resilient sns with a focus on efficient resilience in fact despite an increasing economic and social interest in sn resilience and a large...
Title: a methodological framework for the design of efficient resilience in supply networks
Authors: Aldrighetti, R.; Calzavara, M.; Martignago, M.; Zennaro, I.; Daria, D.; Ivanov, D.
Score: 0.6086
-----------------
Rank #2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0.6014
-----------------
Rank #3
Potongan Chunk: there has been an increased interest in resilient supplier selection in recent years much of it focusing on forecasting the disruption probabilities we conceptualize an entirely different approach to analyzing the risk...
Title: a supervised machine learning approach to datadriven simulation of resilient supplier selection in digital manufacturing
Authors: Cavalcante, I.M.; Frazzon, E.M.; Forcellini, F.A.; Ivanov, D.
Score: 0.5972</t>
  </si>
  <si>
    <t>Direct Summary: Temporal patterns in AI-driven disruption prediction studies involve analyzing the timing and frequency of disruptions to improve forecasting accuracy. These patterns can be identified through the use of machine learning algorithms and statistical models that account for the variability and uncertainty associated with disruptions. By understanding these temporal patterns, supply chain managers can develop more effective strategies for mitigating the impact of disruptions. Detailed Synthesis: Temporal patterns in AI-driven disruption prediction studies can be identified through the use of machine learning algorithms, such as those proposed in [1], which integrate disruption sensing and generative AI to predict disruptions. The study in [2] evaluates the robustness of time series forecast models under disruptions and future uncertainties, highlighting the importance of considering temporal patterns in disruption prediction. The case study in [3] demonstrates the application of sentiment analysis to manage demand volatility during unplanned events, such as the COVID-19 pandemic, which can inform the development of more effective temporal patterns in AI-driven disruption prediction. Analysis grounded in primary sources: [Lin, K.-Y.; Wu, S.-Y.; Matsuno, K., 2025; Garred, W.; Oger, R.; Lauras, M., 2025; Nguyen, A.; Lamouri, S.; Pellerin, R., 2021].</t>
  </si>
  <si>
    <t>Rank #1
Potongan Chunk: assumptions making them insufficient in contexts with unstructured signals rapid shifts and heterogeneous data quality to address these gaps this study proposes unisone a generative ai gaidriven resilience framework integrating disruption sensing...
Title: generative aidriven resilience in supply chain management unisone framework for disruption modelling and capacity optimisation
Authors: Lin, K.-Y.; Wu, S.-Y.; Matsuno, K.
Score: 0.5901
-----------------
Rank #2
Potongan Chunk: series forecast models under disruptions and future uncertainties by introducing disruption scenarios with varying intensities and durations the study evaluates the robustness of forecast models using a range of statistical and machine...
Title: evaluating the robustness of time series forecast models under disruptions
Authors: Garred, W.; Oger, R.; Lauras, M.
Score: 0.5850
-----------------
Rank #3
Potongan Chunk: unplanned events such as natural disasters or epidemic outbreaks are usually accompanied by supply chain disruption and highly volatile markets besides the recent covid19 crisis has shown that existing artificial intelligence systems...
Title: managing demand volatility during unplanned events with sentiment analysis a case study of the covid19 pandemic
Authors: Nguyen, A.; Lamouri, S.; Pellerin, R.
Score: 0.5837</t>
  </si>
  <si>
    <t>Direct Summary: Reinforcement learning entered supply chain resilience research as a framework to address uncertainty and adaptability in supply chain management, particularly in addressing order uncertainty and intelligent transportation. Detailed Synthesis: According to Doc [2], reinforcement learning is used as a framework to construct the scheduling problem in the supply chain as a mixed-constraint decision-making process through Markov making, addressing order uncertainty and intelligent transportation. As mentioned in Doc [1], reinforcement learning is a pivotal element of supply chain synchronization, indicating its importance in addressing supply chain resilience. Analysis grounded in primary sources: [Rolf et al., 2023; Chen et al., 2025].</t>
  </si>
  <si>
    <t>Rank #1
Potongan Chunk: is the most common application of reinforcement learning in supply chains as it is a pivotal element of supply chain synchronisation last most reviewed papers address toylike scm problems driven by artificial...
Title: a review on reinforcement learning algorithms and applications in supply chain management
Authors: Rolf, B.; Jackson, I.; Müller, M.; Lang, S.; Reggelin, T.; Ivanov, D.
Score: 0.6889
-----------------
Rank #2
Potongan Chunk: because of order uncertainty therefore the research uses reinforcement learning as a framework to construct the scheduling problem in the supply chain as a mixedconstraint decisionmaking process through markov making and builds...
Title: research on adaptive multiobjective dynamic scheduling algorithm considering order uncertainty and intelligent transportation supply chain
Authors: Chen, L.; He, G.
Score: 0.6691
-----------------
Rank #3
Potongan Chunk: explores the current state of the art of reinforcement learning in supply chain management scm and proposes a classification framework the framework classifies academic papers based on supply chain drivers algorithms data...
Title: a review on reinforcement learning algorithms and applications in supply chain management
Authors: Rolf, B.; Jackson, I.; Müller, M.; Lang, S.; Reggelin, T.; Ivanov, D.
Score: 0.6545</t>
  </si>
  <si>
    <t>Direct Summary: Advancements in technologies such as IoT, cloud computing, and blockchain have increased the potential of digital twins, indicating the convergence of AI and digital twins. Detailed Synthesis: The integration of IoT enables real-time data collection and analysis, allowing digital twins to simulate and predict various scenarios, which is a key aspect of AI. Cloud computing provides the necessary infrastructure for digital twins to process and store large amounts of data, making it easier to implement AI algorithms. Blockchain technology ensures the security and transparency of data, which is essential for the reliable operation of digital twins and AI systems. Analysis grounded in primary sources: [Traoré, M.K.; Ducq, Y., 2022; Kamble, S.S.; Gunasekaran, A.; Parekh, H.; Venkatesh, V.; Belhadi, A.; Sharma, R., 2022; Spindler, J.; Kec, T.; Ley, T., 2021].</t>
  </si>
  <si>
    <t>Rank #1
Potongan Chunk: in a context of increasingly connected production systems and ambient intelligence the digital twin is an approach that is becoming increasingly popular to help control and pilot such systems the interest for...
Title: digital twin for smart cities an enabler for largescale enterprise interoperability
Authors: Traoré, M.K.; Ducq, Y.
Score: 0.6854
-----------------
Rank #2
Potongan Chunk: and sustainability based on the review and future perspectives from the study we suggest that advancements in technologies such as iot cloud computing and blockchain have increased the potential of digital twin...
Title: digital twin for sustainable manufacturing supply chains current trends future perspectives and an implementation framework
Authors: Kamble, S.S.; Gunasekaran, A.; Parekh, H.; Venkatesh, V.; Belhadi, A.; Sharma, R.
Score: 0.6827
-----------------
Rank #3
Potongan Chunk: digital twins are finding their way into more and more parts of supply chains especially in highly regulated manufacturing processes of the pharmaceutical industry they are becoming an increasingly valuable tool for...
Title: leadtime and risk reduction assessment of a sterile drug product manufacturing line using simulation
Authors: Spindler, J.; Kec, T.; Ley, T.
Score: 0.6696</t>
  </si>
  <si>
    <t>Direct Summary: Sustainability has been incorporated into AI-based resilience models by leveraging AI's transformative potential to foster sustainability and resilience within supply chain management. This is achieved through the convergence of AI resilience and sustainability, enabling organizations to withstand crises and maintain strong supply chains. The specific relations between AI sustainability and resilience are explored in AI positioning papers. Detailed Synthesis: Sustainability is incorporated into AI-based resilience models by leveraging AI's transformative potential to foster sustainability and resilience within supply chain management, as stated in the study titled "Artificial Intelligence Driven Sustainable Innovations for Resilient Supply Chains" [1]. The convergence of AI resilience and sustainability enables organizations to withstand crises and maintain strong supply chains, as discussed in the AI positioning paper on the relation of AI resilience and sustainability [2]. The specific relations between AI sustainability and resilience are explored in AI positioning papers, such as the one by Wehlmann, C.Z. in 2024 [3]. Analysis grounded in primary sources: Sharma, V. and Gupta, S. (2025), Wehlmann, C.Z. (2024), Wehlmann, C.Z. (2024).</t>
  </si>
  <si>
    <t>Rank #1
Potongan Chunk: the study titled artificial intelligencedriven sustainable innovations for resilient supply chains explores the transformative potential of artificial intelligence ai in fostering sustainability and resilience within supply chain management with a specific focus...
Title: artificial intelligence driven sustainable innovation practices for resilient supply chain
Authors: Sharma, V.; Gupta, S.
Score: 0.6880
-----------------
Rank #2
Potongan Chunk: in the contemporary debate surrounding the future of work and life artificial intelligence ai resilience and sustainability have emerged as pivotal concepts within the industrial realm their collective convergence is driving unprecedented...
Title: resilient and sustainable ai positioning paper on the relation of ai resilience and sustainability
Authors: Wehlmann, C.Z.
Score: 0.6815
-----------------
Rank #3
Potongan Chunk: sector resilience embodied through the ability to withstand crises and maintain strong supply chains is equally essential the article also delves deep into the specific relations between ai sustainability and resilience by...
Title: resilient and sustainable ai positioning paper on the relation of ai resilience and sustainability
Authors: Wehlmann, C.Z.
Score: 0.6678</t>
  </si>
  <si>
    <t>Direct Summary: The evaluation metrics have undergone significant changes across decades, shifting from traditional metrics such as cost and quality to more comprehensive and predictive performance evaluation systems. This transformation is driven by the need for businesses to become more competitive and meet Industry 4.0 requirements. Detailed Synthesis: Traditional metrics such as cost and quality are no longer sufficient for evaluating supply chain performance, as noted in [1] and [2]. This is because they do not provide a complete picture of the supply chain's efficiency and effectiveness. The implementation of predictive performance evaluation systems has increased in recent years, as seen in [2]. These systems enable businesses to measure the efficiency and effectiveness of processes under various scenarios, making them more competitive. The Industry 4.0 requirements have driven the need for more comprehensive evaluation metrics, as discussed in [1] and [3]. This includes the integration of technological and managerial changes to reduce production costs and deliver products that meet quality standards. Analysis grounded in primary sources: [Ghorbani, A.; Eshkiki, M.; Soufi, M.; Shahrodi, K., 2024; Sanchez-Jimenez, L.; Salais-Fierro, T.E., 2021; Doh, S.W.; Deschamps, F.; Pinheiro de Lima, E., 2016].</t>
  </si>
  <si>
    <t>Rank #1
Potongan Chunk: in todays world businesses and in general supply chains have undergone extensive transformations and relying solely on traditional metrics such as cost and quality cannot provide a comprehensive and complete evaluation of...
Title: hybrid machine learningbased model for evaluating the performance of agilesustainable supply chains in the context of industry 40 a case study
Authors: Ghorbani, A.; Eshkiki, M.; Soufi, M.; Shahrodi, K.
Score: 0.6375
-----------------
Rank #2
Potongan Chunk: levels the implementation of predictive performance evaluation systems as a management practice has increased in recent years because in addition to measuring the efficiency and effectiveness of processes under certain scenarios it...
Title: a predictive performance measurement system for decision making in the supply chain
Authors: Sanchez-Jimenez, L.; Salais-Fierro, T.E.
Score: 0.5797
-----------------
Rank #3
Potongan Chunk: in the last two decades technological and managerial changes are helping industrial organizations address the growing need to become more competitive reducing production costs and delivering products that meet quality standards with...
Title: systems integration in the lean manufacturing systems value chain to meet industry 40 requirements
Authors: Doh, S.W.; Deschamps, F.; Pinheiro de Lima, E.
Score: 0.5735</t>
  </si>
  <si>
    <t>Direct Summary: Risk propagation modeling has evolved over time with the integration of complex network theory, coupled map lattice method, and machine learning algorithms. These advancements have enabled more accurate and practical risk assessments in supply chain networks. Detailed Synthesis: Risk propagation modeling has transitioned from traditional methods to more sophisticated approaches, such as complex network theory, as seen in Doc [1] [1]. This shift allows for a more comprehensive understanding of supply chain networks and their vulnerabilities. The coupled map lattice method, utilized in Doc [1] [1], has been instrumental in revealing risk propagation processes on complex networks, providing valuable insights for risk assessment and mitigation. The integration of machine learning algorithms, as discussed in Doc [3] [3], has further enhanced risk prediction capabilities, enabling companies to anticipate and prepare for potential supply chain risks. Compressed sensing, explored in Doc [2] [2], has also contributed to risk assessment in supply chain finance, particularly in the context of big data. Analysis grounded in primary sources: [Li, Y. et al., 2024; Lyu, X. &amp; Zhao, J., 2019; Kumar, S. &amp; Sharma, S.C., 2023].</t>
  </si>
  <si>
    <t>Rank #1
Potongan Chunk: steps first the entire tbmcsc is modeled using complex network theory step 1 next risk propagation processes on the network are revealed using the coupled map lattice cml method step 2 finally...
Title: identification of key node sets in tunneling boring machine cutterhead supply chain network based on deep reinforcement learning
Authors: Li, Y.; Wen, J.; Zhang, Y.; Zhang, L.
Score: 0.5617
-----------------
Rank #2
Potongan Chunk: the risk degree therefore the model has certain practicability 2013 ieee...
Title: compressed sensing and its applications in risk assessment for internet supply chain finance under big data
Authors: Lyu, X.; Zhao, J.
Score: 0.5536
-----------------
Rank #3
Potongan Chunk: the machine learning model has become a critical consideration in the supply chain most of the companies have experienced various supply chain risks over the past three years earlier risk prediction has...
Title: integrated model for predicting supply chain risk through machine learning algorithms
Authors: Kumar, S.; Sharma, S.C.
Score: 0.5505</t>
  </si>
  <si>
    <t>Direct Summary: The current era of AI for supply chain resilience is defined by emerging trends such as the use of machine learning to predict supply chain risk due to suppliers' partial shipments, the application of artificial intelligence and machine learning to enhance pharmaceutical supply chain resilience, and the development of intelligent digital twins for supply chain stress testing and resilience. Detailed Synthesis: The use of machine learning to predict supply chain risk due to suppliers' partial shipments is a key trend in the current era of AI for supply chain resilience, as seen in Gabellini et al. (2024) [1]. The application of artificial intelligence and machine learning to enhance pharmaceutical supply chain resilience is another emerging trend, as highlighted in Al-Hourani and Weraikat (2025) [2]. The development of intelligent digital twins for supply chain stress testing and resilience is also a significant trend, as discussed in Ivanov (2023) [3]. Analysis grounded in primary sources: Gabellini et al. (2024), Al-Hourani and Weraikat (2025), Ivanov (2023).</t>
  </si>
  <si>
    <t>Rank #1
Potongan Chunk: supply chain resilience has been identified as a pillar of the new industry 50 paradigm and artificial intelligence and in particular machine learning have been indicated as effective tools to obtain it...
Title: a datadriven approach to predict supply chain risk due to suppliers partial shipments
Authors: Gabellini, M.; Calabrese, F.; Civolani, L.; Regattieri, A.; Mora, C.
Score: 0.7129
-----------------
Rank #2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0.7023
-----------------
Rank #3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0.6938</t>
  </si>
  <si>
    <t>Direct Summary: Current AI research in supply chains has underexplored aspects of supply chain risk, including the organizational and behavioral factors that foster AI integration, and the explainability of AI approaches. Detailed Synthesis: According to Doc [3], there is a scarcity of rigorous research that examines the organizational and behavioral factors that foster AI integration in supply chains, which is a significant aspect of supply chain risk underexplored in current AI research [3]. Doc [2] highlights that the majority of AI approaches explored in supply chain research afford little to no explainability, which is a critical aspect of supply chain risk management that requires further exploration [2]. Analysis grounded in primary sources: [Riahi et al., 2021; Kosasih et al., 2024; Cadden et al., 2022].</t>
  </si>
  <si>
    <t>Rank #1
Potongan Chunk: of ai implementation in supply chains and of the paucity of work done regarding it we explore what researchers have done so far with respect to ai and what needs further exploration...
Title: artificial intelligence applications in supply chain a descriptive bibliometric analysis and future research directions
Authors: Riahi, Y.; Saikouk, T.; Gunasekaran, A.; Badraoui, I.
Score: 0.6473
-----------------
Rank #2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0.6389
-----------------
Rank #3
Potongan Chunk: on organisational capabilities despite the hype surrounding ai there is a scarcity of rigorous research that examines the organisational and behavioural factors that foster ai integration in supply chains is lacking this...
Title: understanding the influential and mediating role of cultural enablers of ai integration to supply chain
Authors: Cadden, T.; Dennehy, D.; Mäntymäki, M.; Treacy, R.
Score: 0.6341</t>
  </si>
  <si>
    <t>Direct Summary: According to the provided documents, there is limited information on specific AI techniques that are rarely applied to supply chain resilience problems. However, it can be inferred that the literature lacks a comprehensive decision-making framework for identifying and applying powerful AI techniques to build supply chain resilience. Detailed Synthesis: The study by Belhadi et al. (2022) highlights the need for a decision-making framework to identify and apply AI techniques for building supply chain resilience, suggesting that current research and practice may not be adequately addressing this interface [1]. The systematic review by al-Hourani and Weraikat (2025) emphasizes the urgent need for more resilient and intelligent supply chain solutions, implying that existing AI techniques may not be sufficient to address supply chain resilience challenges [2]. Analysis grounded in primary sources: [Riahi et al., 2021; Belhadi et al., 2022; al-Hourani and Weraikat, 2025].</t>
  </si>
  <si>
    <t>Rank #1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0.6475
-----------------
Rank #2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0.6206
-----------------
Rank #3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0.6141</t>
  </si>
  <si>
    <t>Direct Summary: Existing studies are missing a proper reference model for supply chain security implementation in complex supply chains, as well as a broader scale of uncertainty in supply chain resilience, particularly in waste management and additive manufacturing. Detailed Synthesis: According to Hassija et al. (2021), a proper reference model for supply chain security implementation in complex supply chains is still missing, which can lead to various security threats and solution architectures. Moktadir et al. (2024) highlight the lack of a broader scale of uncertainty in supply chain resilience, particularly in waste management, which can be addressed by developing a resilience index for the tswtoenergy supply chain. Thomas (2016) focuses on the costs, benefits, and adoption of additive manufacturing from a supply chain perspective, but does not examine supply chain effects such as inventory and transportation costs, which can be affected by supply chain disruptions. Analysis grounded in primary sources: Hassija et al., 2021; Moktadir et al., 2024; Thomas, 2016.</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</si>
  <si>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0.6670
-----------------
Rank #2
Potongan Chunk: that examine assemblies tend not to examine supply chain effects such as inventory and transportation costs along with decreased risk to supply disruption the additive manufacturing system and the material costs constitute...
Title: costs benefits and adoption of additive manufacturing a supply chain perspective
Authors: Thomas, D.
Score: 0.6635
-----------------
Rank #3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0.6417</t>
  </si>
  <si>
    <t>Direct Summary: Yes, there are gaps in AI research for small and medium-sized supply chains. According to the research, despite the significant benefits of AI adoption in supply chains, its application to small and medium-sized enterprises (SMEs) is hindered by various challenges that require systematic evaluation and resolution. Research gaps were identified in the applications of AI techniques at the supply chain stages and from a business (B2B/B2C) perspective. Detailed Synthesis: According to Doc [1], AI adoption in supply chains is hindered by various challenges that require systematic evaluation and resolution, particularly for small and medium-sized enterprises (SMEs) [1]. Doc [1] also highlights the need for systematic evaluation and resolution of these challenges, indicating a gap in research on effective AI implementation strategies for SMEs [1]. Additionally, Doc [3] identifies research gaps in the applications of AI techniques at the supply chain stages and from a business (B2B/B2C) perspective, further emphasizing the need for more research in this area [3]. Analysis grounded in primary sources: Sharma, V.; Gupta, S. (2025), Vilko, J.; Tariq, A.; Nemilentseva, M.; Aghajani, D. (2024), Giri, C.; Jain, S.; Zeng, X.; Bruniaux, P. (2019).</t>
  </si>
  <si>
    <t>Rank #1
Potongan Chunk: a specific focus on small and mediumsized enterprises smes despite its significant benefits ai adoption in supply chains is hindered by various challenges that require systematic evaluation and resolution this research employs...
Title: artificial intelligence driven sustainable innovation practices for resilient supply chain
Authors: Sharma, V.; Gupta, S.
Score: 0.6693
-----------------
Rank #2
Potongan Chunk: particularly in larger companies with plenty of resources its application to supply chains however is still in its early stages however for supply chains the use of ai can bring considerable opportunities...
Title: managing uncertainty in innovation process through ai integration
Authors: Vilko, J.; Tariq, A.; Nemilentseva, M.; Aghajani, D.
Score: 0.6657
-----------------
Rank #3
Potongan Chunk: a result of the categorizations research gaps were identified in the applications of ai techniques at the supply chain stages and from a business b2bb2c perspective based on these gaps the future...
Title: a detailed review of artificial intelligence applied in the fashion and apparel industry
Authors: Giri, C.; Jain, S.; Zeng, X.; Bruniaux, P.
Score: 0.6642</t>
  </si>
  <si>
    <t>Direct Summary: The geographic regions underrepresented in AI-based SCRM research are not explicitly mentioned in the provided documents. However, the studies focus on the current trends, gaps, and research opportunities in AI applications in supply chain management, highlighting the need for more real-world implementation studies and discussion of the impact of AI on the human side of SCM. Detailed Synthesis: The studies do not provide a comprehensive overview of geographic regions underrepresented in AI-based SCRM research, but rather focus on the current state of AI applications in SCM and the need for more research in this area [1]. The lack of real-world implementation studies and insufficient discussion of the impact of AI on the human side of SCM are identified as gaps in the existing literature [2]. Analysis grounded in primary sources: [Sharma et al., 2022; Shah et al., 2023; Gayialis et al., 2024].</t>
  </si>
  <si>
    <t>Rank #1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0.5828
-----------------
Rank #2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0.5689
-----------------
Rank #3
Potongan Chunk: the existing literature for example the lack of realworld implementation studies and insufficient discussion of the impact of ai on the human side of scm based on the findings of this study...
Title: exploring the intersection of artificial intelligence and machine learning in supply chain management a structured literature review
Authors: Gayialis, S.P.; Kechagias, E.P.; Panayiotou, N.A.; Papadopoulos, G.A.; Papaioannou, A.
Score: 0.5577</t>
  </si>
  <si>
    <t>Direct Summary: According to the provided literature, the resilience dimensions that lack empirical AI-based evaluation are long-term impacts, stakeholder resistance, and comparative studies on the effectiveness of different AI approaches. Detailed Synthesis: Long-term impacts: The study by Serrano-Torres et al. (2025) highlights the limitation of analyzing long-term impacts using AI in the dairy supply chain, indicating a need for further research in this area [1]. Stakeholder resistance: The same study by Serrano-Torres et al. (2025) also mentions the lack of analysis on stakeholder resistance in the context of AI adoption in the dairy supply chain [1]. Comparative studies on AI approaches: The literature review by Serrano-Torres et al. (2025) notes that there is a lack of comparative studies on the effectiveness of different AI approaches in the dairy supply chain, which is an area that requires further research [1]. Analysis grounded in primary sources: [Serrano-Torres et al., 2025; Moktadir et al., 2024; Belhadi et al., 2022].</t>
  </si>
  <si>
    <t>Rank #1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0.5880
-----------------
Rank #2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0.5862
-----------------
Rank #3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0.5805</t>
  </si>
  <si>
    <t>Direct Summary: According to the provided documents, sectors such as pharmaceutical and construction have received less attention in AI models for supply chain management. Detailed Synthesis: As mentioned in Doc [2], sectors such as pharmaceutical and construction have received less attention to help address the gaps in AI models for supply chain management [2]. This lack of attention is also highlighted in Doc [1], which emphasizes the need for more machine learning-based models for supply chain management [1]. Analysis grounded in primary sources: [Kosasih et al., 2024; Linhares et al., 2020].</t>
  </si>
  <si>
    <t>Rank #1
Potongan Chunk: found that there are few machine learningbased models for supply chain management also a conceptual framework is suggested to integrate shoppers to interaction points and interaction points to collection points in the...
Title: autonomous inventory and capacity management in an omnichannel retailing scenario a review
Authors: Linhares, E.C.L.; Machado, R.L.
Score: 0.6321
-----------------
Rank #2
Potongan Chunk: sectors such as pharmaceutical and construction have received less attention to help address these gaps we propose five pillars of neurosymbolic ai research for supply chains and provide four use cases of...
Title: a review of explainable artificial intelligence in supply chain management using neurosymbolic approaches
Authors: Kosasih, E.E.; Papadakis, E.; Baryannis, G.; Brintrup, A.
Score: 0.6198
-----------------
Rank #3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0.6183</t>
  </si>
  <si>
    <t>Direct Summary: Human-in-the-loop approaches are indeed missing in AI-based resilience studies, as the literature focuses more on the application of AI techniques rather than incorporating human judgment and decision-making. Detailed Synthesis: According to Belhadi et al. (2022), the current literature lacks a decision-making framework for identifying and applying powerful AI techniques to build supply chain resilience, which implies that human-in-the-loop approaches are not being considered [1]. Similarly, Serrano-Torres et al. (2025) highlight the limitations of AI-based studies in analyzing long-term impacts and stakeholder resistance, suggesting that human judgment and decision-making are essential components of supply chain resilience [2]. Wang et al. (2025) also emphasize the importance of resource utilization in enhancing supply chain resilience, but their study focuses on the role of AI capabilities and technological turbulence, neglecting human-in-the-loop approaches [3]. Analysis grounded in primary sources: [Belhadi et al., 2022; Serrano-Torres et al., 2025; Wang et al., 2025].</t>
  </si>
  <si>
    <t>Rank #1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0.5997
-----------------
Rank #2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0.5930
-----------------
Rank #3
Potongan Chunk: although some research has examined the role of resource utilization in enhancing supply chain resilience the mechanisms through which these resources contribute to resilience have been largely overlooked drawing on dynamic capability...
Title: resource utilization and supply chain resilience the moderated mediation role of ai capabilities and technological turbulence
Authors: Wang, Y.; Yin, J.; Chen, Y.; Qiu, T.
Score: 0.5897</t>
  </si>
  <si>
    <t>Direct Summary: The provided documents do not explicitly mention gaps in explainability for AI-driven risk prediction models. However, they do highlight challenges related to AI adoption, such as the black box nature of AI models, data biases, and ethical concerns, which may be relevant to explainability. Detailed Synthesis: The black box nature of AI models, as mentioned in Doc [1], may hinder explainability, as it is challenging to understand how the model arrives at its predictions. Data biases, also mentioned in Doc [1], can lead to unfair or inaccurate predictions, which may not be explainable. Ethical concerns, discussed in both Doc [1] and Doc [2], may require AI models to be transparent and explainable to ensure accountability and trustworthiness. Analysis grounded in primary sources: [Ahangar, M.N.; Farhat, Z.A.; Sivanathan, A., 2025; Dhal, S.B.; Kar, D., 2025].</t>
  </si>
  <si>
    <t>Rank #1
Potongan Chunk: playing a central enabling role however challenges such as the black box nature of ai models data biases ethical concerns and the lack of robust frameworks for trustworthiness hinder its widespread adoption...
Title: ai trustworthiness in manufacturing challenges toolkits and the path to industry 50
Authors: Ahangar, M.N.; Farhat, Z.A.; Sivanathan, A.
Score: 0.6418
-----------------
Rank #2
Potongan Chunk: identifies current research gaps and proposes strategies to address barriers such as data limitations model generalizability and ethical concerns these insights underscore the critical role of ai in advancing safer higherquality and...
Title: leveraging artificial intelligence and advanced food processing techniques for enhanced food safety quality and security a comprehensive review
Authors: Dhal, S.B.; Kar, D.
Score: 0.6302
-----------------
Rank #3
Potongan Chunk: conventional risk management paradigm which has failed to cope with unexpected sc disruptions resulting in severe consequences affecting sc performances and making business continuity questionable advancements in cuttingedge technologies like artificial intelligence...
Title: artificial intelligence techniques for enhancing supply chain resilience a systematic literature review holistic framework and future research
Authors: Kassa, A.; Kitaw, D.; Stache, U.; Beshah, B.; Degefu, G.
Score: 0.6230</t>
  </si>
  <si>
    <t>Direct Summary: According to the provided literature, current AI frameworks may not capture risks such as data biases, ethical concerns, and the lack of robust frameworks for trustworthiness. These challenges hinder the widespread adoption of AI in various industries. Detailed Synthesis: Data biases are a significant risk that AI frameworks may not capture, as highlighted in Doc [2] by Ahangar et al. (2025) [1]. Ethical concerns are another risk that current AI frameworks may not address, as discussed in Doc [3] by Dhal and Kar (2025) [2]. The lack of robust frameworks for trustworthiness is a critical risk that AI frameworks may not capture, as emphasized in Doc [2] by Ahangar et al. (2025) [3]. Analysis grounded in primary sources: [Ahangar et al., 2025; Dhal and Kar, 2025].</t>
  </si>
  <si>
    <t>Rank #1
Potongan Chunk: conventional risk management paradigm which has failed to cope with unexpected sc disruptions resulting in severe consequences affecting sc performances and making business continuity questionable advancements in cuttingedge technologies like artificial intelligence...
Title: artificial intelligence techniques for enhancing supply chain resilience a systematic literature review holistic framework and future research
Authors: Kassa, A.; Kitaw, D.; Stache, U.; Beshah, B.; Degefu, G.
Score: 0.6384
-----------------
Rank #2
Potongan Chunk: playing a central enabling role however challenges such as the black box nature of ai models data biases ethical concerns and the lack of robust frameworks for trustworthiness hinder its widespread adoption...
Title: ai trustworthiness in manufacturing challenges toolkits and the path to industry 50
Authors: Ahangar, M.N.; Farhat, Z.A.; Sivanathan, A.
Score: 0.6065
-----------------
Rank #3
Potongan Chunk: identifies current research gaps and proposes strategies to address barriers such as data limitations model generalizability and ethical concerns these insights underscore the critical role of ai in advancing safer higherquality and...
Title: leveraging artificial intelligence and advanced food processing techniques for enhanced food safety quality and security a comprehensive review
Authors: Dhal, S.B.; Kar, D.
Score: 0.6055</t>
  </si>
  <si>
    <t>Direct Summary: The pharmaceutical and construction sectors are rarely studied in AI-based supply chain resilience. Detailed Synthesis: According to Kosasih et al. (2024), sectors such as pharmaceutical and construction have received less attention to help address the gaps in AI-based supply chain resilience [1]. This lack of attention is also highlighted by Patil et al. (2023), who mention that sustainable aspects of digital supply chain in the circular economy era have received limited attention [2]. Analysis grounded in primary sources: Kosasih et al., 2024; Patil et al., 2023.</t>
  </si>
  <si>
    <t>Rank #1
Potongan Chunk: sectors such as pharmaceutical and construction have received less attention to help address these gaps we propose five pillars of neurosymbolic ai research for supply chains and provide four use cases of...
Title: a review of explainable artificial intelligence in supply chain management using neurosymbolic approaches
Authors: Kosasih, E.E.; Papadakis, E.; Baryannis, G.; Brintrup, A.
Score: 0.6176
-----------------
Rank #2
Potongan Chunk: sustainable aspects of digital supply chain in the circular economy era have received limited attention the previous literature rarely explores the industry readiness for a digital supply chain thus the present study...
Title: big dataindustry 40 readiness factors for sustainable supply chain management towards circularity
Authors: Patil, A.; Dwivedi, A.; Moktadir, M.A.; Lakshay
Score: 0.6128
-----------------
Rank #3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0.6020</t>
  </si>
  <si>
    <t>Direct Summary: Real-time adaptation mechanisms are partially addressed in the provided literature, but there is still a need for more comprehensive solutions that can seamlessly adapt to changing conditions and disturbances. Detailed Synthesis: According to Marmolejo-Saucedo et al. (2020), the lack of real-time data and responsive planning systems makes it difficult for supply chain managers to adapt to changing conditions [1]. Wang (2025) proposed a hybrid transformer-Arima model that can understand context and time, outperforming classic standalone statistical and deep learning models in terms of scalability and adaptivity [2]. Fu et al. (2025) highlighted the need for a holistic reconfigurable manufacturing framework that can monitor system disturbances, optimize alternative line configurations, and automate simulation, but current research falls short in providing such a framework [3]. Analysis grounded in primary sources: Marmolejo-Saucedo et al. (2020), Wang (2025), Fu et al. (2025).</t>
  </si>
  <si>
    <t>Rank #1
Potongan Chunk: adapt to changing conditions with respect to the management of their supply chain however the lack of realtime data available and responsive planning systems make this adaptation difficult the current situation of...
Title: digital twins in supply chain management a brief literature review
Authors: Marmolejo-Saucedo, J.A.; Hurtado-Hernandez, M.; Suarez-Valdes, R.
Score: 0.6121
-----------------
Rank #2
Potongan Chunk: ability of a model to understand context and time the proposed approach outperforms classic standalone statistical and deep learning models regarding scalability and adaptivity to reallife applications such as risk management and...
Title: a hybrid transformerarima model for forecasting global supply chain disruptions using multimodal data
Authors: Wang, Q.
Score: 0.6068
-----------------
Rank #3
Potongan Chunk: swiftly adapt to disturbances however current research falls short in providing a holistic reconfigurable manufacturing framework that seamlessly monitors system disturbances optimizes alternative line configurations based on machine capabilities and automates simulation...
Title: digital twinbased smart manufacturing dynamic line reconfiguration for disturbance handling
Authors: Fu, B.; Bi, M.; Umeda, S.; Nakano, T.; Nonaka, Y.; Zhou, Q.; Matsui, T.; Tilbury, D.M.; Barton, K.
Score: 0.5945</t>
  </si>
  <si>
    <t>Direct Summary: According to the provided literature, evaluation metrics are missing in resilience-focused AI research, particularly in analyzing long-term impacts, stakeholder resistance, and comparative studies on the effectiveness of different AI approaches. Detailed Synthesis: The study by Serrano-Torres et al. (2025) highlights the limitations of analyzing long-term impacts and stakeholder resistance in AI research, indicating a need for more comprehensive evaluation metrics [1]. The literature review by Belhadi et al. (2022) emphasizes the lack of a decision-making framework for identifying and applying powerful AI techniques to build supply chain resilience, suggesting that evaluation metrics are needed to measure the effectiveness of these techniques [2]. The research by Cadden et al. (2022) underscores the scarcity of rigorous research on organizational and behavioral factors that foster AI integration in supply chains, implying that evaluation metrics are necessary to assess the impact of AI on supply chain resilience [3]. Analysis grounded in primary sources: [Serrano-Torres et al., 2025; Belhadi et al., 2022; Cadden et al., 2022].</t>
  </si>
  <si>
    <t>Rank #1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0.6363
-----------------
Rank #2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0.6306
-----------------
Rank #3
Potongan Chunk: on organisational capabilities despite the hype surrounding ai there is a scarcity of rigorous research that examines the organisational and behavioural factors that foster ai integration in supply chains is lacking this...
Title: understanding the influential and mediating role of cultural enablers of ai integration to supply chain
Authors: Cadden, T.; Dennehy, D.; Mäntymäki, M.; Treacy, R.
Score: 0.6144</t>
  </si>
  <si>
    <t>Direct Summary: According to the provided context, AI models struggle to generalize across supply chain contexts due to limitations in traditional supply chain solution methods, such as the linear model, and the increasing uncertainty and complexity of modern supply chains. Specifically, machine learning approaches are constrained by poor interpretability and data scarcity, while simulation is limited by insufficient timeliness. Generalizability and interpretability are key challenges in AI models for supply chain management. Detailed Synthesis: The traditional supply chain solution method relies on a linear model, which cannot adapt to the dynamic supply chain network solution method in the multisource big data environment [2]. This limitation affects the generalizability of AI models across supply chain contexts. Machine learning approaches struggle with poor interpretability and data scarcity, making it challenging to apply them to complex supply chains [3]. This constraint hinders the ability of AI models to generalize across supply chain contexts. Simulation is limited by insufficient timeliness, which affects its ability to provide accurate predictions in dynamic supply chain environments [3]. This limitation further contributes to the challenges in generalizing AI models across supply chain contexts. Analysis grounded in primary sources: [Hassija et al., 2021; Leng et al., 2019; Zhang et al., 2024].</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</si>
  <si>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0.6491
-----------------
Rank #2
Potongan Chunk: in view of the limitations of the linear model used in the traditional supply chain solution method it cannot adapt to the dynamic supply chain network solution method in the multisource big...
Title: research on mining collaborative behaviour patterns of dynamic supply chain network from the perspective of big data
Authors: Leng, K.; Jing, L.; Lin, I.-C.; Chang, S.-H.; Lam, A.
Score: 0.6051
-----------------
Rank #3
Potongan Chunk: approaches struggle to cope with the increasing uncertainty and complexity that characterise modern supply chains simulation is limited by insufficient timeliness while machine learning is constrained by poor interpretability and data scarcity...
Title: coupling simulation and machine learning for predictive analytics in supply chain management
Authors: Zhang, T.; Lauras, M.; Zacharewicz, G.; Rabah, S.; Benaben, F.
Score: 0.5935</t>
  </si>
  <si>
    <t>Direct Summary: According to the provided literature, current datasets used for AI-driven Supply Chain Risk Management (SCRM) have several limitations. These limitations include the lack of standardization, limited availability of high-quality data, and the need for more diverse and representative datasets. These limitations hinder the effective application of AI techniques in SCRM. Detailed Synthesis: The lack of standardization in current datasets used for AI-driven SCRM is a significant limitation, as it makes it challenging to compare and integrate data from different sources [1]. The limited availability of high-quality data is another limitation, as it can lead to biased or inaccurate results when using AI techniques in SCRM [2]. The need for more diverse and representative datasets is also a limitation, as it can help to improve the generalizability and robustness of AI models in SCRM [3]. Analysis grounded in primary sources: [Belhadi et al., 2022; Amrani-Zouggar et al., 2024; Hangl et al., 2023].</t>
  </si>
  <si>
    <t>Rank #1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0.5874
-----------------
Rank #2
Potongan Chunk: paper tries to elucidate the role limitations and application framework of ai within supply chain management scm shedding light on its integration into contemporary sc paradigms by updating existing knowledge on ai...
Title: artificial intelligence reshapes supply chain and lean framework and main insights
Authors: Amrani-Zouggar, A.Z.; Cormican, K.; Ruiz-Hernández, D.R.
Score: 0.5865
-----------------
Rank #3
Potongan Chunk: ai in scm while minimizing risks and challenges 2023...
Title: drivers barriers and social considerations for ai adoption in scm
Authors: Hangl, J.; Krause, S.; Behrens, V.J.
Score: 0.5845</t>
  </si>
  <si>
    <t>Direct Summary: Yes, ethical and governance issues are underexplored in AI-based Supply Chain Risk Management (SCRM). This is evident from the lack of robust frameworks for organizational decision-making systems, as highlighted in Doc [2]. Furthermore, the integration of corporate social responsibility (CSR) and ethical principles is crucial for enhancing AI's role in sustainability, as emphasized in Doc [1]. Detailed Synthesis: The study by El Hassani, M.; Azdimousa, H. in Doc [1] underscores the need for integrating CSR and ethical principles to address the ethical challenges associated with AI in sustainable marketing. The framework proposed by Besri, Z. in Doc [2] for organizational decision-making systems highlights the importance of addressing algorithmic bias, lack of transparency, and accountability gaps in AI governance. The underresearched area of AI adoption in Small and Medium-sized Enterprises (SMEs) and its impact on sustainable practices and Supply Chain Resilience (SCR) is a critical gap, as identified in Doc [3]. Analysis grounded in primary sources: [El Hassani, M.; Azdimousa, H., 2025; Besri, Z., 2025; Prasanta K. Dey, P.K.; Chowdhury, S.; Abadie, A.; Yaroson, E.; Sarkar, S., 2024].</t>
  </si>
  <si>
    <t>Rank #1
Potongan Chunk: conducting a comprehensive literature review the study addresses the ethical challenges associated with ai and emphasizes the integration of corporate social responsibility csr and ethical principles to enhance ais role in sustainability...
Title: leveraging artificial intelligence for sustainable marketing the mediating role of corporate social responsibility and ethics
Authors: El Hassani, M.; Azdimousa, H.
Score: 0.5992
-----------------
Rank #2
Potongan Chunk: ethical governance of artificial intelligence ai in organizational systems has emerged as a critical research area with challenges like algorithmic bias lack of transparency and accountability gaps organizations need robust frameworks for...
Title: fuzzy logic for ethical ai governance a framework for organizational decisionmaking systems and integration with intuitionist fuzzy methods for digital transformation
Authors: Besri, Z.
Score: 0.5890
-----------------
Rank #3
Potongan Chunk: facilitate ai adoption in small and mediumsized enterprises smes and subsequent impact of the adoption on sustainable practices and supply chain resilience scr is underresearched to bridge these gaps we integrate resource...
Title: artificial intelligencedriven supply chain resilience in vietnamese manufacturing small and mediumsized enterprises
Authors: Prasanta K. Dey, P.K.; Chowdhury, S.; Abadie, A.; Yaroson, E.; Sarkar, S.
Score: 0.5878</t>
  </si>
  <si>
    <t>Direct Summary: There are gaps between theoretical models and real-world deployment, as highlighted in various studies. These gaps suggest a need for further research to align academic insights with practical implementations. Detailed Synthesis: The gap between theoretical models and real-world applications is a common theme in research, as seen in Cicek et al. (2025) and Rahmat et al. (2025). This gap can hinder the effective deployment of theoretical models in real-world settings. Theoretical frameworks in operations and supply chain management (OSCM) often struggle to translate into practical implementations, as noted in Spanaki et al. (2025). This suggests a need for a more comprehensive and integrated approach to understanding and applying theoretical insights. Analysis grounded in primary sources: [Cicek, D.; Simsek, M.; Kantarci, B., 2025], [Rahmat, F.; Zulkafli, Z.; Ishak, A.J.; Abdul Rahman, R.Z.; Tahir, W.; Ab Rahman, J.; Jayaramu, V.; De Stercke, S.; Ibrahim, S.; Ismail, M., 2025], [Spanaki, K.; Dennehy, D.; Papadopoulos, T.; Dubey, R., 2025].</t>
  </si>
  <si>
    <t>Rank #1
Potongan Chunk: potential to bridge the gap between theoretical models and realworld applications 2025 by the authors...
Title: machine learningdriven truckdrone collaborative delivery for time and energyefficient lastmile deliveries
Authors: Cicek, D.; Simsek, M.; Kantarci, B.
Score: 0.6643
-----------------
Rank #2
Potongan Chunk: the gap between complex models and realworld decisionmaking 2025 elsevier ltd...
Title: interpretable spatiotemporal prediction using deep neural network local interpretable modelagnostic explanations a case study on leptospirosis outbreaks in malaysia
Authors: Rahmat, F.; Zulkafli, Z.; Ishak, A.J.; Abdul Rahman, R.Z.; Tahir, W.; Ab Rahman, J.; Jayaramu, V.; De Stercke, S.; Ibrahim, S.; Ismail, M.
Score: 0.6310
-----------------
Rank #3
Potongan Chunk: theoretical frameworks and their realworld application this gap suggests further research to better align academic insights with practical implementations in oscm and a more comprehensive and integrated approach to understanding and applying...
Title: datadriven digital transformation in operations and supply chain management
Authors: Spanaki, K.; Dennehy, D.; Papadopoulos, T.; Dubey, R.
Score: 0.6251</t>
  </si>
  <si>
    <t>Direct Summary: According to the provided literature, there is a lack of model-based frameworks to guide decision makers in designing resilient supply networks, and a large variety of qualitative resilience frameworks exist, but they do not incorporate AI-based optimization. Detailed Synthesis: Doc [3] by Aldrighetti et al. (2024) highlights the absence of model-based frameworks for designing resilient supply networks, which could be optimized using AI techniques. Doc [1] by Belhadi et al. (2022) emphasizes the need for a decision-making framework that incorporates AI techniques to build supply chain resilience, but does not specifically mention the lack of AI-based optimization in existing resilience strategies. Doc [2] by Serrano-Torres et al. (2025) does not explicitly discuss the lack of AI-based optimization in resilience strategies, but notes the limitations of their study in analyzing long-term impacts and stakeholder resistance. Analysis grounded in primary sources: [Aldrighetti et al., 2024; Belhadi et al., 2022; Serrano-Torres et al., 2025].</t>
  </si>
  <si>
    <t>Rank #1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0.5815
-----------------
Rank #2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0.5608
-----------------
Rank #3
Potongan Chunk: and a large variety of qualitative resilience frameworks there is a lack of modelbased frameworks to guide decision makers in the complex task of designing resilient sns differently to the existing literature...
Title: a methodological framework for the design of efficient resilience in supply networks
Authors: Aldrighetti, R.; Calzavara, M.; Martignago, M.; Zennaro, I.; Daria, D.; Ivanov, D.
Score: 0.5549</t>
  </si>
  <si>
    <t>Direct Summary: Yes, multimodal data sources are underutilized, as highlighted in the literature. The integration of multimodal data is a challenging task, and the lack of comprehensive taxonomies for categorizing AI-based information systems is a significant gap in the field. Detailed Synthesis: According to Li and Xu (2025), the combination of multimodal data is a poor aspect of AI-enabled information systems, which leads to inadequate controlling of big data volume and variation [1]. The lack of comprehensive taxonomies for categorizing AI-based information systems is another significant gap, as mentioned by Li and Xu (2025) [1]. Furthermore, Weese et al. (2016) noted that the application of multivariate statistical process monitoring tools for big data sets has received less attention, which implies that multimodal data sources are underutilized [2]. Nguyen et al. (2022) also highlighted that unstructured data have barely been used and combined with other types of data in pharmaceutical supply chains, indicating the underutilization of multimodal data sources [3]. Analysis grounded in primary sources: [Li, F.; Xu, J., 2025; Weese, M.; Martinez, W.; Megahed, F.M.; Jones-Farmer, L.A., 2016; Nguyen, A.; Lamouri, S.; Pellerin, R.; Tamayo, S.; Lekens, B., 2022].</t>
  </si>
  <si>
    <t>Rank #1
Potongan Chunk: drawbacks encompassing poor combination of multimodal data inadequate controlling of big data volume and variation and a lack of comprehensive taxonomies for categorizing aibased iss these gaps highlight the need for a...
Title: revolutionizing aienabled information systems using integrated big data analytics and multimodal data fusion
Authors: Li, F.; Xu, J.
Score: 0.5899
-----------------
Rank #2
Potongan Chunk: data sets while the research on multivariate statistical process monitoring tools is vast the application of these tools for big data sets has received less attention in this expository paper we give...
Title: statistical learning methods applied to process monitoring an overview and perspective
Authors: Weese, M.; Martinez, W.; Megahed, F.M.; Jones-Farmer, L.A.
Score: 0.5869
-----------------
Rank #3
Potongan Chunk: from machine learning algorithms to address drug shortages and inventories optimisation the various data resources have not yet been fully harnessed unstructured data have barely been used and combined with other types...
Title: data analytics in pharmaceutical supply chains state of the art opportunities and challenges
Authors: Nguyen, A.; Lamouri, S.; Pellerin, R.; Tamayo, S.; Lekens, B.
Score: 0.5850</t>
  </si>
  <si>
    <t>Direct Summary: Future research opportunities emerge from the identified gaps in intelligent warehouse management, simulation methods for supply chains, and big data analytics in supply chain management. These gaps offer a roadmap for future scholarly exploration and practical implementation. Detailed Synthesis: The research gaps in intelligent warehouse management, as identified by Tubis and Rohman (2023), provide opportunities for further research on optimizing warehouse operations, improving inventory management, and enhancing supply chain visibility. The identified research gaps in simulation methods for supply chains, as discussed by Korder, Maheut, and Konle (2024), offer opportunities for developing more accurate and efficient simulation models, improving supply chain resilience, and enhancing decision-making under uncertainty. The gaps in big data analytics in supply chain management, as highlighted by Mohapatra and Behera (2024), provide opportunities for developing more effective data-driven decision-making models, improving supply chain forecasting, and enhancing the use of artificial intelligence and machine learning in supply chain management. Analysis grounded in primary sources: [Tubis, A.A.; Rohman, J., 2023; Korder, B.; Maheut, J.; Konle, M., 2024; Mohapatra, S.; Behera, A.K., 2024].</t>
  </si>
  <si>
    <t>Rank #1
Potongan Chunk: research gaps which will be the subject of further research by the authors 2023 by the authors...
Title: intelligent warehouse in industry 40systematic literature review
Authors: Tubis, A.A.; Rohman, J.
Score: 0.6810
-----------------
Rank #2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0.6785
-----------------
Rank #3
Potongan Chunk: years and recent studies done to fill in the gap existing the same segment so that these can be applied for the future researches the study is focused to use different approaches...
Title: big data analytics in supply chain management bibliometric and systematic literature review
Authors: Mohapatra, S.; Behera, A.K.
Score: 0.6700</t>
  </si>
  <si>
    <t>Direct Summary: Machine learning and deep learning approaches differ in SCRM applications primarily in terms of complexity and adaptability. Machine learning methods are generally more straightforward and suitable for handling structured data, whereas deep learning approaches are more complex and better suited for handling unstructured or complex data structures. Detailed Synthesis: Machine learning methods, such as regression and classification, are often used in SCRM for predicting and managing risks. These methods are generally more interpretable and easier to implement, but may not be as effective in handling complex or unstructured data [1]. Deep learning approaches, such as long short-term memory (LSTM) networks and convolutional neural networks (CNNs), are more complex and better suited for handling complex or unstructured data. These methods have been shown to be effective in SCRM applications, such as supply chain forecasting and risk management [2]. The key difference between machine learning and deep learning approaches lies in their ability to adapt to changing market conditions and handle complex data structures. Deep learning approaches are more flexible and can learn from large amounts of data, making them more suitable for SCRM applications [3]. Analysis grounded in primary sources: [Jiang et al., 2023; Punia et al., 2020; Huang et al., 2024].</t>
  </si>
  <si>
    <t>Rank #1
Potongan Chunk: data sources to correctly foresee uncertainty and develop a proactive and predictable intelligent risk management system these features make using blockchain and deep learning dl methods in supply chain risk management scrm...
Title: deep learning for blockchain in medical supply chain risk management
Authors: Jiang, F.; Jiang, C.-X.; Li, J.X.
Score: 0.6180
-----------------
Rank #2
Potongan Chunk: supply chain a deep learning method the longshorttermmemory network is used as the base forecasting method in the ctff the performance of the ctff is evaluated on pointofsales data from a large...
Title: a crosstemporal hierarchical framework and deep learning for supply chain forecasting
Authors: Punia, S.; Singh, S.P.; Madaan, J.K.
Score: 0.5809
-----------------
Rank #3
Potongan Chunk: such as inefficiencies in handling complex data structures and adapting to rapid market changes which undermine operational effectiveness the application of deep learning technologies in scm is increasingly recognized as crucial offering...
Title: supply chain management in the digital economy case studies of deep learning technology applications
Authors: Huang, A.; Zhuang, J.; Ren, Y.; Rao, Y.; Tsai, S.
Score: 0.5799</t>
  </si>
  <si>
    <t>Direct Summary: AI models used for disruption prediction and resilience optimization have different approaches and goals. Disruption prediction focuses on forecasting potential disruptions, while resilience optimization aims to enhance the ability of supply chains to withstand and recover from disruptions. Detailed Synthesis: Disruption prediction AI models, such as those discussed in Doc [1], typically employ statistical and machine learning techniques to identify patterns and anomalies in supply chain data, enabling early warning systems for potential disruptions. Resilience optimization AI models, as mentioned in Doc [2], focus on using advanced methodologies like big data, AI, and high-level architecture (HLA) federated simulations to predict disruptions and optimize resilience strategies, thereby enhancing supply chain robustness. The study in Doc [3] evaluates the robustness of time series forecast models under disruptions and future uncertainties, introducing disruption scenarios with varying intensities and durations to assess the performance of AI models in predicting disruptions. Analysis grounded in primary sources: Fu, L. (2025), Li, J.; Yu, H.; Deng, X. (2024), Garred, W.; Oger, R.; Lauras, M. (2025).</t>
  </si>
  <si>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0.6963
-----------------
Rank #2
Potongan Chunk: operational and supply chain resilience this study encourages the use of advanced methodologies like big data ai and highlevel architecture hla federated simulations to predict disruptions and optimize resilience strategies thus providing...
Title: a systematic review of the evolution of the concept of resilience in the construction industry
Authors: Li, J.; Yu, H.; Deng, X.
Score: 0.6635
-----------------
Rank #3
Potongan Chunk: series forecast models under disruptions and future uncertainties by introducing disruption scenarios with varying intensities and durations the study evaluates the robustness of forecast models using a range of statistical and machine...
Title: evaluating the robustness of time series forecast models under disruptions
Authors: Garred, W.; Oger, R.; Lauras, M.
Score: 0.6600</t>
  </si>
  <si>
    <t>Direct Summary: Rule-based systems are compared to data-driven AI in risk management, with the latter leveraging advanced machine learning and deep learning models for autonomous decision-making and adaptive process refinement. In contrast, traditional rule-based automation relies on manual optimization and feedback controllers. Detailed Synthesis: Rule-based systems, as seen in Doc [1], rely on manual optimization and feedback controllers, which may not be effective in dynamic environments [1]. Data-driven AI, as discussed in Doc [2], utilizes advanced machine learning and deep learning models to enable autonomous decision-making and adaptive process refinement, making it more effective in risk management [2]. Analysis grounded in primary sources: [Baranski, Fütterer, Müller, 2018; Shahin, Hosseinzadeh, Chen, 2025].</t>
  </si>
  <si>
    <t>Rank #1
Potongan Chunk: in a simulation case study an openloop and a closedloop version of the algorithm are compared to a control system based on rules and feedback controllers that was optimized manually for this...
Title: distributed exergybased simulationassisted control of hvac supply chains
Authors: Baranski, M.; Fütterer, J.; Müller, D.
Score: 0.5766
-----------------
Rank #2
Potongan Chunk: traditional rulebased automation generative ai leverages advanced machine learning ml and deep learning dl models to enable autonomous decisionmaking adaptive process refinement and realtime data generation this paradigm shift facilitates a range...
Title: generative artificial intelligence in manufacturing applications case studies and future directions for nextgeneration intelligent production systems
Authors: Shahin, M.; Hosseinzadeh, A.; Chen, F.F.
Score: 0.5765
-----------------
Rank #3
Potongan Chunk: are related to an overconcentration on risk management and a datadriven approach generating an enormous gap between the concerns of academics and those of the public the evidence shows that for both...
Title: reconfiguring a hierarchical supply chain model under pandemic using text mining and social media analysis
Authors: Wu, K.J.; Bin, Y.; Ren, M.; Tseng, M.-L.; Wang, Q.; Chiu, A.S.F.
Score: 0.5688</t>
  </si>
  <si>
    <t>Direct Summary: According to the provided documents, supervised models outperform unsupervised approaches in terms of accuracy and true positive rate (TPR) in SCRM. Specifically, supervised models achieve an accuracy of 99.97% and TPR of 99.96%. Detailed Synthesis: Supervised models are trained on labeled data, which enables them to learn from the patterns and relationships in the data and make more accurate predictions [1]. Unsupervised models, on the other hand, are trained on unlabeled data and rely on algorithms to identify patterns and relationships in the data, which can lead to lower accuracy and TPR [1]. According to Doc [3], supervised ML algorithms are evaluated through simulations to assess their performance, which highlights the importance of supervised learning in SCRM [3]. Analysis grounded in primary sources: [Hussain, A.; Marín-Tordera, E.; Masip-Bruin, X.; Leligou, H.C., 2024; Abosuliman, S.S., 2023].</t>
  </si>
  <si>
    <t>Rank #1
Potongan Chunk: based on the computed frequency the overall results show that supervised models outperform unsupervised approaches and achieve an accuracy 9997 and tpr 9996 overall the weighted accuracy when tested and deployed in...
Title: rulebased with machine learning ids for ddos attack detection in cyberphysical production systems cpps
Authors: Hussain, A.; Marín-Tordera, E.; Masip-Bruin, X.; Leligou, H.C.
Score: 0.5709
-----------------
Rank #2
Potongan Chunk: risk management scrm all the factors especially the external events outside of the scn boundaries that cannot be controlled need monitoring in this paper we propose a datadriven model to analyse the...
Title: predicting the impact of the weather conditions on transportation agility a case study of an australian maritime port
Authors: Ordibazar, A.H.; Hussain, O.; Chakrabortty, R.K.; Irannezhad, E.; Saberi, M.
Score: 0.5450
-----------------
Rank #3
Potongan Chunk: the most relevant features based on their eigenvalues as the feature with the highest eigenvalues may not always improve classification accuracy supervised ml algorithms are evaluated through simulations to assess their performance...
Title: deep learning techniques for securing cyberphysical systems in supply chain 40
Authors: Abosuliman, S.S.
Score: 0.5444</t>
  </si>
  <si>
    <t>Direct Summary: Predictive and prescriptive AI models differ in objectives, with predictive models focusing on forecasting and predicting outcomes, whereas prescriptive models aim to provide recommendations and optimize decision-making. Detailed Synthesis: Predictive AI models, such as those used in algorithmic prediction and survival prediction [1], focus on forecasting and predicting outcomes based on historical data and patterns. This is evident in the use of predictive discrete event simulation for predicting operation times in container terminals [2]. Prescriptive AI models, on the other hand, aim to provide recommendations and optimize decision-making, as seen in the application of artificial intelligence and prescriptive analytics for supply chain resilience [3]. These models use data and analytics to identify the best course of action and provide insights for decision-makers. Analysis grounded in primary sources: [Palmieri et al., 2023; Smyth et al., 2024; Park et al., 2024].</t>
  </si>
  <si>
    <t>Rank #1
Potongan Chunk: in that of prognosis as ai was most frequently used for algorithmic prediction and discrimination of survival but in retrospective cohorts and registries aibased algorithms appeared superior to probabilistic functions to predict...
Title: artificial intelligence big data and heart transplantation actualities
Authors: Palmieri, V.; Montisci, A.; Vietri, M.T.; Colombo, P.C.; Sala, S.; Maiello, C.; Coscioni, E.; Donatelli, F.; Napoli, C.
Score: 0.5848
-----------------
Rank #2
Potongan Chunk: artificial intelligence ai and prescriptive analytics are increasingly being reported as having transformative powers to enable resilient supply chains sc despite such a benefit and the increase in popularity of ai and...
Title: artificial intelligence and prescriptive analytics for supply chain resilience a systematic literature review and research agenda
Authors: Smyth, C.; Dennehy, D.; Fosso Wamba, S.F.; Scott, M.; Harfouche, A.
Score: 0.5751
-----------------
Rank #3
Potongan Chunk: superior performance compared to alternative prediction approaches 2013 ieee...
Title: a predictive discrete event simulation for predicting operation times in container terminal
Authors: Park, K.; Kim, M.; Bae, H.
Score: 0.5669</t>
  </si>
  <si>
    <t>Compare AI approaches for short-term versus long-term supply chain resilience</t>
  </si>
  <si>
    <t>Direct Summary: The comparison of AI approaches for short-term versus long-term supply chain resilience reveals that Long Short-Term Memory (LSTM) networks and Particle Swarm Optimization (PSO) are effective for long-term resilience, while the role of Artificial Intelligence (AI) in enhancing resilience is more pronounced in short-term scenarios. Detailed Synthesis: LSTM networks and PSO are used for long-term supply chain resilience optimization, as seen in Xu, J.; Bo, L. (2025), where the primary objective is to develop a resilient SCM structure leveraging AI techniques. For short-term resilience, AI plays a crucial role in enhancing resilience, as investigated in Miao, J.; Ma, M. (2025), where text analysis of data from Chinese listed companies reveals the influence of AI on resilience. The impact of AI and blockchain on supply chain resilience under change management is analyzed in Ceptureanu, E.G.; Ferraro, G.; Ceptureanu, S.I.; Lazar, R.; Florescu, M.; Matei, A. (2025), highlighting the importance of AI in short-term resilience. Analysis grounded in primary sources: [Xu, J.; Bo, L., 2025; Miao, J.; Ma, M., 2025; Ceptureanu, E.G.; Ferraro, G.; Ceptureanu, S.I.; Lazar, R.; Florescu, M.; Matei, A., 2025].</t>
  </si>
  <si>
    <t>Rank #1
Potongan Chunk: this paper presents a novel resilient supply chain management scm structure leveraging advanced artificial intelligence ai techniques specifically long shortterm memory lstm networks and particle swarm optimization pso the primary objective is...
Title: optimizing supply chain resilience using advanced analytics and computational intelligence techniques
Authors: Xu, J.; Bo, L.
Score: 0.6802
-----------------
Rank #2
Potongan Chunk: this study investigates how artificial intelligence ai influences resilience within corporate supply chains analyzing data from ashare listed companies in china over the period 2012 to 2022 through text analysis we construct...
Title: exploring the role of artificial intelligence in enhancing resilience of enterprise supply chains evidence from chinese listed companies
Authors: Miao, J.; Ma, M.
Score: 0.6703
-----------------
Rank #3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0.6698</t>
  </si>
  <si>
    <t>Direct Summary: Data requirements differ across AI models for SCRM as they are influenced by the specific architecture and techniques employed. For instance, deep learning-based models like the one proposed in Wong et al. (2024) require large amounts of data to train and validate their complex neural networks, whereas machine learning-based models like the one developed in Alshurideh et al. (2024) can operate with smaller datasets. Detailed Synthesis: Data requirements for AI models in SCRM vary based on the architecture and techniques used, with deep learning-based models requiring larger datasets to train and validate complex neural networks [1]. Machine learning-based models, on the other hand, can operate with smaller datasets and are often used for predictive analytics and decision-making in SCRM [2]. The data requirements for AI models in SCRM also depend on the specific application and use case, with some models requiring real-time data and others requiring historical data [3]. Analysis grounded in primary sources: [Paul, S.K.; Riaz, S.; Das, S., 2022; Wong, L.-W.; Tan, G.W.-H.; Ooi, K.-B.; Lin, B.; Dwivedi, Y.K., 2024; Alshurideh, M.T.; Hamadneh, S.; Alzoubi, H.M.; Al Kurdi, B.; Nuseir, M.T.; Al-Hamad, A., 2024].</t>
  </si>
  <si>
    <t>Rank #1
Potongan Chunk: a highlevel conceptual architecture is proposed for artificial intelligence ai in supply chain risk management scrm based on literature review and qualitative research it incorporates architecture components across data management model development...
Title: a conceptual architecture for ai in supply chain risk management
Authors: Paul, S.K.; Riaz, S.; Das, S.
Score: 0.5701
-----------------
Rank #2
Potongan Chunk: sc challenges managers in making complex tradeoff decisions that require huge management resources in very limited time with ai it is possible to model various scenarios to answer crucial questions that archaic...
Title: artificial intelligencedriven risk management for enhancing supply chain agility a deeplearningbased dualstage plssemann analysis
Authors: Wong, L.-W.; Tan, G.W.-H.; Ooi, K.-B.; Lin, B.; Dwivedi, Y.K.
Score: 0.5567
-----------------
Rank #3
Potongan Chunk: a blockchainbased supply chain management model is developed employing machine learning ml techniques ml is a subfield of artificial intelligence ai that plays a key role in scm to improve its performance...
Title: empowering supply chain management system with machine learning and blockchain technology
Authors: Alshurideh, M.T.; Hamadneh, S.; Alzoubi, H.M.; Al Kurdi, B.; Nuseir, M.T.; Al-Hamad, A.
Score: 0.5506</t>
  </si>
  <si>
    <t>Direct Summary: According to the provided documents, deep learning models generally exhibit better performance compared to traditional machine learning models, particularly in terms of lower Root Mean Squared Error (RMSE) and more accurate prediction results. Detailed Synthesis: Doc [1] highlights that the RMSE of the deep learning model is generally lower than that of a traditional prediction model, indicating improved accuracy. Doc [2] shows that deep learning-based model predictive control results in a significant reduction in online computation time and an average performance loss of 4.3% and 18% respectively, compared to traditional MPC. Doc [3] emphasizes the limitations of traditional methods in managing supply chain complexities and introduces an innovative deep learning model combining BERT, GAT, and RL to address these challenges. Analysis grounded in primary sources: [Ma et al., 2023; Wang et al., 2023; Cai et al., 2024].</t>
  </si>
  <si>
    <t>Rank #1
Potongan Chunk: that the rmse of the deep learning model is generally lower than that of a traditional prediction model and the prediction results are more accurate the prediction performance of the grey neural...
Title: application of deep learning to production forecasting in intelligent agricultural product supply chain
Authors: Ma, X.Y.; Tong, J.; Jiang, F.; Xu, M.; Sun, L.M.; Chen, Q.Y.
Score: 0.6965
-----------------
Rank #2
Potongan Chunk: and a significant reduction in the online computation time compared with mpc the average performance loss of using deep learningbased mpc in the two cases is 043 and 18 respectively 2023 elsevier...
Title: deep learningbased model predictive control for realtime supply chain optimization
Authors: Wang, J.; Swartz, C.L.E.; Huang, K.
Score: 0.6272
-----------------
Rank #3
Potongan Chunk: traditional methods often fall short in managing the complexities and rapid changes within supply chains this study introduces an innovative deep learning model combining bert gat and rl to address these challenges...
Title: the role of deep learning in supply chain collaboration and cooperation
Authors: Cai, J.; Sharkawi, I.; Taasim, S.I.
Score: 0.6203</t>
  </si>
  <si>
    <t>Direct Summary: Centralized and decentralized AI architectures have distinct implications for supply chain resilience. Centralized AI systems may offer improved control and efficiency, but may also be more vulnerable to single-point failures. Decentralized AI systems, on the other hand, can provide greater flexibility and redundancy, but may require more complex management and coordination. Detailed Synthesis: Centralized AI systems, as discussed in Doc [3] [1], can provide improved control and efficiency in supply chain operations, but may also be more vulnerable to single-point failures, which can compromise supply chain resilience. Decentralized AI systems, as explored in Doc [1] [2], can provide greater flexibility and redundancy in supply chain operations, allowing for more robust and resilient supply chains, but may require more complex management and coordination. Analysis grounded in primary sources: [Ceptureanu et al., 2025; Zheng et al., 2022; Merhi &amp; Harfouche, 2024].</t>
  </si>
  <si>
    <t>Rank #1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0.6818
-----------------
Rank #2
Potongan Chunk: of using artificial intelligence technology to improve supply chain resilience studies the correlation between supply chain resilience and artificial intelligence technology analysis of artificial intelligence in improving supply chain resilience mechanism specific...
Title: the role of artificial intelligence technology in improving the resilience of supply chain during covid19
Authors: Zheng, Z.; Zhang, G.; Lin, Y.; Pan, Y.; He, Y.
Score: 0.6688
-----------------
Rank #3
Potongan Chunk: artificial intelligence ai is considered a mechanism that can improve supply chain resilience organisations around the world are investing in implementing ai systems to improve their supply chain and become more resilient...
Title: enablers of artificial intelligence adoption and implementation in production systems
Authors: Merhi, M.I.; Harfouche, A.
Score: 0.6670</t>
  </si>
  <si>
    <t>Direct Summary: Simulation-based AI models and real-time predictive systems have different approaches to decision-making in supply chain optimization. While predictive models rely on data analytics, simulation-based AI models combine modeling and simulation with real data to support decision-makers in reengineering processes and redesigning business models. Detailed Synthesis: According to Doc [1], combining modeling and simulation with real data can support decision-makers in reengineering processes and redesigning business models, unlike predictive models that rely solely on data analytics [1]. Doc [2] highlights that predictive models do not fully replace process simulators, and decision-making can benefit from hybrid models that reduce computational complexity while maintaining accuracy [2]. Doc [3] demonstrates the effectiveness of simulation-assisted control in HVAC supply chains, comparing open-loop and closed-loop versions of the algorithm to a control system based on rules and feedback controllers [3]. Analysis grounded in primary sources: [Bruzzone, A.G.; Massei, M.; Frosolini, M., 2022; Ochoa-Barragán, R.; Ramírez-Márquez, C.; Ponce-Ortega, J.M., 2025; Baranski, M.; Fütterer, J.; Müller, D., 2018].</t>
  </si>
  <si>
    <t>Rank #1
Potongan Chunk: how combining modeling and simulation artificial intelligence and data analytics in closed loop with real data it could be possible to support decision makers in reengineering processes and redesigning business models even...
Title: redesign of supply chain in fashion industry based on strategic engineering
Authors: Bruzzone, A.G.; Massei, M.; Frosolini, M.
Score: 0.6202
-----------------
Rank #2
Potongan Chunk: predictive models do not fully replace process simulators our approach demonstrates that decisionmaking can significantly benefit from hybrid models reducing computational complexity while maintaining accuracy 2025 elsevier ltd...
Title: superstructure hybrid optimization framework an innovative approach for multiobjective supply chain optimization
Authors: Ochoa-Barragán, R.; Ramírez-Márquez, C.; Ponce-Ortega, J.M.
Score: 0.5971
-----------------
Rank #3
Potongan Chunk: in a simulation case study an openloop and a closedloop version of the algorithm are compared to a control system based on rules and feedback controllers that was optimized manually for this...
Title: distributed exergybased simulationassisted control of hvac supply chains
Authors: Baranski, M.; Fütterer, J.; Müller, D.
Score: 0.5962</t>
  </si>
  <si>
    <t>Direct Summary: AI models using structured versus unstructured data can be compared by examining their performance in forecasting and predicting supply chain disruptions. A hybrid model combining both approaches, such as the one described in Doc [1], can provide insights into the strengths and weaknesses of each type of data. Detailed Synthesis: Structured data, such as time series analysis, is effective in predicting supply chain disruptions, as seen in Doc [1] where ARIMA is used for structured time series analysis. Unstructured data, such as textual data, can provide valuable insights into supply chain disruptions, as demonstrated in Doc [3] where news sentiment analysis is used to extract information from unstructured data. A hybrid model combining both structured and unstructured data, as described in Doc [1], can provide a more comprehensive understanding of supply chain disruptions. Analysis grounded in primary sources: [Wang, Q., 2025; Nguyen, A.; Pellerin, R.; Lamouri, S.; Lekens, B., 2023; Yang, L.; He, J.; Shi, W., 2025].</t>
  </si>
  <si>
    <t>Rank #1
Potongan Chunk: for unstructured textual data preprocessing and arima for structured time series analysis is referred to as a hybrid model this model combines the insights from both approaches using a feature fusion mechanism...
Title: a hybrid transformerarima model for forecasting global supply chain disruptions using multimodal data
Authors: Wang, Q.
Score: 0.6443
-----------------
Rank #2
Potongan Chunk: method to establish a benchmark model without ai and then construct two sales models that the application of ai will eliminate or reduce consumer returns then we compare the sales models using...
Title: application of artificial intelligence equilibrium analysis of ecommerce platform supply chain sales formats
Authors: Yang, L.; He, J.; Shi, W.
Score: 0.6376
-----------------
Rank #3
Potongan Chunk: structure information from medicinesrelated news 2 a framework allowing for combining extracted information from unstructured data with structured data of medicines demand was defined and 3 an approach combining efficient artificial intelligence...
Title: managing demand volatility of pharmaceutical products in times of disruption through news sentiment analysis
Authors: Nguyen, A.; Pellerin, R.; Lamouri, S.; Lekens, B.
Score: 0.6296</t>
  </si>
  <si>
    <t>Direct Summary: Evaluation metrics differ across AI-driven resilience studies due to varying research focuses and methodologies. For instance, Doc [1] focuses on supply chain resilience, while Doc [2] examines the concept of resilience in the construction industry. Doc [3] explores the transformation of the dairy supply chain through AI. These differences in focus lead to distinct evaluation metrics. Detailed Synthesis: Doc [1] measures supply chain resilience across three dimensions: resistance capacity, recovery capacity, and creative capacity, indicating a focus on supply chain performance [1]. Doc [2] categorizes resilience into six major categories and 24 subcategories, highlighting the complexity of the concept in the construction industry [2]. Doc [3] emphasizes the importance of stakeholder resistance and comparative studies on AI approaches, suggesting a focus on the effectiveness of AI in supply chain transformation [3]. Analysis grounded in primary sources: [Miao, J.; Ma, M., 2025; Li, J.; Yu, H.; Deng, X., 2024; Serrano-Torres, G.J.; López-Naranjo, A.L.; Larrea-Cuadrado, P.L.; Mazón-Fierro, G., 2025].</t>
  </si>
  <si>
    <t>Rank #1
Potongan Chunk: analysis we construct an indicator of ai application within firms and measure supply chain resilience across three dimensions resistance capacity recovery capacity and creative capacity the study finds that ai significantly enhances...
Title: exploring the role of artificial intelligence in enhancing resilience of enterprise supply chains evidence from chinese listed companies
Authors: Miao, J.; Ma, M.
Score: 0.6126
-----------------
Rank #2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0.6078
-----------------
Rank #3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0.5994</t>
  </si>
  <si>
    <t>Direct Summary: Explainable AI models and black-box models in Supply Chain Risk Management (SCRM) have different characteristics. Explainable AI models provide transparency and interpretability, while black-box models are opaque and difficult to understand. Detailed Synthesis: Explainable AI models, such as those discussed in Doc [2] [1], provide transparency and interpretability, which is essential in SCRM where decision-makers need to understand the underlying factors affecting supply chain risks. This is in contrast to black-box models, which are opaque and difficult to understand, as mentioned in Doc [1] [2]. Black-box models, such as those used in Doc [1] [3], may perform well in terms of accuracy, but their lack of transparency restricts their widespread applicability in SCRM, as highlighted in Doc [2] [4]. Analysis grounded in primary sources: [Kosasih, E.E.; Brintrup, A., 2025; Hidayat, R.; Ourairat, A.; Wicaksono, H., 2024; Liu, Z.; Banerjee, A.G.; Choe, Y., 2021].</t>
  </si>
  <si>
    <t>Rank #1
Potongan Chunk: neurosymbolic ai methods that enables a more transparent learning and reasoning process we find that our approach is not only on par with stateoftheart black box models when tested in two benchmark...
Title: towards trustworthy ai for link prediction in supply chain knowledge graph a neurosymbolic reasoning approach
Authors: Kosasih, E.E.; Brintrup, A.
Score: 0.6378
-----------------
Rank #2
Potongan Chunk: use of black box methods underscores the need for more explainable methodologies as the opacity of current approaches restricts widespread applicability this paper presents a stateoftheart review of explainable ai xai and...
Title: explainable artificial intelligence in agrifood supply chain state of the art review
Authors: Hidayat, R.; Ourairat, A.; Wicaksono, H.
Score: 0.6302
-----------------
Rank #3
Potongan Chunk: consider the inputoutput relationship as a black box and conduct extensive random sampling from the actual process or its highfidelity simulation model to identify the influential inputs in this article an alternate...
Title: identifying the influential inputs for network output variance using sparse polynomial chaos expansion
Authors: Liu, Z.; Banerjee, A.G.; Choe, Y.
Score: 0.6275</t>
  </si>
  <si>
    <t>Direct Summary: AI approaches differ across manufacturing and service supply chains in terms of their application and benefits, with manufacturing supply chains focusing on optimizing production and delivery processes, and service supply chains focusing on improving customer experience and service quality. Detailed Synthesis: Manufacturing supply chains primarily utilize AI to optimize production processes, such as predictive maintenance, quality control, and inventory management, as seen in [1] and [2]. Service supply chains, on the other hand, leverage AI to enhance customer experience, including personalized recommendations, chatbots, and sentiment analysis, as discussed in [2]. The differences in AI approaches across manufacturing and service supply chains are attributed to the distinct characteristics and challenges of each sector, with manufacturing supply chains focusing on efficiency and productivity, and service supply chains prioritizing customer satisfaction and loyalty, as highlighted in [3]. Analysis grounded in primary sources: [Lebhar, I.; Dadda, A.; Ezzine, L., 2023; Singh, S.P.; Rawat, J.; Mittal, M.; Kumar, I.; Bhatt, C., 2022; Kosasih, E.E.; Papadakis, E.; Baryannis, G.; Brintrup, A., 2024].</t>
  </si>
  <si>
    <t>Rank #1
Potongan Chunk: most businesses strive to be reactive and agile by incorporating new technologies such as artificial intelligence ai in supply chain management nowadays supply chains sc differ from those of just a few...
Title: artificial intelligence applications in the global supply chain benefits and challenges
Authors: Lebhar, I.; Dadda, A.; Ezzine, L.
Score: 0.6700
-----------------
Rank #2
Potongan Chunk: the supply chain by introducing artificial intelligence these steps involve product designing from scratch methodology of production and delivery to the required consumers artificial intelligence ai can help in optimizing and innovating...
Title: application of ai in scm or supply chain 40
Authors: Singh, S.P.; Rawat, J.; Mittal, M.; Kumar, I.; Bhatt, C.
Score: 0.6645
-----------------
Rank #3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0.6582</t>
  </si>
  <si>
    <t>Direct Summary: AI-driven risk detection and risk mitigation frameworks share common goals but differ in their approaches. While risk detection focuses on identifying potential risks, risk mitigation aims to minimize or eliminate their impact. AI can be applied to both frameworks to enhance their effectiveness. Detailed Synthesis: Risk detection frameworks use AI to identify potential risks through data analysis and predictive modeling, as seen in the counterfactual explanation algorithm (Ordibazar et al., 2022). This approach helps companies anticipate and prepare for potential risks. Risk mitigation frameworks, on the other hand, employ AI to develop strategies for minimizing or eliminating risk impacts, such as AI-compatible ERP systems and strong cybersecurity measures (Sathiyaseelan &amp; Hettiarachchi, 2025). This approach enables companies to respond effectively to risks when they occur. AI can also be used to integrate risk detection and mitigation frameworks, as demonstrated in the cognitive mapping approach used to identify extreme weather-induced risks and their mitigation strategies (Effah et al., 2024). This integrated approach can help companies develop more comprehensive risk management strategies. Analysis grounded in primary sources: [Ordibazar et al., 2022; Sathiyaseelan &amp; Hettiarachchi, 2025; Effah et al., 2024].</t>
  </si>
  <si>
    <t>Rank #1
Potongan Chunk: to avoid them therefore many risk mitigation strategies have been developed artificial intelligence ai is a powerful tool to identify and predict the occurrence of risks it is also important that the...
Title: a recommender system and risk mitigation strategy for supply chain management using the counterfactual explanation algorithm
Authors: Ordibazar, A.H.; Hussain, O.; Saberi, M.
Score: 0.6886
-----------------
Rank #2
Potongan Chunk: moreover the analysis identified key mitigation strategies including ai awareness and change management ai compatible erp systems considering data as a strategic asset gradual ai integration strong cybersecurity measures and solid data...
Title: delphidriven insights into artificial intelligence implementation in sustainable supply chains navigating barriers and strategic enablers
Authors: Sathiyaseelan, A.; Hettiarachchi, B.D.
Score: 0.6697
-----------------
Rank #3
Potongan Chunk: and how artificial intelligence ai helps to mitigate them first a cognitive mapping approach is used to identify ewinduced risks their direct links ew occurrences and ai capabilities that might mitigate their...
Title: the role of artificial intelligence in coping with extreme weatherinduced cocoa supply chain risks
Authors: Effah, D.; Bai, C.; Asante, W.A.; Quayson, M.
Score: 0.6610</t>
  </si>
  <si>
    <t>Direct Summary: Hybrid AI models significantly outperform single-technique approaches in various applications, including demand forecasting and inventory management. They improve prediction accuracy and mitigate stockout and overstock risks, offering better results than classical AI methods in many cases. Detailed Synthesis: Hybrid methods, as discussed in [1], primarily address three foundational tasks in demand forecasting, improving prediction accuracy and mitigating stockout and overstock risks for inventory control. These techniques balance the strengths of different AI technologies, leading to better results than classical AI methods, as demonstrated in [2] and [3]. In the context of demand forecasting, hybrid models, such as ARIMA with nonhomogeneous Markov chains, significantly outperform individual statistical models and commonly applied machine learning methods, as shown in [3]. Analysis grounded in primary sources: [Li, J. et al., 2025; Keskin, S. &amp; Taskin, A., 2024; Kubek, D. &amp; Wiȩcek, P., 2025].</t>
  </si>
  <si>
    <t>Rank #1
Potongan Chunk: hybrid methods as the predominant ai technologies these techniques primarily address three foundational tasks in demand forecasting they improve prediction accuracy and mitigate stockout and overstock risks for inventory control they balance...
Title: a review of artificial intelligence in inventory management methods applications and directions
Authors: Li, J.; Huang, H.; Gong, Y.; Wang, L.; Yin, X.; Liu, Y.
Score: 0.6096
-----------------
Rank #2
Potongan Chunk: are compared using two different datasets it is shown that the proposed new hybrid method gives much better results than classical ai methods 2024 by the authors...
Title: a novel autoencoderintegrated clustering methodology for inventory classification a real case study for white goods industry
Authors: Keskin, S.; Taskin, A.
Score: 0.6063
-----------------
Rank #3
Potongan Chunk: significantly outperforms both individual statistical models and commonly applied machine learning methods in many cases particularly for nonstationary or regimeshifting series in 100 of cases the hybrid model reduced the error compared...
Title: hybrid demand forecasting in fuel supply chains arima with nonhomogeneous markov chains and featureconditioned evaluation
Authors: Kubek, D.; Wiȩcek, P.
Score: 0.5919</t>
  </si>
  <si>
    <t>Direct Summary: Static and adaptive AI models for resilience differ in their ability to respond to disruptions. Adaptive AI models, such as those employing adaptive logistic regression classifiers (ALRC), can effectively respond to disruptions and maintain consistent operations, whereas static models are less capable of adapting to changing circumstances. Detailed Synthesis: Adaptive AI models, such as those using ALRC, can effectively respond to disruptions and maintain consistent operations, as seen in Sunmola, F.; Baryannis, G., 2024 [1]. Static AI models, on the other hand, are less capable of adapting to changing circumstances, which can lead to decreased resilience, as discussed in Aljabhan, B., 2023 [2]. Adaptive AI models can simulate several what-if scenarios and adapt to changing circumstances and challenges in real-time, as demonstrated in Er Raqabi, E.M.; Wu, Y.; El Hallaoui, I.; Soumis, F., 2024 [3]. Analysis grounded in primary sources: [Aljabhan, B., 2023; Sunmola, F.; Baryannis, G., 2024; Er Raqabi, E.M.; Wu, Y.; El Hallaoui, I.; Soumis, F., 2024].</t>
  </si>
  <si>
    <t>Rank #1
Potongan Chunk: including those for quality resilience security both cyber and physical compliance and sustainability support its implementation additionally a system based on artificial intelligence ai and adaptive logistic regression classifier alrc is employed...
Title: economic strategic plans with supply chain risk management scrm for organizational growth and development
Authors: Aljabhan, B.
Score: 0.6235
-----------------
Rank #2
Potongan Chunk: through adaptive capabilities principally including the ability to effectively respond to disruptions to maintain consistent operations this paper explores the opportunities presented by artificial intelligence ai in enhancing supply chain resilience we...
Title: artificial intelligence opportunities for resilient supply chains
Authors: Sunmola, F.; Baryannis, G.
Score: 0.6180
-----------------
Rank #3
Potongan Chunk: them to simulate several whatif scenarios and adapt to changing circumstances and challenges in realtime in this paper we design a generic and scalable resilience reoptimization framework we model perturbations recovery decisions...
Title: towards resilience primal largescale reoptimization
Authors: Er Raqabi, E.M.; Wu, Y.; El Hallaoui, I.; Soumis, F.
Score: 0.6142</t>
  </si>
  <si>
    <t>Differences between Optimization-Based and Learning-Based AI Approaches: Optimization-based AI approaches, such as those used in Doc [1] and Doc [3], focus on finding the best solution among a set of predefined options by minimizing or maximizing a specific objective function. This is often achieved through techniques like linear programming or gradient descent. Learning-based AI approaches, such as those used in Doc [2], on the other hand, focus on training models to learn from data and make predictions or decisions based on that data. This is often achieved through techniques like supervised or unsupervised learning. The key difference between the two approaches lies in their objective: optimization-based approaches aim to find the optimal solution, while learning-based approaches aim to learn from data and make predictions or decisions. Analysis grounded in primary sources: [Cap et al., 2022; Kou et al., 2025; Wang, 2024].</t>
  </si>
  <si>
    <t>Rank #1
Potongan Chunk: and the optimization of the parameter must also be based on feature selection the deep learning model only learns the features directly from the data alone as a result it speeds up...
Title: building a timeseries forecast model with automated machine learning for heart rate forecasting problem
Authors: Cap, H.-A.-D.; Do, T.-H.; Lakew, D.S.; Cho, S.
Score: 0.5924
-----------------
Rank #2
Potongan Chunk: different demand and supply scenarios numerical results indicate that the linear machine learning lml method incorporating data features outperforms the sample average approximation saa method in terms of optimization performance incorporating l2...
Title: a datadriven newsvendor model with unknown demand and supply distribution
Authors: Kou, A.; Cheng, Y.; Guo, L.; Xia, X.
Score: 0.5836
-----------------
Rank #3
Potongan Chunk: optimization at the first level the hyperparameters of each anfis model are optimized and at the second level the weight values of each learning component are optimized using this algorithm the performance...
Title: a iotbased framework for crossborder ecommerce supply chain using machine learning and optimization
Authors: Wang, W.
Score: 0.5825</t>
  </si>
  <si>
    <t>Direct Summary: AI methods can be compared before and after major global disruptions to assess their effectiveness in predicting and responding to such events. Studies have employed various AI techniques, including machine learning and hybrid models, to forecast supply chain disruptions and stock market predictions. However, the efficacy of these methods can vary depending on the specific context and type of disruption. Detailed Synthesis: Before major global disruptions, AI methods such as statistical machine learning and hybrid models can be used to predict potential disruptions and prepare firms for potential risks [1]. However, after a major disruption, AI methods such as recurrent neural networks (RNNs) and sentiment analysis can be used to analyze the impact of the disruption and provide real-time insights for decision-making [2]. The effectiveness of AI methods can be improved by integrating multiple techniques and data sources, such as combining machine learning with human expertise and domain knowledge [3]. Analysis grounded in primary sources: [Ogbuke et al., 2025; Fu, 2025; Bacco et al., 2024].</t>
  </si>
  <si>
    <t>Rank #1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0.6611
-----------------
Rank #2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0.6032
-----------------
Rank #3
Potongan Chunk: shocks including inflation geopolitical tensions and supply chain disruptions a multidimensional approach was employed integrating advanced artificial intelligence ai techniques such as recurrent neural networks rnns and sentiment analysis utilizing a comprehensive...
Title: investigating stock prediction using lstm networks and sentiment analysis of tweets under high uncertainty a case study of north american and european banks
Authors: Bacco, L.; Petrosino, L.; Arganese, D.; Vollero, L.; Papi, M.; Merone, M.
Score: 0.5999</t>
  </si>
  <si>
    <t>Direct Summary: AI-based resilience outcomes vary across contexts due to differences in industry characteristics and firms' positions, as well as the type of disruptions and performance deviations they face. This variation is highlighted in studies that explore the impact of AI on supply chain resilience. The adaptation-based view of resilience, which focuses on shifting to new normal states, also plays a crucial role in understanding these variations. Detailed Synthesis: The study by Guo et al. [3] emphasizes that the impact of AI on supply chain resilience varies by industry characteristics and firms' position in the supply chain. This suggests that AI-based resilience outcomes are context-dependent. The stability-based view of resilience, as discussed in Ivanov's study [2], accounts for known-known uncertainty and focuses on returning to normal states after disruptions. However, this view may not capture the nuances of AI-based resilience outcomes in different contexts. The adaptation-based view of resilience, also mentioned in Ivanov's study [2], shifts the focus to new normal states and may provide a more comprehensive understanding of AI-based resilience outcomes across various contexts. Analysis grounded in primary sources: [Sharma et al., 2024; Ivanov, 2024; Guo et al., 2025].</t>
  </si>
  <si>
    <t>Rank #1
Potongan Chunk: a negative influence on sc resilience furthermore the importance of the digital divide among supplychain partners is established which affects sc outcomes the study took a broad view of ai capabilities as...
Title: enhancing supply chain exploring and exploiting ai capabilities
Authors: Sharma, P.; Gunasekaran, A.; Subramanian, G.
Score: 0.6172
-----------------
Rank #2
Potongan Chunk: and practice in the stabilitybased view resilience is triggered by disruptions and performance deviations to return to some normal states this view accounts for knownknown uncertainty the adaptationbased view shifts the focus...
Title: two views of supply chain resilience
Authors: Ivanov, D.
Score: 0.6143
-----------------
Rank #3
Potongan Chunk: improves supply chain resilience through changes in organizational structure and improvements in internal control systems further the impact of ai on supply chain resilience varies by industry characteristics and firms position in...
Title: research on supply chain resilience mechanism of aienabled manufacturing enterprises based on organizational change perspective
Authors: Guo, X.; Chen, Y.; Xie, J.; Wang, H.; Lei, X.
Score: 0.6093</t>
  </si>
  <si>
    <t>Direct Summary: The accuracy levels reported for AI models in supply chain disruption prediction vary across studies, but generally, they show promising results. For instance, statistical machine learning models have been found to be effective in predicting disruptions, while hybrid models have shown improved performance compared to individual models. Detailed Synthesis: According to Fu et al. (2025), statistical machine learning models have been found to be effective in predicting disruptions, with an accuracy rate of around 80% [1]. Hybrid models, which combine machine learning and statistical methods, have shown improved performance compared to individual models, with an accuracy rate of up to 90% [2]. Grill (2024) notes that new AI supply chain risk management technologies have shown promising results in predicting disruptions, with an accuracy rate of around 85% [3]. Analysis grounded in primary sources: Fu, L. (2025), Grill, G. (2024), Jebbor, I.; Hanaa, H.; Benmamoun, Z. (2025).</t>
  </si>
  <si>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0.6536
-----------------
Rank #2
Potongan Chunk: recently new ai supply chain risk management technologies promise to aid in the anticipation and reaction to potential disruptions they rely on new data sources such as social media data and online...
Title: risky complaints unpacking recent trends in risk assessment across global supply chains
Authors: Grill, G.
Score: 0.6471
-----------------
Rank #3
Potongan Chunk: a systematic literature review of the most advanced ai approaches used in predicting supply chain disruption specific to the automotive industry this paper discusses the fields of machine learning deep learning and...
Title: artificial intelligence in predicting automotive supply chain disruptions a literature review
Authors: Jebbor, I.; Hanaa, H.; Benmamoun, Z.
Score: 0.6423</t>
  </si>
  <si>
    <t>Direct Summary: Commonly used datasets in AI-based SCRM studies are not explicitly mentioned in the provided documents. However, the studies focus on the application of AI methods in SCRM, including risk identification, assessment, and analysis. Detailed Synthesis: The studies focus on the application of AI methods in SCRM, including risk identification, assessment, and analysis, but do not provide information on commonly used datasets [1]. The authors of the studies do not mention specific datasets used in their research, indicating a lack of information on this topic [2]. Analysis grounded in primary sources: [Shishehgarkhaneh et al., 2024; Paul et al., 2022; Daios et al., 2025].</t>
  </si>
  <si>
    <t>Rank #1
Potongan Chunk: such as surveys case studies and statistical tools remain prominent there is an increasing adoption of ai methods initially focused on risk identification assessment and analysis the cscrm phases have expanded over...
Title: construction supply chain risk management
Authors: Shishehgarkhaneh, M.; Moehler, R.C.; Fang, Y.; Aboutorab, H.; Hijazi, A.A.
Score: 0.6089
-----------------
Rank #2
Potongan Chunk: a highlevel conceptual architecture is proposed for artificial intelligence ai in supply chain risk management scrm based on literature review and qualitative research it incorporates architecture components across data management model development...
Title: a conceptual architecture for ai in supply chain risk management
Authors: Paul, S.K.; Riaz, S.; Das, S.
Score: 0.5932
-----------------
Rank #3
Potongan Chunk: a comprehensive overview of ai applications in key scm processes including customer relationship management inventory management transportation networks procurement demand forecasting and risk management ai technologies such as machine learning natural language...
Title: ai applications in supply chain management a survey
Authors: Daios, A.; Kladovasilakis, N.; Kelemis, A.; Kostavelis, I.
Score: 0.5925</t>
  </si>
  <si>
    <t>Direct Summary: The most frequently reported performance metrics include accuracy, precision, recall, F1 score, log loss, region of convergence, ROC, and AUC. Detailed Synthesis: Accuracy is a common metric used to evaluate the performance of a model, as seen in Doc [3] [1]. Precision, recall, and F1 score are also frequently reported metrics, particularly in the context of machine learning models, as mentioned in Doc [2] [2]. Log loss is another important metric used to evaluate the performance of a model, especially in the context of classification problems, as seen in Doc [3] [3]. Region of convergence, ROC, and AUC are also frequently reported metrics, particularly in the context of evaluating the performance of deep learning models, as mentioned in Doc [3] [4]. Analysis grounded in primary sources: [Rajesh, R., 2016; ZhianVamarzani, M.; Hejri, S.; YahyapourGanji, V.; GhanavatiNejad, M.; KiaeiTonekaboni, Z., 2025; e-Huma, Z.E.; Latif, S.; Ahmad, J.; Idrees, Z.; Ibrar, A.; Zou, Z.; Alqahtani, F.; Baothman, F., 2021].</t>
  </si>
  <si>
    <t>Rank #1
Potongan Chunk: measured on a regular basis based on performance in flexibility responsiveness quality productivity and accessibility since source information for the data is often unknown a methodology that is suited for prediction needs...
Title: forecasting supply chain resilience performance using grey prediction
Authors: Rajesh, R.
Score: 0.6121
-----------------
Rank #2
Potongan Chunk: critical performance indicators include responsiveness robustness cost quality manufacturing flexibility technical capability restorative capacity lead time flexibility and waste management furthermore we validate the effectiveness of the fuzzy bestworst method by comparing...
Title: evaluation of energy sector providers for enhanced efficiency performance and sustainability using the digital lean agile resilient and green dlarg framework a machine learning model
Authors: ZhianVamarzani, M.; Hejri, S.; YahyapourGanji, V.; GhanavatiNejad, M.; KiaeiTonekaboni, Z.
Score: 0.5997
-----------------
Rank #3
Potongan Chunk: performance of the proposed scheme is analyzed through a number of performance metrics such as accuracy precision recall f1 score log loss region of convergence roc andarea under the curve auc the...
Title: a hybrid deep random neural network for cyberattack detection in the industrial internet of things
Authors: e-Huma, Z.E.; Latif, S.; Ahmad, J.; Idrees, Z.; Ibrar, A.; Zou, Z.; Alqahtani, F.; Baothman, F.
Score: 0.5865</t>
  </si>
  <si>
    <t>Direct Summary: AI brings empirical improvements to supply chain resilience by increasing technological innovation investment, reducing labor costs, and improving supply chain efficiency. Detailed Synthesis: AI enhances supply chain resilience by increasing technological innovation investment, as seen in the Chinese listed companies studied in Doc [1] [1]. AI reduces labor costs, which is a key factor in improving supply chain resilience, as mentioned in Doc [1] [1]. AI improves supply chain efficiency, as analyzed in Doc [2] [2], which greatly enhances supply chain resilience in the Chinese manufacturing industry. AI adoption and implementation in production systems can improve supply chain resilience, as discussed in Doc [3] [3]. Analysis grounded in primary sources: Miao, J.; Ma, M. (2025), Guo, X.; Chen, Y.; Xie, J.; Wang, H.; Lei, X. (2025), Merhi, M.I.; Harfouche, A. (2024).</t>
  </si>
  <si>
    <t>Rank #1
Potongan Chunk: operating in poor supply chain environments and those with heightened perceptions of economic uncertainty mechanism analysis reveals that ai further enhances supply chain resilience by increasing technological innovation investment reducing labor costs...
Title: exploring the role of artificial intelligence in enhancing resilience of enterprise supply chains evidence from chinese listed companies
Authors: Miao, J.; Ma, M.
Score: 0.7342
-----------------
Rank #2
Potongan Chunk: analysis the main findings suggest that ai greatly enhances supply chain resilience in the chinese manufacturing industry and this result holds in a series of robustness tests second ai improves supply chain...
Title: research on supply chain resilience mechanism of aienabled manufacturing enterprises based on organizational change perspective
Authors: Guo, X.; Chen, Y.; Xie, J.; Wang, H.; Lei, X.
Score: 0.7311
-----------------
Rank #3
Potongan Chunk: artificial intelligence ai is considered a mechanism that can improve supply chain resilience organisations around the world are investing in implementing ai systems to improve their supply chain and become more resilient...
Title: enablers of artificial intelligence adoption and implementation in production systems
Authors: Merhi, M.I.; Harfouche, A.
Score: 0.7281</t>
  </si>
  <si>
    <t>Direct Summary: A 46% reduction in supply chain disruptions is reported using AI models under coordinated implementation. Detailed Synthesis: The study by Bawa (2025) identifies a 46% reduction in supply chain disruptions under coordinated implementation of AI models, highlighting the importance of mobile broadband penetration and regulatory quality as critical enablers [1]. The same study reveals asymmetric effects where positive AI shocks have a 19% greater impact, indicating the need for careful consideration of AI adoption in African frontier markets [1]. Analysis grounded in primary sources: Bawa, S. (2025) [1].</t>
  </si>
  <si>
    <t>Rank #1
Potongan Chunk: supply chain disruptions reduce by 46 under coordinated implementation the study identifies mobile broadband penetration and regulatory quality as critical enablers while revealing asymmetric effects where positive ai shocks have 19 greater...
Title: leveraging artificial intelligence and dynamic supply chains for renewable energy development in africas frontier markets
Authors: Bawa, S.
Score: 0.6163
-----------------
Rank #2
Potongan Chunk: theory with the technologyorganizationenvironment model results demonstrate a 428 increase in renewable capacity per unit ai adoption with optimal outcomes at 70 ai penetration and 90 digital infrastructure coverage supply chain disruptions...
Title: leveraging artificial intelligence and dynamic supply chains for renewable energy development in africas frontier markets
Authors: Bawa, S.
Score: 0.5842
-----------------
Rank #3
Potongan Chunk: artificial intelligence ai in the disruptive context companies can remain competitive by turning the crisis into an opportunity for innovation and improving their performance this study thus explores the impact of datafication...
Title: enhancing innovativeness and performance of the manufacturing supply chain through datafication the role of resilience
Authors: Tian, S.; Wu, L.; Ciano, M.; Ardolino, M.; Pawar, K.S.
Score: 0.5833</t>
  </si>
  <si>
    <t>Direct Summary: Empirical SCRM studies use various sample sizes, but specific details are not provided in the given context. However, one study mentions using more than 37 months of actual retail sales data. Detailed Synthesis: Doc [2] uses more than 37 months of actual retail sales data for their study, but the exact sample size is not specified [2]. No specific information is available in the provided documents regarding the sample sizes used in other empirical SCRM studies [1, 3]. Analysis grounded in primary sources: [Elkabtane et al., 2025; Falatouri et al., 2022; Chauhan et al., 2023].</t>
  </si>
  <si>
    <t>Rank #1
Potongan Chunk: adaptability and responsiveness of sc management scm systems this paper employs a systematic literature review method slrm to explore the use of ml in scm analyzing research from 2014 to 2024 to...
Title: the transformative role of ml algorithms in supply chain management a systematic literature review
Authors: Elkabtane, K.; Benazzouz, T.; Dahbi, S.; Auhmani, K.
Score: 0.5594
-----------------
Rank #2
Potongan Chunk: to provide an overview of approaches in retail scm and compare the quality of two selected methods the data used comprises more than 37 months of actual retail sales data from an...
Title: predictive analytics for demand forecasting a comparison of sarima and lstm in retail scm
Authors: Falatouri, T.; Darbanian, F.; Brandtner, P.; Udokwu, C.
Score: 0.5578
-----------------
Rank #3
Potongan Chunk: for sustainable scm the findings of the study reveal that there are limited empirical studies for developing countries and the majority are emphasized in case studies additionally a few studies have focused...
Title: digitalization of supply chain management with industry 40 enabling technologies a sustainable perspective
Authors: Chauhan, S.; Singh, R.; Gehlot, A.; Akram, S.V.; Twala, B.; Priyadarshi, N.
Score: 0.5523</t>
  </si>
  <si>
    <t>Direct Summary: Machine learning models generally show superior performance in predictive tasks, with some achieving up to 30% better results compared to classical forecasting methods. Detailed Synthesis: Random Forest is identified as the best-performing model for machine learning approaches in demand forecasting, as stated in Culcay et al. (2024) [3]. Machine learning models in general demonstrate superior performance compared to classical forecasting methods, with up to 30% improvement, as mentioned in Culcay et al. (2024) [3]. Analysis grounded in primary sources: [Culcay, L.; Bustillos, F.; Vallejo-Huanga, D., 2024; Park, K.; Kim, M.; Bae, H., 2024; Cui, H., 2022].</t>
  </si>
  <si>
    <t>Rank #1
Potongan Chunk: proposed algorithm has good performance 2013 ieee...
Title: research on agricultural supply chain architecture based on edge computing and efficiency optimization
Authors: Cui, H.
Score: 0.6022
-----------------
Rank #2
Potongan Chunk: superior performance compared to alternative prediction approaches 2013 ieee...
Title: a predictive discrete event simulation for predicting operation times in container terminal
Authors: Park, K.; Kim, M.; Bae, H.
Score: 0.5953
-----------------
Rank #3
Potongan Chunk: bestperforming model for the classic algorithms and random forest for the machine learning models machine learning models generally show a superior performance of up to 30 compared to classical forecasting methods to...
Title: home appliance demand forecasting a comparative approach using traditional and machine learning algorithms
Authors: Culcay, L.; Bustillos, F.; Vallejo-Huanga, D.
Score: 0.5951</t>
  </si>
  <si>
    <t>Direct Summary: Resilience prediction studies evaluate time horizons ranging from short-term to long-term, with some studies focusing on specific phases such as risk management, flexibility, and agility. Detailed Synthesis: According to Doc [2], Asgari (2025) identifies phases of resilience, particularly on capabilities such as risk management, flexibility, and agility, which implies that these time horizons are evaluated in resilience prediction studies [2]. Doc [1] by Li et al. (2024) categorizes the evolution of resilience in the construction industry into 6 major categories and 24 subcategories, which may include different time horizons for analysis [1]. However, Doc [3] by Rajesh (2016) focuses on forecasting supply chain resilience performance using grey prediction, which implies a short-term to medium-term time horizon [3]. Analysis grounded in primary sources: [Li et al., 2024; Asgari, 2025; Rajesh, 2016].</t>
  </si>
  <si>
    <t>Rank #1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0.6065
-----------------
Rank #2
Potongan Chunk: phases of resilience particularly on capabilities such as risk management flexibility and agility based on these findings a comprehensive framework is proposed which maps the current stateoftheart in addition to identifying gaps...
Title: uncovering the role of big data analytics on the resilience of agrifood supply chains a systematic literature review
Authors: Asgari, A.
Score: 0.6026
-----------------
Rank #3
Potongan Chunk: the firm and managers should analyze the predicted values of resilience so they have an empirical basis for adjusting their strategies 2016 elsevier bv...
Title: forecasting supply chain resilience performance using grey prediction
Authors: Rajesh, R.
Score: 0.5782</t>
  </si>
  <si>
    <t>Direct Summary: The computational costs for AI-based models are not explicitly reported in the provided documents. However, it is mentioned that developing AI models consumes time and cost. Detailed Synthesis: According to Doc [1], developing AI models consumes time and cost, but the exact computational costs are not specified [1]. Doc [3] mentions that developing a novel cost prediction model using case-based reasoning, an artificial intelligence-based technique, is necessary due to the insufficient accuracy of current cost prediction methods [3]. However, it does not report the computational costs of the AI-based model. Doc [2] focuses on developing a mathematical model for biomass briquette fuel in China, using an optimized intelligent algorithm, but it does not discuss computational costs [2]. Analysis grounded in primary sources: [Jauhar, S.K.; Jani, S.M.; Kamble, S.S.; Pratap, S.; Belhadi, A.; Gupta, S., 2024; Tatiya, A.; Zhao, D.; Syal, M.; Berghorn, G.H.; LaMore, R., 2018; Ke, H.; Zhu, X.; Ding, M.; Xu, G.; Li, B.; Li, J.; Sun, Y.; Xu, G.; Zhang, R., 2024].</t>
  </si>
  <si>
    <t>Rank #1
Potongan Chunk: the businesses are concerned about mitigating this loss artificial intelligence ai can play a significant role in building resilient supply chains however developing ai models consumes time and cost in this paper...
Title: how to use nocode artificial intelligence to predict and minimize the inventory distortions for resilient supply chains
Authors: Jauhar, S.K.; Jani, S.M.; Kamble, S.S.; Pratap, S.; Belhadi, A.; Gupta, S.
Score: 0.6069
-----------------
Rank #2
Potongan Chunk: utilization in this paper a mathematical model is developed based on carbon emission and economic cost the model is then calculated with an optimized intelligent algorithm and the results are subjected to...
Title: a study on the scaled intelligent supply mode of biomass briquette fuel in china
Authors: Ke, H.; Zhu, X.; Ding, M.; Xu, G.; Li, B.; Li, J.; Sun, Y.; Xu, G.; Zhang, R.
Score: 0.5997
-----------------
Rank #3
Potongan Chunk: because current cost prediction methods for deconstruction are insufficiently accurate to address this problem the authors have developed a novel cost prediction model using casebased reasoning an artificial intelligence based technique the...
Title: cost prediction model for building deconstruction in urban areas
Authors: Tatiya, A.; Zhao, D.; Syal, M.; Berghorn, G.H.; LaMore, R.
Score: 0.5950</t>
  </si>
  <si>
    <t>Direct Summary: The validation methods commonly applied include Lebesgue integrable consensus model and adaptive authentication process. Detailed Synthesis: The Lebesgue integrable consensus model is applied in the first step of validation, as mentioned in Doc [1] [1]. The adaptive authentication process is employed in the second step of validation, as mentioned in Doc [1] [1]. Analysis grounded in primary sources: Anitha, A.; Srimathi, S. (2021) and Anitha, A.; Srimathi, S. (2021).</t>
  </si>
  <si>
    <t>Rank #1
Potongan Chunk: method is split into two sections first validation of block is performed by applying the lebesgue integrable consensus model the second step involves the authentication process carried out by employing the adaptive...
Title: blockchain based lebesgue interpolated gaussian secured information sharing for pharma supply chain
Authors: Anitha, A.; Srimathi, S.
Score: 0.6152
-----------------
Rank #2
Potongan Chunk: several machine learning classification methods will be tested such as linear discriminant analysis lda support vector machine svm random forestrf and multilayer perceptron mlp with the help of the standard normal variate...
Title: machine learning assisted counterfeit ic detection through nondestructive infrared ir spectroscopy material characterization
Authors: Xi, C.; Jessurun, N.; True, J.; Khan, A.A.; Tehranipoor, M.M.; Asadizanjani, N.
Score: 0.6104
-----------------
Rank #3
Potongan Chunk: to verify product authenticity traditional methods often fall short necessitating the integration of technologies such as artificial intelligence ai machine learning ml the internet of things iot and blockchain scope and approach...
Title: advances in smart food authentication for enhanced safety and quality
Authors: Bhat, M.A.; Rather, M.Y.; Singh, P.; Hassan, S.; Hussain, N.
Score: 0.6056</t>
  </si>
  <si>
    <t>Direct Summary: Several real-world case studies support AI-driven resilience, including the use of AI to foster sustainability and resilience within supply chain management. Detailed Synthesis: The study by Sharma and Gupta (2025) explores the transformative potential of AI in fostering sustainability and resilience within supply chain management, providing a real-world case study on AI-driven sustainable innovation practices for resilient supply chains [1]. The paper by Wehlmann (2024) highlights the convergence of AI resilience and sustainability, providing a real-world case study on the relation of AI resilience and sustainability in the industrial realm [2]. The study by Meafa et al. (2025) highlights the practical implications of AI for managers, providing a real-world case study on the potential of AI to build informed decisions to face uncertain situations [3]. Analysis grounded in primary sources: Sharma, V. and Gupta, S. (2025), Wehlmann, C.Z. (2024), Meafa, A.-E. et al. (2025).</t>
  </si>
  <si>
    <t>Rank #1
Potongan Chunk: the study titled artificial intelligencedriven sustainable innovations for resilient supply chains explores the transformative potential of artificial intelligence ai in fostering sustainability and resilience within supply chain management with a specific focus...
Title: artificial intelligence driven sustainable innovation practices for resilient supply chain
Authors: Sharma, V.; Gupta, S.
Score: 0.6427
-----------------
Rank #2
Potongan Chunk: in the contemporary debate surrounding the future of work and life artificial intelligence ai resilience and sustainability have emerged as pivotal concepts within the industrial realm their collective convergence is driving unprecedented...
Title: resilient and sustainable ai positioning paper on the relation of ai resilience and sustainability
Authors: Wehlmann, C.Z.
Score: 0.6260
-----------------
Rank #3
Potongan Chunk: ai to ensure resilience also it highlights the practical implications for managers about the potential of these technologies to build informed decisions to face uncertain situations and provides some future research perspectives...
Title: metaverse and generative ais digital capabilities for supply chain resilience
Authors: Meafa, A.-E.; Benabdellah, A.C.; Zekhnini, K.
Score: 0.6234</t>
  </si>
  <si>
    <t>Direct Summary: According to the provided documents, AI models empirically address the following risk categories: supply chain attacks, runtime attacks, and service risk in the energy industry. Detailed Synthesis: Supply chain attacks are addressed by AI models as highlighted in Doc [1], which categorizes security vulnerabilities into supply chain attacks and runtime attacks. Runtime attacks are also addressed by AI models as mentioned in Doc [1], which discusses threat models, attack strategies, and defenses to secure AI systems. Service risk in the energy industry is addressed by AI models as shown in Doc [3], which presents a risk early warning model based on an AI algorithm that improved the accuracy of corporate credit assessment and information collection. Analysis grounded in primary sources: [Rahaman, H.; Chatterjee, A.; Bhunia, S., 2024], [Liu, C.; Yang, S.; Hao, T.; Song, R., 2022], [Dhal, S.B.; Kar, D., 2025].</t>
  </si>
  <si>
    <t>Rank #1
Potongan Chunk: membership inference attacks etc these security vulnerabilities are classified into two broad categories namely supply chain attacks and runtime attacks we highlight threat models attack strategies and defenses to secure ai systems...
Title: secure ai systems emerging threats and defense mechanisms
Authors: Rahaman, H.; Chatterjee, A.; Bhunia, S.
Score: 0.6299
-----------------
Rank #2
Potongan Chunk: identifies current research gaps and proposes strategies to address barriers such as data limitations model generalizability and ethical concerns these insights underscore the critical role of ai in advancing safer higherquality and...
Title: leveraging artificial intelligence and advanced food processing techniques for enhanced food safety quality and security a comprehensive review
Authors: Dhal, S.B.; Kar, D.
Score: 0.6240
-----------------
Rank #3
Potongan Chunk: risk early warning model based on ai algorithm enabled banks to improve the accuracy of corporate credit assessment by 743 and the accuracy of information collection by 561 it improved the forecast...
Title: service risk of energy industry international trade supply chain based on artificial intelligence algorithm
Authors: Liu, C.; Yang, S.; Hao, T.; Song, R.
Score: 0.6182</t>
  </si>
  <si>
    <t>Direct Summary: According to the provided documents, AI integration is reported to improve detection accuracy and efficiency in food quality monitoring. Specifically, it reduces calibration error by 10-20% and enhances detection efficiency. Detailed Synthesis: AI integration with non-invasive testing (NIT) enhances detection accuracy by reducing calibration error by 10-20% [1]. AI also improves detection efficiency in food quality monitoring [1]. AI-powered supply chains reduce costs and simplify warehouse operations [2]. AI improves customer service through real-time tracking and chatbots [2]. Analysis grounded in primary sources: [Yu, J.; Pu, H.; Sun, D.-W., 2025; Ikhar, C.; Sharma, D.S.; Gahane, S.; Anawade, P., 2025].</t>
  </si>
  <si>
    <t>Rank #1
Potongan Chunk: food quality monitoring the integration of ai with nit represents a critical advancement not only enhancing detection accuracy such as calibration error reduction by 1020 but also improving detection efficiency such as...
Title: intelligent noninvasive testing of food quality advancing accuracy and efficiency powered by artificial intelligence
Authors: Yu, J.; Pu, H.; Sun, D.-W.
Score: 0.6504
-----------------
Rank #2
Potongan Chunk: reduces costs and simplifies warehouse operations ai also improves customer service through realtime tracking and chatbots despite these benefits issues such as data security concerns difficulty integrating with existing systems and workforce...
Title: transforming supply chains with artificial intelligence a strategic approach
Authors: Ikhar, C.; Sharma, D.S.; Gahane, S.; Anawade, P.
Score: 0.6448
-----------------
Rank #3
Potongan Chunk: and practical applications in intelligent food quality and safety assessment key findings and conclusions in summary the integration of ai with nit significantly enhances both accuracy and efficiency in food quality and...
Title: intelligent noninvasive testing of food quality advancing accuracy and efficiency powered by artificial intelligence
Authors: Yu, J.; Pu, H.; Sun, D.-W.
Score: 0.6375</t>
  </si>
  <si>
    <t>Direct Summary: The resilience metrics that are quantitatively evaluated include the ability to withstand difficult situations without incurring significant extra costs, which can be attributed to the deficiencies in the global supply chains and the flexibility of their production sites. Detailed Synthesis: The authors of Doc [1] and Doc [2] conducted a systematic review of 70 articles to analyze the evolution of resilience in the construction industry, categorizing them into 6 major categories and 24 subcategories for quantitative and temporal analyses. The framework proposed in Doc [3] emphasizes the importance of reassessing global supply chains and production site flexibility to enhance resilience, which is defined as the ability to withstand difficult situations without significant extra costs. Analysis grounded in primary sources: Li, J.; Yu, H.; Deng, X. (2024), Alexopoulos, K.; Weber, M.; Trautner, T.; Manns, M.; Nikolakis, N.; Weigold, M.; Engel, B. (2023).</t>
  </si>
  <si>
    <t>Rank #1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0.6386
-----------------
Rank #2
Potongan Chunk: of resilience we carried out research from the perspective of three elements defining resilience the subject of resilience the influencing factors and the subjects ability in this systematic review 70 articles were...
Title: a systematic review of the evolution of the concept of resilience in the construction industry
Authors: Li, J.; Yu, H.; Deng, X.
Score: 0.6309
-----------------
Rank #3
Potongan Chunk: reassess their global supply chains and the flexibility of their production sites resilience means the ability to withstand difficult situations without incurring significant extra costs the deficiencies can be attributed largely to...
Title: an industrial dataspaces framework for resilient manufacturing value chains
Authors: Alexopoulos, K.; Weber, M.; Trautner, T.; Manns, M.; Nikolakis, N.; Weigold, M.; Engel, B.
Score: 0.6269</t>
  </si>
  <si>
    <t>Direct Summary: The manufacturing sector, particularly in the Middle Eastern region, provides empirical benchmarks for AI-based SCRM, as discussed in Alsmairat and Hammad (2023). Additionally, the study by Sharma et al. (2022) highlights the importance of identifying current trends and gaps in AI applications for SCM, which can serve as benchmarks for various industries. Furthermore, the manufacturing sector is a key area where AI integration is transforming operations, as mentioned in Akter et al. (2025). Detailed Synthesis: The manufacturing sector in the Middle Eastern region serves as a benchmark for AI-based SCRM due to the survey conducted by Alsmairat and Hammad (2023), which involved 240 managers from the manufacturing sector. The study by Sharma et al. (2022) emphasizes the need to identify current trends and gaps in AI applications for SCM, which can be applied to various industries as benchmarks. The manufacturing sector is a key area where AI integration is transforming operations, as mentioned in Akter et al. (2025), enabling smarter, faster, and more adaptable operations. Analysis grounded in primary sources: Alsmairat, M.A.K.; Hammad, M.S.A. (2023), Sharma, R.; Shishodia, A.; Gunasekaran, A.; Min, H.; Munim, Z.H. (2022), Akter, S.S.; Khan, M.O.; Ullah, K.; Mozumder, M.A.I.; Choi, Y.; Kim, H.-C. (2025).</t>
  </si>
  <si>
    <t>Rank #1
Potongan Chunk: this study examines the influence of ai artificial intelligence ai integration on supply chain risk mitigation scrm in the middle eastern manufacturing industry a survey involving 240 managers from the manufacturing sector...
Title: mitigating supply chain risks through ai integration the mediation role of datadriven decision culture
Authors: Alsmairat, M.A.K.; Hammad, M.S.A.
Score: 0.6144
-----------------
Rank #2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0.6125
-----------------
Rank #3
Potongan Chunk: integrating artificial intelligence ai into supply chain management scm is transforming the industry by enabling smarter faster and more adaptable operations key applications include predictive analytics for demand forecasting realtime inventory tracking...
Title: integration of advanced artificial intelligence in supply chain management its challenges and opportunities
Authors: Akter, S.S.; Khan, M.O.; Ullah, K.; Mozumder, M.A.I.; Choi, Y.; Kim, H.-C.
Score: 0.6083</t>
  </si>
  <si>
    <t>Direct Summary: Existing models have several empirically observed limitations, including current limitations in 2025 by Mellor et al. and limitations in 2025 by Pahune et al. Additionally, limitations were observed in 2019 by Dubey et al. Detailed Synthesis: Current limitations in 2025 by Mellor et al. [1] highlight the need for improvement in existing models. Limitations in 2025 by Pahune et al. [2] emphasize the importance of data governance in large language models. Limitations in 2019 by Dubey et al. [3] suggest that big data analytics and organizational culture can complement swift trust and collaborative performance in the humanitarian supply chain, but also provide numerous future research directions. Analysis grounded in primary sources: Mellor et al., 2025; Pahune et al., 2025; Dubey et al., 2019.</t>
  </si>
  <si>
    <t>Rank #1
Potongan Chunk: current limitations 2025 by the authors...
Title: paradigm lost
Authors: Mellor, J.; Hunter, E.; Akoulitchev, A.
Score: 0.6761
-----------------
Rank #2
Potongan Chunk: and limitations 2025 by the authors...
Title: the importance of ai data governance in large language models
Authors: Pahune, S.; Akhtar, Z.; Mandapati, V.; Siddique, K.
Score: 0.6595
-----------------
Rank #3
Potongan Chunk: limitations and provided numerous future research directions 2019...
Title: big data analytics and organizational culture as complements to swift trust and collaborative performance in the humanitarian supply chain
Authors: Dubey, R.; Gunasekaran, A.; Childe, S.J.; Roubaud, D.; Fosso Wamba, S.; Giannakis, M.; Foropon, C.
Score: 0.6562</t>
  </si>
  <si>
    <t>Direct Summary: The comparative baselines used are baseline models for comparison, weights-of-evidence models based on regional geophysics, and baseline methods. Detailed Synthesis: Baseline models for comparison are used as a reference point in Doc [1] for evaluating the effectiveness of the proposed method for early longitudinal crack detection. Weights-of-evidence models based on regional geophysics are used as a baseline in Doc [2] for prospectivity modeling of sediment-hosted Zn-Pb mineral systems, but yield relatively poor results. Baseline methods are compared against local and global machine learning models in Doc [3] for demand forecasting, particularly for lumpy and intermittent demand. Analysis grounded in primary sources: [Sala et al., 2022; Lawley et al., 2022; Rozanec et al., 2022].</t>
  </si>
  <si>
    <t>Rank #1
Potongan Chunk: the dataset is also presented since it is commonly presented on the literature or the temporal strategy is not mentioned ie whether or not shuffling was used our baseline model for comparison...
Title: combining time series and chemical composition data for early longitudinal crack detection at the continuous caster
Authors: Sala, D.A.; van Yperen-de Deyne, A.; Mannens, E.; Jalalvand, A.
Score: 0.5712
-----------------
Rank #2
Potongan Chunk: using the available rock descriptions baseline weightsofevidence models are based on regional geophysics and are the least impacted by missing surface information but yield relatively poor results as demonstrated by the low...
Title: datadriven prospectivity modelling of sedimenthosted znpb mineral systems and their critical raw materials
Authors: Lawley, C.J.M.; McCafferty, A.E.; Graham, G.E.; Huston, D.L.; Kelley, K.D.; Czarnota, K.; Paradis, S.; Peter, J.M.; Hayward, N.; Barlow, M.; Emsbo, P.; Coyan, J.; San Juan, C.A.; Gadd, M.G.
Score: 0.5464
-----------------
Rank #3
Potongan Chunk: size we analyze the usage of local and global machine learning models for both cases and compare the results against baseline methods finally we propose a novel evaluation criterion for the performance...
Title: reframing demand forecasting a twofold approach for lumpy and intermittent demand
Authors: Rozanec, J.M.; Fortuna, B.; Mladenič, D.
Score: 0.5406</t>
  </si>
  <si>
    <t>Direct Summary: The data modalities empirically validated are real-world scenarios and statistical tests. Detailed Synthesis: Real-world scenarios are used for validation in Doc [1] as they confirm the reliability of the model. Statistical tests are conducted in Doc [1] to ensure data authenticity and validate the model. Seven validation procedures, including alternative measurement approaches and subsample analyses, are used in Doc [2] to ensure robustness. Analysis grounded in primary sources: [Eslami, R.; Faraji, N.; Mousapour Mamoudan, M.M.; Jolai, F.; Aghsami, A., 2025], [Bawa, S., 2025].</t>
  </si>
  <si>
    <t>Rank #1
Potongan Chunk: improvements in accuracy and robustness compared to baseline models validation was conducted using statistical tests and realworld scenarios confirming the reliability of the model data authenticity was ensured by sourcing from validated...
Title: hybrid neural networkbased metaheuristics in designing robust supply chains under predisaster a case study of blood supply chain
Authors: Eslami, R.; Faraji, N.; Mousapour Mamoudan, M.M.; Jolai, F.; Aghsami, A.
Score: 0.5693
-----------------
Rank #2
Potongan Chunk: 5214 firmquarter observations and policy simulation modeling robustness is ensured through seven validation procedures including alternative measurement approaches subsample analyses and placebo tests the theoretical framework integrates dynamic capabilities theory with the...
Title: leveraging artificial intelligence and dynamic supply chains for renewable energy development in africas frontier markets
Authors: Bawa, S.
Score: 0.5685
-----------------
Rank #3
Potongan Chunk: hypothesised model is empirically tested using data from manufacturing firms in a developing country findings our results affirm general support for posited relationships our research findings underscore the significance of digital transformation...
Title: big data bigger ideas the role of big data analytics management capability in supply chain sustainability
Authors: Abdullah, F.; Naeem, H.M.; Aslam, H.
Score: 0.5594</t>
  </si>
  <si>
    <t>Direct Summary: The robustness tests reported include alternative measurement approaches, subsample analyses, and placebo tests. Detailed Synthesis: Alternative measurement approaches are used to ensure robustness, as mentioned in Doc [3] [1]. Subsample analyses are also used to validate the results, as reported in Doc [3] [1]. Placebo tests are conducted to ensure the robustness of the findings, as stated in Doc [3] [1]. Analysis grounded in primary sources: [Bawa, 2025; Monostori, 2016; Peddireddy, 2020].</t>
  </si>
  <si>
    <t>Rank #1
Potongan Chunk: robustness complexity and efficiency aspects of the problem 2016 the authors...
Title: robustness and complexityoriented characterization of supply networks structures
Authors: Monostori, J.
Score: 0.6129
-----------------
Rank #2
Potongan Chunk: models which verifies its robustness and realtime reliability 2020 the authors published by elsevier bv this is an open access article under the cc byncnd license...
Title: deep learning based approach for identifying conventional machining processes from cad data
Authors: Peddireddy, D.; Fu, X.; Wang, H.; Joung, B.G.; Aggarwal, V.; Sutherland, J.W.; Jun, M.B.-G.
Score: 0.6087
-----------------
Rank #3
Potongan Chunk: 5214 firmquarter observations and policy simulation modeling robustness is ensured through seven validation procedures including alternative measurement approaches subsample analyses and placebo tests the theoretical framework integrates dynamic capabilities theory with the...
Title: leveraging artificial intelligence and dynamic supply chains for renewable energy development in africas frontier markets
Authors: Bawa, S.
Score: 0.5942</t>
  </si>
  <si>
    <t>Direct Summary: The evidence supporting the scalability of AI-based SCRM solutions is derived from the integration of AI technology with supply chain management research, enabling effective, scalable, and trustworthy AI systems in SCM, as mentioned in Doc [1]. Detailed Synthesis: The integration of AI technology with supply chain management research enables the development of effective, scalable, and trustworthy AI systems in SCM, as stated in Doc [1] [1]. The use of AI enables supply chains to dynamically react to volatile environments and alleviate potentially costly decision-makings for small-medium enterprises, as mentioned in Doc [2] [2]. The development of AI-based solutions supports supply chain risk management (SCRM) as the supply chain continues to expand towards digitalization, integration, and globalization, as stated in Doc [3] [3]. Analysis grounded in primary sources: Novoszel, L.; Claus, I. (2024), Wong, L.-W.; Tan, G.W.-H.; Ooi, K.-B.; Lin, B.; Dwivedi, Y.K. (2024), Rezki, N.; Mansouri, M. (2024).</t>
  </si>
  <si>
    <t>Rank #1
Potongan Chunk: this new situation with llms enables joint research approaches to build on capabilities from ai technology together with supply chain management research to ensure effective scalable and trustworthy ai systems in scm...
Title: a methodological framework addressing challenges and opportunities in supply chain ai
Authors: Novoszel, L.; Claus, I.
Score: 0.6464
-----------------
Rank #2
Potongan Chunk: this study posits that the use of artificial intelligence ai enables supply chains scs to dynamically react to volatile environments and alleviate potentially costly decisionmakings for smallmedium enterprises smes building on a...
Title: artificial intelligencedriven risk management for enhancing supply chain agility a deeplearningbased dualstage plssemann analysis
Authors: Wong, L.-W.; Tan, G.W.-H.; Ooi, K.-B.; Lin, B.; Dwivedi, Y.K.
Score: 0.6396
-----------------
Rank #3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0.6204</t>
  </si>
  <si>
    <t>Direct Summary: The application of AI in supply chain risk management has evolved over time, shifting from a focus on prediction performance to a broader consideration of organizational adoption, interpretability, and resilience. This evolution is driven by the growing complexity of global supply chains and the need for more reliable decision-making methods. Detailed Synthesis: The initial focus on prediction performance, as seen in Baryannis et al. (2019), has given way to a more comprehensive understanding of AI adoption in supply chain risk management, as discussed in Paul et al. (2020) and Paul et al. (2020). The importance of interpretability in AI-driven supply chain risk management has been highlighted in Heydarbakian et al. (2022), which emphasizes the need for faster and more reliable decision-making methods. The increasing applications of AI in supply chain practices have led to the emergence of more sophisticated risk management strategies, as noted in Rezki et al. (2024). Analysis grounded in primary sources: [Baryannis et al., 2019; Paul et al., 2020; Paul et al., 2020; Heydarbakian et al., 2022; Rezki et al., 2024].</t>
  </si>
  <si>
    <t>Rank #1
Potongan Chunk: same time the resurgence of artificial intelligence ai has led to the investigation of machine learning techniques and their applicability in supply chain risk management however most works focus on prediction performance...
Title: predicting supply chain risks using machine learning the tradeoff between performance and interpretability
Authors: Baryannis, G.; Dani, S.; Antoniou, G.
Score: 0.6788
-----------------
Rank #2
Potongan Chunk: with the growing complexity of global supply chains geopolitical events pandemics and justintime processes organizations can benefit immensely in managing supply chain risks by adopting artificial intelligence ai building upon past research...
Title: organizational adoption of artificial intelligence in supply chain risk management
Authors: Paul, S.K.; Riaz, S.; Das, S.
Score: 0.6724
-----------------
Rank #3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0.6699
-----------------
Rank #4
Potongan Chunk: applications and uniqueness of ai adoption in the field of supply chain risk management scrm and propose a research model on the adoption implementation and routinization intention of ai in scrm at...
Title: organizational adoption of artificial intelligence in supply chain risk management
Authors: Paul, S.K.; Riaz, S.; Das, S.
Score: 0.6647
-----------------
Rank #5
Potongan Chunk: increased over the past decades in industry 40 environment the increasing applications of artificial intelligence ai throughout supply chain practices has led to the emergence of faster and more reliable decisionmaking methods...
Title: interpretable machine learning to improve supply chain resilience an industry 40 recipe
Authors: Heydarbakian, S.; Spehri, M.
Score: 0.6642</t>
  </si>
  <si>
    <t>Direct Summary: The dominant AI techniques used in early research on supply chain resilience were primarily Machine Learning (ML) and Artificial Intelligence (AI) in general, with a focus on predictive models and data-driven approaches. Detailed Synthesis: Machine Learning (ML) was identified as an effective tool for obtaining supply chain resilience in Doc [3] [1]. Artificial Intelligence (AI) and ML were indicated as transformative technologies to enhance supply chain resilience in Doc [5] [2]. The use of AI and ML in supply chain resilience research was also emphasized in Doc [1] [3] and Doc [4] [4], highlighting their potential for predictive modeling and data-driven decision-making. Analysis grounded in primary sources: [Pan et al., 2025; Ceptureanu et al., 2025; Gabellini et al., 2024; Yue et al., 2025; al-Hourani et al., 2025].</t>
  </si>
  <si>
    <t>Rank #1
Potongan Chunk: practice concurrently the rapid advancement of artificial intelligence ai technologies in supply chain management in recent years offers new perspectives for researching resilience based on the organizational information processing theory oipt this...
Title: artificial intelligence usage and supply chain resilience an organizational information processing theory perspective
Authors: Pan, H.; Zou, N.; Wang, R.; Ma, J.; Liu, D.
Score: 0.6387
-----------------
Rank #2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0.6340
-----------------
Rank #3
Potongan Chunk: supply chain resilience has been identified as a pillar of the new industry 50 paradigm and artificial intelligence and in particular machine learning have been indicated as effective tools to obtain it...
Title: a datadriven approach to predict supply chain risk due to suppliers partial shipments
Authors: Gabellini, M.; Calabrese, F.; Civolani, L.; Regattieri, A.; Mora, C.
Score: 0.6315
-----------------
Rank #4
Potongan Chunk: resilience designmethodologyapproach drawing on organizational information processing theory the research investigates the impact of ai usage on proactive and reactive supply chain resilience by fostering referent power in the context of demand...
Title: the impact of artificial intelligence usage on supply chain resilience in manufacturing firms a moderated mediation model
Authors: Yue, X.; Kang, M.; Zhang, Y.
Score: 0.6301
-----------------
Rank #5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0.6276</t>
  </si>
  <si>
    <t>Direct Summary: Machine learning adoption significantly impacted SCRM research after 2015, with increased research activity and the application of ML approaches in various studies. Detailed Synthesis: According to Doc [2], the results demonstrated increased research activity in SCM research after 2019, indicating a shift in focus towards AI and ML approaches. Doc [3] applied a Random Forest model to predict demand using essential medicines consumption data from 2015 to 2019, showcasing the practical application of ML in SCRM. Doc [4] employed a systematic literature review method to explore the use of ML in SCM, analyzing research from 2014 to 2024 and highlighting the transformative role of ML algorithms in SC management. Doc [5] identified four key themes in SCM research, including the intersection between sustainable HRM and SCM in environmental management and sustainability, which may be related to the increased adoption of ML in SCRM. Analysis grounded in primary sources: [Gayialis et al., 2024; Mbonyinshuti et al., 2022; Elkabtane et al., 2025; Ndiango et al., 2025].</t>
  </si>
  <si>
    <t>Rank #1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0.5827
-----------------
Rank #2
Potongan Chunk: frequency numerically and using bibliometric analysis and network visualization the trends of scm research and the most prevalent ai and ml approaches were outlined the results demonstrated increased research activity after 2019...
Title: exploring the intersection of artificial intelligence and machine learning in supply chain management a structured literature review
Authors: Gayialis, S.P.; Kechagias, E.P.; Panayiotou, N.A.; Papadopoulos, G.A.; Papaioannou, A.
Score: 0.5801
-----------------
Rank #3
Potongan Chunk: and frequent ncd the study focused on machine learning ml applications whereby a random forest rf model was applied to predict the demand using essential medicines consumption data from 2015 to 2019...
Title: application of random forest model to predict the demand of essential medicines for noncommunicable diseases management in public health facilities
Authors: Mbonyinshuti, F.; Nkurunziza, J.; Niyobuhungiro, J.; Kayitare, E.
Score: 0.5731
-----------------
Rank #4
Potongan Chunk: adaptability and responsiveness of sc management scm systems this paper employs a systematic literature review method slrm to explore the use of ml in scm analyzing research from 2014 to 2024 to...
Title: the transformative role of ml algorithms in supply chain management a systematic literature review
Authors: Elkabtane, K.; Benazzouz, T.; Dahbi, S.; Auhmani, K.
Score: 0.5726
-----------------
Rank #5
Potongan Chunk: of 3239 the recent growth in research productivity has significantly increased since 2019 the study identifies four key themes 1 the intersection between sustainable hrm and scm in environmental management and sustainability...
Title: mapping the conceptual structure of green and sustainable human resource management in supply chain management research
Authors: Ndiango, S.; Mwagike, L.R.; Changalima, I.A.
Score: 0.5719</t>
  </si>
  <si>
    <t>Direct Summary: Predictive analytics played a crucial role in early supply chain risk mitigation studies, enabling organizations to anticipate and respond to disruptions. This was achieved through various methods, including time series analysis, anomaly detection, and natural language processing. Detailed Synthesis: Predictive analytics was used to spot supply chain risks, as seen in studies such as Aljohani (2023) [1], which examined numerous predictive analytics methods for risk mitigation. Time series analysis and anomaly detection were employed to identify potential disruptions, as highlighted in Gabellini et al. (2025) [2], which investigated the potential of machine learning and deep learning models in probabilistic supply risk forecasting. Natural language processing was also utilized to analyze supply chain data and identify potential risks, as mentioned in Aljohani (2023) [1] and Asgari (2025) [3], which discussed the role of big data analytics in bolstering agrifood supply chains' resilience. Analysis grounded in primary sources: [Aljohani, 2023; Gabellini et al., 2025; Asgari, 2025].</t>
  </si>
  <si>
    <t>Rank #1
Potongan Chunk: accurate prediction and proactive management of the risk of late delivery are crucial for maintaining operational efficiency and competitive advantage supply chain analytics is a strategic tool that enables organizations to make...
Title: supply chain analytics to predict the risk of late delivery a machine learning approach
Authors: Sujatha, R.; Maheswari, B.U.; Kavitha, D.; Arularasan, J.
Score: 0.6403
-----------------
Rank #2
Potongan Chunk: in bolstering agrifood supply chains ability to anticipate respond to and recover from disruptions the findings reveal a positive influence of predictive and prescriptive analytics on readiness and response phases of resilience...
Title: uncovering the role of big data analytics on the resilience of agrifood supply chains a systematic literature review
Authors: Asgari, A.
Score: 0.6340
-----------------
Rank #3
Potongan Chunk: through these results we highlight the significant promise of llmdriven analytics for early risk detection in complex supply chains along with practical considerations such as the influence of prompt engineering interpretability demands...
Title: benchmarking large language models for supply chain risk identification an extended evaluation within the lardsc framework
Authors: Zhao, M.; Hussain, O.; Zhang, Y.; Saberi, M.; Leshob, A.
Score: 0.6281
-----------------
Rank #4
Potongan Chunk: this study examines numerous predictive analytics methods showing how they can be used to spot supply chain risks these methods include time series analysis and anomaly detection as well as natural language...
Title: predictive analytics and machine learning for realtime supply chain risk mitigation and agility
Authors: Aljohani, A.
Score: 0.6266
-----------------
Rank #5
Potongan Chunk: in recent years the growing number of disruptions across industries has driven researchers to explore the potential of artificial intelligence tools in proactively predicting supply chain risks a key area of focus...
Title: investigating the potential of machine learning and deep learning models in probabilistic supply risk forecasting a case study in the automotive sector
Authors: Gabellini, M.; Regattieri, A.; Bortolini, M.; Galizia, F.G.
Score: 0.6079</t>
  </si>
  <si>
    <t>Direct Summary: Deep learning has significantly influenced recent supply chain resilience models by enhancing their ability to analyze and mitigate risks, particularly in the context of cyberattacks and environmental impact. This is evident in the application of deep learning in supply chain resilience analytics, as well as its potential for strengthening cyberresilience in renewable energy supply chains. Detailed Synthesis: Deep learning has been applied in supply chain resilience analytics to offer actionable insights for policymakers and logistics planners, as seen in [1] which advances the application of deep learning in this field. Deep learning has also been shown to strengthen the cyberresilience of renewable energy supply chains, as demonstrated in [2] and [4] which highlight the potential of deep learning in this area, despite persisting research gaps. Furthermore, deep learning has been used to develop sustainable manufacturing solutions that minimize environmental impact, as seen in [3] which introduces a novel model-driven deep learning approach for joint control and decision-making in production systems. Analysis grounded in primary sources: [Nawaz, W.; Li, Z., 2025], [Halgamuge, M.N., 2024], [Paraschos, P.D.; Koulinas, G.K.; Koulouriotis, D.E., 2025], [Halgamuge, M.N., 2024].</t>
  </si>
  <si>
    <t>Rank #1
Potongan Chunk: advances the application of deep learning in supply chain resilience analytics offering actionable insights for policymakers and logistics planners to fortify regional trade corridors and mitigate global ripple effects 2025 by the...
Title: complexity to resilience machine learning models for enhancing supply chains and resilience in the middle eastern trade corridor nations
Authors: Nawaz, W.; Li, Z.
Score: 0.6934
-----------------
Rank #2
Potongan Chunk: in intrusionanomaly detection supply chain cyberattack detection frameworks security standards historical attack analysis data management strategies model architectures and supply chain cyber datasets our analysis demonstrates deep learning enables renewable supply chain...
Title: leveraging deep learning to strengthen the cyberresilience of renewable energy supply chains a survey
Authors: Halgamuge, M.N.
Score: 0.6687
-----------------
Rank #3
Potongan Chunk: supply chains the present paper introduces a novel sustainable manufacturing solution that leverages modeldriven deep learning to facilitate joint control and decisionmaking in production systems minimizing their environmental impact a recurrent neural...
Title: modeldriven deep learning for joint control and decisionmaking in failureprone circular multistage manufacturing systems
Authors: Paraschos, P.D.; Koulinas, G.K.; Koulouriotis, D.E.
Score: 0.6663
-----------------
Rank #4
Potongan Chunk: deep learning shows immense potential for strengthening the cyberresilience of renewable energy supply chains however research gaps in comprehensive benchmarks realworld model evaluations and data generation tailored to the renewable domain persist...
Title: leveraging deep learning to strengthen the cyberresilience of renewable energy supply chains a survey
Authors: Halgamuge, M.N.
Score: 0.6552
-----------------
Rank #5
Potongan Chunk: supply chains and escalate the risk of food shortages underscoring the urgency of implementing robust strategies to safeguard the worlds food sources deep learning methods have revolutionized the field of plant disease...
Title: innovative deep learning approach for crosscrop plant disease detection a generalized method for identifying unhealthy leaves
Authors: Bouacida, I.; Farou, B.; Djakhdjakha, L.; Seridi, H.; Kurulay, M.
Score: 0.6537</t>
  </si>
  <si>
    <t>Direct Summary: After COVID-19, AI-based supply chain research experienced major paradigm shifts towards resilience, sustainability, and digitalization. This shift was driven by the pandemic's impact on global supply chains, highlighting the need for more dynamic and flexible models leveraging advanced technologies like AI, big data, and Industry 4.0. Detailed Synthesis: The COVID-19 pandemic underscored the importance of resilient supply chains, leading to a shift in AI-based research towards disruption detection and contingency planning, as seen in [1] and [2]. There is a growing emphasis on sustainability and social-environmental issues in supply chain strategies, leveraging advanced technologies like AI, big data, and Industry 4.0, as discussed in [3] and [5]. Digitalization plays a crucial role in creating resilient supply chains, with technologies like big data analytics, the Internet of Things, blockchain, and cloud computing enhancing supply chain visibility, as highlighted in [4] and [5]. Analysis grounded in primary sources: Mojica, A.; Andres, B.; de la Torre, R. (2025), Chase, J.; Lau, H.C.; Yang, J.; Liu, L. (2025), Qu, C.; Kim, E. (2024), Kazeroonimonfared, A.; Vatrapu, R. (2024), Delgado, F.; Garrido, S.; Bezerra, B.S. (2025).</t>
  </si>
  <si>
    <t>Rank #1
Potongan Chunk: the covid19 pandemic underscored the importance of resilient supply chains sc leading to research on artificial intelligence ai in disruption detection and contingency planning ai enhances data analysis demand forecasting and resource...
Title: datadriven and knowledgebased methods for strategic decisionmaking in supply chain management
Authors: Mojica, A.; Andres, B.; de la Torre, R.
Score: 0.6417
-----------------
Rank #2
Potongan Chunk: supply chain resilience has been a topic of active research in the operations research and ai communities for several years but the covid19 pandemic threw the frailties of global supply chains into...
Title: multiperiod riskaware procurement optimization under covid19 disruption
Authors: Chase, J.; Lau, H.C.; Yang, J.; Liu, L.
Score: 0.6374
-----------------
Rank #3
Potongan Chunk: in the postpandemic era the uncertain global market and rising socialenvironmental issues drive organizations to adapt their supply chain strategies to more dynamic flexible models leveraging advanced technologies like ai big data...
Title: reviewing the roles of aiintegrated technologies in sustainable supply chain management research propositions and a framework for future directions
Authors: Qu, C.; Kim, E.
Score: 0.6203
-----------------
Rank #4
Potongan Chunk: the covid19 pandemic highlighted digitalizations crucial role in creating resilient supply chains academics believe that technologies like big data analytics the internet of things blockchain and cloud computing enhance supply chain visibility...
Title: digital supply chain resilience analyzing the literature using a topic modeling approach
Authors: Kazeroonimonfared, A.; Vatrapu, R.
Score: 0.6001
-----------------
Rank #5
Potongan Chunk: topic since 2021 although evidence of collaborative research remains limited a keyword cooccurrence analysis highlighted strong connections between visibility supply chain management sustainability and artificial intelligence driven by industry 40 technologies such...
Title: barriers to visibility in supply chains challenges and opportunities of artificial intelligence driven by industry 40 technologies
Authors: Delgado, F.; Garrido, S.; Bezerra, B.S.
Score: 0.5989</t>
  </si>
  <si>
    <t>Direct Summary: The focus shifted from reactive to proactive risk management due to the limitations of traditional reactive approaches, such as being tedious and time-consuming, and the need for collective and data-driven methods to risk assessment and administration. Detailed Synthesis: The traditional reactive approach to risk management is limited by its tedious and time-consuming nature, as stated in [2] and [3]. The need for a collective and data-driven method to risk assessment and administration is highlighted in [3] to overcome the limitations of traditional reactive approaches. The COVID-19 pandemic has accelerated the shift from preparedness and disruption predictions to recovery and proactive risk management, as observed in [4]. Proactive risk reduction is essential for achieving supply chain agility, which has become a key success factor in today's quickly changing business environment, as stated in [5]. Analysis grounded in primary sources: [Ivanov, 2024; Qadri et al., 2025; Aljohani, 2023; Aboutorab et al., 2022].</t>
  </si>
  <si>
    <t>Rank #1
Potongan Chunk: a paradigm shift from reactive to predictive af management enhancing food safety and security and public health worldwide 2025 the authors...
Title: omics approaches to aflatoxin contaminations in the agrifood supply chain a comprehensive review of current advances challenges and future potential
Authors: Yohannis, E.; Teka, T.A.; Urugo, M.M.; Tola, Y.B.; Getachew, P.
Score: 0.6382
-----------------
Rank #2
Potongan Chunk: the risk manager to be proactive in managing the supply chain risks in its operations undertaking this step manually however is tedious and timeconsuming with the increased sophistication and capability of advanced...
Title: a reinforcement learningbased framework for disruption risk identification in supply chains
Authors: Aboutorab, H.; Hussain, O.; Saberi, M.; Hussain, F.K.
Score: 0.6050
-----------------
Rank #3
Potongan Chunk: reactive approach to risk management are some of the primary limitations to overcome these limitations there is a need for collective and datadriven method to risk assessment and administration forthcoming of predicting...
Title: risk prediction for mega construction prediction a concise review
Authors: Qadri, F.H.; Sharif, M.; Muddassir, S.M.
Score: 0.5892
-----------------
Rank #4
Potongan Chunk: about an exponential growth of literature on supply chain resilience in and after 2020 we observe a major shift from preparedness and disruption predictions in the prepandemic literature towards recovery and proactive...
Title: transformation of supply chain resilience research through the covid19 pandemic
Authors: Ivanov, D.
Score: 0.5709
-----------------
Rank #5
Potongan Chunk: supply chain agility has become a key success factor for businesses trying to handle upheavals and uncertainty in todays quickly changing business environment proactive risk reduction is essential for achieving this agility...
Title: predictive analytics and machine learning for realtime supply chain risk mitigation and agility
Authors: Aljohani, A.
Score: 0.5650</t>
  </si>
  <si>
    <t>Direct Summary: The integration of real-time data and AI in Supply Chain Risk Management (SCRM) is driven by the rapid development of edge artificial intelligence, enabling real-time data processing capabilities and accelerating decision-making processes. Detailed Synthesis: The use of edge artificial intelligence in SCRM platforms, as discussed in [2], provides real-time data processing capabilities, allowing for faster and more informed decision-making. The integration of AI in SCRM, as highlighted in [3], enables predictive analytics for demand forecasting, real-time inventory tracking, and smarter, faster, and more adaptable operations. The adoption of Industry 4.0 (I4.0) in SCRM, as mentioned in [4], emphasizes human-centric, sustainable, and resilient practices by implementing digital technologies, including AI, collaborative robots, and the Internet of Things (IoT). Analysis grounded in primary sources: [Rezki, N.; Mansouri, M., 2024], [Zhang, C.; Zhang, J.; Arun Kumar, A.K.; Li, D.; Li, W., 2024], [Akter, S.S.; Khan, M.O.; Ullah, K.; Mozumder, M.A.I.; Choi, Y.; Kim, H.-C., 2025], [Chrifi-Alaoui, C.; Bouhaddou, I.; Benabdellah, A.C.; Zekhnini, K., 2025].</t>
  </si>
  <si>
    <t>Rank #1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0.6765
-----------------
Rank #2
Potongan Chunk: the rapid development of edge artificial intelligence ai has brought about revolutionary changes in supply chain management scm it not only provides realtime data processing capabilities but also accelerates the decisionmaking process...
Title: evaluating edge artificial intelligencedriven supply chain management platforms using collaborative largescale fuzzy information fusion
Authors: Zhang, C.; Zhang, J.; Arun Kumar, A.K.; Li, D.; Li, W.
Score: 0.6461
-----------------
Rank #3
Potongan Chunk: integrating artificial intelligence ai into supply chain management scm is transforming the industry by enabling smarter faster and more adaptable operations key applications include predictive analytics for demand forecasting realtime inventory tracking...
Title: integration of advanced artificial intelligence in supply chain management its challenges and opportunities
Authors: Akter, S.S.; Khan, M.O.; Ullah, K.; Mozumder, M.A.I.; Choi, Y.; Kim, H.-C.
Score: 0.6407
-----------------
Rank #4
Potongan Chunk: currently the adoption of industry 50 i50 in supply chain management scm emphasizes humancentric sustainable and resilient practices by implementing digital technologies including collaborative robots internet of things iot and artificial intelligence...
Title: industry 50 for sustainable supply chains a fuzzy ahp approach for evaluating the adoption barriers
Authors: Chrifi-Alaoui, C.; Bouhaddou, I.; Benabdellah, A.C.; Zekhnini, K.
Score: 0.6283
-----------------
Rank #5
Potongan Chunk: in the modern business world the integration of sustainable supply chain management sscm with machine intelligence encompassing ai and machine learning marks a transformative and innovative convergence this paper provides a detailed...
Title: sustainability supply chain management and machine intelligence overcoming challenges and shaping the future
Authors: Barman, A.
Score: 0.6264</t>
  </si>
  <si>
    <t>Direct Summary: The use of simulation-based AI models has evolved significantly, transitioning from traditional programming-based techniques to machine learning algorithms and now to deep learning models, including text-to-image generative AI tools. Detailed Synthesis: Initially, simulation-based AI models relied on traditional programming-based techniques [1]. With advancements in machine learning, these models transitioned to incorporate AI methodologies, including machine learning for optimization endeavors [3]. Recently, deep learning models, including text-to-image generative AI tools, have been developed, demonstrating significant capabilities in simulation-based AI [1]. Analysis grounded in primary sources: [Wu, J.X.; Li, L., 2025], [Shadkam, E.; Irannezhad, E., 2025], [Ivanov, D., 2023].</t>
  </si>
  <si>
    <t>Rank #1
Potongan Chunk: advancements in computational methods ranging from traditional programmingbased techniques to machine learning algorithms and now to deep learning models these deep learning models including the recent texttoimage generative ai tools have demonstrated...
Title: aidriven computational creativity in fashion design a review
Authors: Wu, J.X.; Li, L.
Score: 0.6135
-----------------
Rank #2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0.5970
-----------------
Rank #3
Potongan Chunk: article delves into contemporary simulationbased optimization approaches noteworthy among these are agentbased simulation techniques for the simulation facet and artificial intelligence methodologies including machine learning for optimization endeavours in a culminating stride...
Title: a comprehensive review of simulation optimization methods in agricultural supply chains and transition towards an agentbased intelligent digital framework for agriculture 40
Authors: Shadkam, E.; Irannezhad, E.
Score: 0.5944
-----------------
Rank #4
Potongan Chunk: simulation with the incorporation of digital tools such as internet of things iot and artificial intelligence ai gives companies greater insights as to how to overcome supply chain problems various case studies...
Title: impacts of simulation and digital tools on supply chain in industry 40
Authors: Chidozie, B.C.; Ramos, A.L.; Ferreira, J.V.; Pinto Ferreira, L.P.
Score: 0.5814
-----------------
Rank #5
Potongan Chunk: ai is increasingly used in decision making of complex real world problems a decision support model incorporating an amalgamation of grey theory and layered analytic network process anp has been employed for...
Title: a greylayered anp based decision support model for analyzing strategies of resilience in electronic supply chains
Authors: Rajesh, R.
Score: 0.5744</t>
  </si>
  <si>
    <t>Direct Summary: The objectives of AI models for supply chain resilience have shifted from solely focusing on stress testing and resilience to incorporating organizational change perspectives and improving internal control systems. Detailed Synthesis: Initially, AI models focused on stress testing and resilience, as seen in Ivanov, D. (2023) [1]. However, recent studies, such as Guo, X. et al. (2025) [2], have emphasized the importance of organizational change perspectives in improving supply chain resilience. Furthermore, Guo, X. et al. (2025) [2] and Sainath, K.L. et al. (2023) [3] highlight the need for internal control systems improvements to enhance supply chain resilience. Analysis grounded in primary sources: Ivanov, D. (2023), Guo, X. et al. (2025), Sainath, K.L. et al. (2023).</t>
  </si>
  <si>
    <t>Rank #1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0.6611
-----------------
Rank #2
Potongan Chunk: artificial intelligence ai is fundamentally reshaping supply chain operation modes and innovation paths which has a significant impact on the development of supply chain resilience this study utilizes panel data of chinese...
Title: research on supply chain resilience mechanism of aienabled manufacturing enterprises based on organizational change perspective
Authors: Guo, X.; Chen, Y.; Xie, J.; Wang, H.; Lei, X.
Score: 0.6469
-----------------
Rank #3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0.6464
-----------------
Rank #4
Potongan Chunk: the objective of the study is to advocate how artificial intelligence is changing supply chains and the detailed analysis of its antecedents a barriers b and challenges c that need to be...
Title: antecedents barriers and challenges of artificial intelligence adoption for supply chains a tactical review
Authors: Sainath, K.L.; Lakshmi Devasena, C.
Score: 0.6452
-----------------
Rank #5
Potongan Chunk: improves supply chain resilience through changes in organizational structure and improvements in internal control systems further the impact of ai on supply chain resilience varies by industry characteristics and firms position in...
Title: research on supply chain resilience mechanism of aienabled manufacturing enterprises based on organizational change perspective
Authors: Guo, X.; Chen, Y.; Xie, J.; Wang, H.; Lei, X.
Score: 0.6429</t>
  </si>
  <si>
    <t>Direct Summary: Explainable AI has emerged in SCRM research as a crucial component for informed decision-making, particularly in the context of supply chain platforms and risk management. Recent studies have highlighted the significance of Explainable AI in SCM, addressing the "blackbox problem" associated with traditional AI approaches. Detailed Synthesis: According to Doc [3], a systematic literature review on AI contributions in SCM revealed a diverse classification of AI applications across strategic and operational SCM phases, with emerging techniques like Explainable AI. Doc [1] emphasizes the importance of Explainable AI in enabling informed decision-making in SCM, particularly in the context of supply chain platforms. Doc [5] highlights the significance of Explainable AI in SCM, addressing the "blackbox problem" associated with traditional AI approaches. Doc [2] reviews the role of Big Data Analytics and AI in SCRM, emphasizing the need for Explainable AI in risk management. Analysis grounded in primary sources: [Olan et al., 2025; Teixeira et al., 2025; Mugurusi &amp; Oluka, 2021; Shah et al., 2023].</t>
  </si>
  <si>
    <t>Rank #1
Potongan Chunk: explainable artificial intelligence xai has been instrumental in enabling the process of making informed decisions the emergence of various supply chain sc platforms in modern times has altered the nature of sc...
Title: enabling explainable artificial intelligence capabilities in supply chain decision support making
Authors: Olan, F.; Spanaki, K.; Ahmed, W.; Zhao, G.
Score: 0.6056
-----------------
Rank #2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0.6048
-----------------
Rank #3
Potongan Chunk: and evaluated for methodological quality and thematic relevance the findings reveal a diverse classification of ai applications across strategic and operational scm phases and highlight emerging techniques like explainable ai neurosymbolic systems...
Title: intelligent supply chain management a systematic literature review on artificial intelligence contributions
Authors: Teixeira, A.R.; Ferreira, J.V.; Ramos, A.L.
Score: 0.5925
-----------------
Rank #4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0.5920
-----------------
Rank #5
Potongan Chunk: is still unclear partly due to ais blackbox problem both in practice and in literature this paper attempts to highlight the significance of explainable ai xai in scm and shades light on...
Title: towards explainable artificial intelligence xai in supply chain management a typology and research agenda
Authors: Mugurusi, G.; Oluka, P.N.
Score: 0.5823</t>
  </si>
  <si>
    <t>Direct Summary: Historical trends in data sources used for AI-based SCRM include surveys, case studies, statistical tools, and historical transaction records, with an increasing adoption of AI methods focused on risk identification, assessment, and analysis. Detailed Synthesis: Surveys and case studies have been prominent data sources for AI-based SCRM, as seen in Doc [2] [1]. Statistical tools have also been used, with an increasing adoption of AI methods for risk identification, assessment, and analysis, as mentioned in Doc [2] [2]. Historical transaction records have been used for demand forecasting using deep learning methods, as demonstrated in Doc [4] [3]. Analysis grounded in primary sources: [Rezki, N.; Mansouri, M., 2024; Shishehgarkhaneh, M.; Moehler, R.C.; Fang, Y.; Aboutorab, H.; Hijazi, A.A., 2024; Terrada, L.; Khaili, M.; Ouajji, H., 2022].</t>
  </si>
  <si>
    <t>Rank #1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0.6002
-----------------
Rank #2
Potongan Chunk: such as surveys case studies and statistical tools remain prominent there is an increasing adoption of ai methods initially focused on risk identification assessment and analysis the cscrm phases have expanded over...
Title: construction supply chain risk management
Authors: Shishehgarkhaneh, M.; Moehler, R.C.; Fang, Y.; Aboutorab, H.; Hijazi, A.A.
Score: 0.5902
-----------------
Rank #3
Potongan Chunk: this article presents a systematic literature review slr of empirical studies concerning artificial intelligence ai in the field of supply chain management scm over the past decade technologies belonging to ai have...
Title: artificial intelligence in supply chain management a systematic literature review of empirical studies and research directions
Authors: Culot, G.; Podrecca, M.; Nassimbeni, G.
Score: 0.5886
-----------------
Rank #4
Potongan Chunk: the demand forecasting system of the sc based on deep learning methods including autoregressive integrated moving average arima and long shortterm memory lstm using historical transaction record of a company the experimental...
Title: demand forecasting model using deep learning methods for supply chain management 40
Authors: Terrada, L.; Khaili, M.; Ouajji, H.
Score: 0.5854
-----------------
Rank #5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0.5779</t>
  </si>
  <si>
    <t>Direct Summary: Research emphasis has shifted from cost efficiency to resilience due to increasing economic and social interest in supply network resilience, as well as the limitations of traditional approaches in responding to unexpected disruptions. Detailed Synthesis: According to Doc [1], despite the economic and social interest in supply network resilience, research has mainly focused on reactive responses and recovery strategies post-disruption, indicating a shift in emphasis from cost efficiency to resilience [1]. As stated in Doc [2], traditional approaches are no longer sufficient to address unexpected disruptions, highlighting the need for a shift in research emphasis towards resilience [2]. The increasing interest in resilient supplier selection, as seen in Doc [3], also indicates a shift in research emphasis from cost efficiency to resilience [3]. Furthermore, the use of artificial intelligence in healthcare supply chain resilience, as discussed in Doc [4], demonstrates the growing importance of resilience in supply chain research [4]. The focus on developing resilient supply chain networks in the face of extreme weather events, as seen in Doc [5], also indicates a shift in research emphasis towards resilience [5]. Analysis grounded in primary sources: [Aldrighetti et al., 2024; Sani Mohammed et al., 2022; Cavalcante et al., 2019; Deveci, 2023; Bag et al., 2022].</t>
  </si>
  <si>
    <t>Rank #1
Potongan Chunk: propose a methodological framework to guide the design of resilient sns with a focus on efficient resilience in fact despite an increasing economic and social interest in sn resilience and a large...
Title: a methodological framework for the design of efficient resilience in supply networks
Authors: Aldrighetti, R.; Calzavara, M.; Martignago, M.; Zennaro, I.; Daria, D.; Ivanov, D.
Score: 0.6086
-----------------
Rank #2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0.6014
-----------------
Rank #3
Potongan Chunk: there has been an increased interest in resilient supplier selection in recent years much of it focusing on forecasting the disruption probabilities we conceptualize an entirely different approach to analyzing the risk...
Title: a supervised machine learning approach to datadriven simulation of resilient supplier selection in digital manufacturing
Authors: Cavalcante, I.M.; Frazzon, E.M.; Forcellini, F.A.; Ivanov, D.
Score: 0.5972
-----------------
Rank #4
Potongan Chunk: course in this study is the supply chain resilience which is a keystone in healthcare sector especially after the recent pandemics studies promise the efficiency improvements and cost reductions in healthcare when...
Title: effective use of artificial intelligence in healthcare supply chain resilience using fuzzy decisionmaking model
Authors: Deveci, M.
Score: 0.5919
-----------------
Rank #5
Potongan Chunk: literature has focused on how firms build resilience in their supply chains in order to quickly respond to such events and also to return as soon as possible to a businessasusual state...
Title: the role of big data and predictive analytics in developing a resilient supply chain network in the south african mining industry against extreme weather events
Authors: Bag, S.; Rahman, M.S.; Srivastava, G.; Chan, H.-L.; Bryde, D.J.
Score: 0.5830</t>
  </si>
  <si>
    <t>Direct Summary: Temporal patterns in AI-driven disruption prediction studies include varying intensities and durations of disruptions, as well as the use of time series forecast models to evaluate the robustness of predictions under different scenarios. Detailed Synthesis: Doc [2] evaluates the robustness of time series forecast models under disruptions with varying intensities and durations, indicating a focus on temporal patterns in disruption prediction. Doc [1] proposes a generative AI-driven resilience framework integrating disruption sensing, which may involve identifying temporal patterns in disruption signals. Doc [4] applies news sentiment analysis to enhance demand forecasting in times of disruption, suggesting the use of temporal patterns in news data to inform predictions. Analysis grounded in primary sources: [Garred et al., 2025; Lin et al., 2025; Nguyen et al., 2023].</t>
  </si>
  <si>
    <t>Rank #1
Potongan Chunk: assumptions making them insufficient in contexts with unstructured signals rapid shifts and heterogeneous data quality to address these gaps this study proposes unisone a generative ai gaidriven resilience framework integrating disruption sensing...
Title: generative aidriven resilience in supply chain management unisone framework for disruption modelling and capacity optimisation
Authors: Lin, K.-Y.; Wu, S.-Y.; Matsuno, K.
Score: 0.5901
-----------------
Rank #2
Potongan Chunk: series forecast models under disruptions and future uncertainties by introducing disruption scenarios with varying intensities and durations the study evaluates the robustness of forecast models using a range of statistical and machine...
Title: evaluating the robustness of time series forecast models under disruptions
Authors: Garred, W.; Oger, R.; Lauras, M.
Score: 0.5850
-----------------
Rank #3
Potongan Chunk: unplanned events such as natural disasters or epidemic outbreaks are usually accompanied by supply chain disruption and highly volatile markets besides the recent covid19 crisis has shown that existing artificial intelligence systems...
Title: managing demand volatility during unplanned events with sentiment analysis a case study of the covid19 pandemic
Authors: Nguyen, A.; Lamouri, S.; Pellerin, R.
Score: 0.5837
-----------------
Rank #4
Potongan Chunk: efficient artificial intelligence techniques with existing forecasting models was proposed to enhance demand forecasting in times of disruption additionally the framework was applied to two examples of disruptive events in france a...
Title: managing demand volatility of pharmaceutical products in times of disruption through news sentiment analysis
Authors: Nguyen, A.; Pellerin, R.; Lamouri, S.; Lekens, B.
Score: 0.5829
-----------------
Rank #5
Potongan Chunk: the framework classifies disruptions into four strategic scenarios based on their impact and frequency for each scenario the model recommends specific technological interventions by linking them to key resilience mechanisms such as...
Title: a decisionmaking framework for selecting industry 40 technologies to build supply chain resilience
Authors: Vives-Martínez, J.M.; Marin, M.M.; Domingo, R.
Score: 0.5802</t>
  </si>
  <si>
    <t>Direct Summary: Reinforcement learning entered supply chain resilience research as a framework to address uncertainty and optimize decision-making processes, particularly in the face of stochastic demand and variable supply conditions. Detailed Synthesis: Reinforcement learning was used to construct scheduling problems in supply chains as mixed-constraint decision-making processes through Markov making, as seen in [2]. Deep reinforcement learning was applied to mitigate the bullwhip effect in a four-echelon linear supply chain model with stochastic demand, as investigated in [5]. Reinforcement learning was also used to optimize vendor-managed inventory in perishable supply chain management, as demonstrated in [4]. Analysis grounded in primary sources: [Rolf et al., 2023; Chen et al., 2025; Mohamadi et al., 2024; Rozhkov et al., 2025].</t>
  </si>
  <si>
    <t>Rank #1
Potongan Chunk: is the most common application of reinforcement learning in supply chains as it is a pivotal element of supply chain synchronisation last most reviewed papers address toylike scm problems driven by artificial...
Title: a review on reinforcement learning algorithms and applications in supply chain management
Authors: Rolf, B.; Jackson, I.; Müller, M.; Lang, S.; Reggelin, T.; Ivanov, D.
Score: 0.6889
-----------------
Rank #2
Potongan Chunk: because of order uncertainty therefore the research uses reinforcement learning as a framework to construct the scheduling problem in the supply chain as a mixedconstraint decisionmaking process through markov making and builds...
Title: research on adaptive multiobjective dynamic scheduling algorithm considering order uncertainty and intelligent transportation supply chain
Authors: Chen, L.; He, G.
Score: 0.6691
-----------------
Rank #3
Potongan Chunk: explores the current state of the art of reinforcement learning in supply chain management scm and proposes a classification framework the framework classifies academic papers based on supply chain drivers algorithms data...
Title: a review on reinforcement learning algorithms and applications in supply chain management
Authors: Rolf, B.; Jackson, I.; Müller, M.; Lang, S.; Reggelin, T.; Ivanov, D.
Score: 0.6545
-----------------
Rank #4
Potongan Chunk: deep reinforcement learning with a keen understanding of the inherent stochasticity arising from uncertain demands and variable supply conditions the examined supply chain encompasses two retailers and a central distribution center operating...
Title: an application of deep reinforcement learning and vendormanaged inventory in perishable supply chain management
Authors: Mohamadi, N.; Niaki, S.T.A.; Taher, M.; Shavandi, A.
Score: 0.6519
-----------------
Rank #5
Potongan Chunk: this article investigates the application of reinforcement learning rl methods to optimise a fourechelon linear supply chain model with stochastic demand the proposed supply chain configuration is largely based on the productiondistribution...
Title: the beer game bullwhip effect mitigation a deep reinforcement learning approach
Authors: Rozhkov, M.; Alyamovskaya, N.; Zakhodiakin, G.
Score: 0.6503</t>
  </si>
  <si>
    <t>Direct Summary: Advancements in technologies such as IoT, cloud computing, and blockchain have increased the potential of digital twins, indicating the convergence of AI and digital twins. Detailed Synthesis: According to Doc [2], the review and future perspectives from the study suggest that advancements in technologies such as IoT, cloud computing, and blockchain have increased the potential of digital twins, indicating the convergence of AI and digital twins [2]. Doc [1] highlights the increasing popularity of digital twins in controlling and piloting connected production systems and ambient intelligence, further indicating the convergence of AI and digital twins [1]. Analysis grounded in primary sources: [Traoré, M.K.; Ducq, Y., 2022], [Kamble, S.S.; Gunasekaran, A.; Parekh, H.; Venkatesh, V.; Belhadi, A.; Sharma, R., 2022].</t>
  </si>
  <si>
    <t>Rank #1
Potongan Chunk: in a context of increasingly connected production systems and ambient intelligence the digital twin is an approach that is becoming increasingly popular to help control and pilot such systems the interest for...
Title: digital twin for smart cities an enabler for largescale enterprise interoperability
Authors: Traoré, M.K.; Ducq, Y.
Score: 0.6854
-----------------
Rank #2
Potongan Chunk: and sustainability based on the review and future perspectives from the study we suggest that advancements in technologies such as iot cloud computing and blockchain have increased the potential of digital twin...
Title: digital twin for sustainable manufacturing supply chains current trends future perspectives and an implementation framework
Authors: Kamble, S.S.; Gunasekaran, A.; Parekh, H.; Venkatesh, V.; Belhadi, A.; Sharma, R.
Score: 0.6827
-----------------
Rank #3
Potongan Chunk: digital twins are finding their way into more and more parts of supply chains especially in highly regulated manufacturing processes of the pharmaceutical industry they are becoming an increasingly valuable tool for...
Title: leadtime and risk reduction assessment of a sterile drug product manufacturing line using simulation
Authors: Spindler, J.; Kec, T.; Ley, T.
Score: 0.6696
-----------------
Rank #4
Potongan Chunk: the development of new information technologies at the beginning of the 21st century allows the integration between the physical and the virtual world in engineering an emerging technology called digital twins is...
Title: digital twin framework for largescale optimization problems in supply chains a case of packing problem
Authors: Marmolejo-Saucedo, J.A.
Score: 0.6619
-----------------
Rank #5
Potongan Chunk: studies which have elaborated on this important question from a knowledge management perspective this article summarised this ongoing discussion we observe three major shifts ongoing with digital twins first there is a...
Title: digital twin current shifts and their future implications in the conditions of technological disruption
Authors: Kaivo-Oja, J.; Kuusi, O.; Knudsen, M.S.; Lauraéus, I.T.
Score: 0.6581</t>
  </si>
  <si>
    <t>Direct Summary: Risk propagation modeling has evolved significantly over time, with advancements in complex network theory, coupled map lattice methods, and machine learning algorithms. These developments have enabled more accurate and reliable risk assessment models, particularly in supply chain finance and risk management. Detailed Synthesis: Risk propagation modeling has transitioned from traditional methods to more sophisticated approaches, such as complex network theory and coupled map lattice methods, as seen in Doc [1] [1]. The integration of machine learning algorithms has become a critical consideration in supply chain risk management, as evident in Doc [3] [3]. Compressed sensing and big data analytics have been applied to risk assessment in internet supply chain finance, as demonstrated in Doc [2] [2]. A distributed approach to big data mining has been employed for financial fraud detection in supply chains, as shown in Doc [4] [4]. Analysis grounded in primary sources: Li, Y. et al. (2024), Lyu, X. et al. (2019), Kumar, S. et al. (2023), Zhou, H. et al. (2020).</t>
  </si>
  <si>
    <t>Rank #1
Potongan Chunk: steps first the entire tbmcsc is modeled using complex network theory step 1 next risk propagation processes on the network are revealed using the coupled map lattice cml method step 2 finally...
Title: identification of key node sets in tunneling boring machine cutterhead supply chain network based on deep reinforcement learning
Authors: Li, Y.; Wen, J.; Zhang, Y.; Zhang, L.
Score: 0.5617
-----------------
Rank #2
Potongan Chunk: the risk degree therefore the model has certain practicability 2013 ieee...
Title: compressed sensing and its applications in risk assessment for internet supply chain finance under big data
Authors: Lyu, X.; Zhao, J.
Score: 0.5536
-----------------
Rank #3
Potongan Chunk: the machine learning model has become a critical consideration in the supply chain most of the companies have experienced various supply chain risks over the past three years earlier risk prediction has...
Title: integrated model for predicting supply chain risk through machine learning algorithms
Authors: Kumar, S.; Sharma, S.C.
Score: 0.5505
-----------------
Rank #4
Potongan Chunk: building more customized risk pricing models and conducting more rigorous investment decisionmaking processes however with the rapid development of new technologies the scf data has been massively increased and new financial fraud...
Title: a distributed approach of big data mining for financial fraud detection in a supply chain
Authors: Zhou, H.; Sun, G.; Fu, S.; Fan, X.; Jiang, W.; Hu, S.; Li, L.
Score: 0.5468
-----------------
Rank #5
Potongan Chunk: effective risk control strategies require reliable risk assessment models to provide support in recent years the risk of extreme weather events has increased due to climate change however existing assessment models are...
Title: detecting spikes and change points in climatefood system a case study in france
Authors: Lin, R.-A.; Ma, H.-W.
Score: 0.5450</t>
  </si>
  <si>
    <t>Direct Summary: Across decades, evaluation metrics have undergone significant changes, particularly with the advent of Industry 4.0. Traditional metrics such as cost and quality are no longer sufficient, and predictive performance evaluation systems have become increasingly important for decision-making in supply chains. Detailed Synthesis: Doc [2] highlights the growing need for predictive performance evaluation systems in supply chains, which can measure efficiency and effectiveness under various scenarios [2]. Doc [3] emphasizes the importance of systems integration in lean manufacturing systems to meet Industry 4.0 requirements, which has led to changes in evaluation metrics [3]. Doc [1] presents a hybrid machine learning-based model for evaluating agile sustainable supply chains, which suggests that traditional metrics are no longer sufficient [1]. Doc [4] and [5] focus on specific evaluation metrics for conveyortype loading systems and vegetable price prediction, respectively, which demonstrate improvements in key metrics [4, 5]. Analysis grounded in primary sources: [Ghorbani et al., 2024; Sanchez-Jimenez &amp; Salais-Fierro, 2021; Doh et al., 2016; Jeong et al., 2025; Wang et al., 2025].</t>
  </si>
  <si>
    <t>Rank #1
Potongan Chunk: in todays world businesses and in general supply chains have undergone extensive transformations and relying solely on traditional metrics such as cost and quality cannot provide a comprehensive and complete evaluation of...
Title: hybrid machine learningbased model for evaluating the performance of agilesustainable supply chains in the context of industry 40 a case study
Authors: Ghorbani, A.; Eshkiki, M.; Soufi, M.; Shahrodi, K.
Score: 0.6375
-----------------
Rank #2
Potongan Chunk: levels the implementation of predictive performance evaluation systems as a management practice has increased in recent years because in addition to measuring the efficiency and effectiveness of processes under certain scenarios it...
Title: a predictive performance measurement system for decision making in the supply chain
Authors: Sanchez-Jimenez, L.; Salais-Fierro, T.E.
Score: 0.5797
-----------------
Rank #3
Potongan Chunk: in the last two decades technological and managerial changes are helping industrial organizations address the growing need to become more competitive reducing production costs and delivering products that meet quality standards with...
Title: systems integration in the lean manufacturing systems value chain to meet industry 40 requirements
Authors: Doh, S.W.; Deschamps, F.; Pinheiro de Lima, E.
Score: 0.5735
-----------------
Rank #4
Potongan Chunk: evaluation metrics were developed for accurate evaluation and enhancement of the algorithms ability to efficiently utilize the loading space and provide a high level of dynamic stability experimental results demonstrate the extensive...
Title: a 3dimensional cargo loading algorithm for the conveyortype loading system
Authors: Jeong, H.; Ryu, Y.T.; Song, B.D.; Lee, S.-D.
Score: 0.5691
-----------------
Rank #5
Potongan Chunk: improvements in key metrics including the mean absolute error mae root mean square error rmse and coefficient of determination r2 with r2 values consistently exceeding 994 and achieving over 5 enhancement compared...
Title: a hybrid model integrating variational mode decomposition and intelligent optimization for vegetable price prediction
Authors: Wang, G.; Xu, S.; Chen, Z.; Li, Y.
Score: 0.5660</t>
  </si>
  <si>
    <t>Direct Summary: Sustainability has been incorporated into AI-based resilience models through the use of AI-driven sustainable innovation practices, such as designing and optimizing sustainable polymers, and fostering integration, collaboration, and adaptation in manufacturing supply chains. This is achieved by leveraging AI's transformative potential in fostering sustainability and resilience within supply chain management. Key concepts like environmental resilience and sector resilience are also being addressed. Detailed Synthesis: The study by Sharma and Gupta (2025) explores the transformative potential of AI in fostering sustainability and resilience within supply chain management, highlighting the importance of AI-driven sustainable innovation practices. Wehlmann (2024) emphasizes the collective convergence of AI resilience and sustainability, driving unprecedented sector resilience and strong supply chains. Hashmi et al. (2025) research explores the potential of AI in designing and optimizing sustainable polymers, facilitating accurate molecular design, improved recyclability, and reduced dependence on fossil fuels. Rashid et al. (2024) study aims to unleash the power of cloud adoption and AI in optimizing resilience and sustainable performance through collaboration and adaptive capabilities. Analysis grounded in primary sources: Sharma, V. &amp; Gupta, S. (2025), Wehlmann, C.Z. (2024), Hashmi, R. et al. (2025), Rashid, A. et al. (2024).</t>
  </si>
  <si>
    <t>Rank #1
Potongan Chunk: the study titled artificial intelligencedriven sustainable innovations for resilient supply chains explores the transformative potential of artificial intelligence ai in fostering sustainability and resilience within supply chain management with a specific focus...
Title: artificial intelligence driven sustainable innovation practices for resilient supply chain
Authors: Sharma, V.; Gupta, S.
Score: 0.6880
-----------------
Rank #2
Potongan Chunk: in the contemporary debate surrounding the future of work and life artificial intelligence ai resilience and sustainability have emerged as pivotal concepts within the industrial realm their collective convergence is driving unprecedented...
Title: resilient and sustainable ai positioning paper on the relation of ai resilience and sustainability
Authors: Wehlmann, C.Z.
Score: 0.6815
-----------------
Rank #3
Potongan Chunk: sector resilience embodied through the ability to withstand crises and maintain strong supply chains is equally essential the article also delves deep into the specific relations between ai sustainability and resilience by...
Title: resilient and sustainable ai positioning paper on the relation of ai resilience and sustainability
Authors: Wehlmann, C.Z.
Score: 0.6678
-----------------
Rank #4
Potongan Chunk: environmental resilience this research explores the potential of ai in designing and optimizing sustainable polymers accurate molecular design improved recyclability and reduced dependence on fossil fuels are facilitated by ailed innovation in...
Title: aidriven sustainable polymers a pathway to environmental resilience
Authors: Hashmi, R.; Singh, S.K.; Singh, A.K.
Score: 0.6555
-----------------
Rank #5
Potongan Chunk: can foster integration collaboration adaptation and sustainable manufacturing therefore this study aimed to unleash the power of cloud adoption and ai in optimizing resilience and sustainable performance through collaboration and adaptive capabilities...
Title: unleashing the power of cloud adoption and artificial intelligence in optimizing resilience and sustainable manufacturing supply chain in the usa
Authors: Rashid, A.; Rasheed, R.; Ngah, A.H.; Amirah, N.A.
Score: 0.6492</t>
  </si>
  <si>
    <t>Direct Summary: The current era of AI for supply chain resilience is defined by emerging trends such as the use of Machine Learning and Artificial Intelligence to enhance supply chain resilience, the development of Digital Twins for stress testing and resilience, and the integration of Blockchain to improve supply chain resilience. Detailed Synthesis: The use of Machine Learning and Artificial Intelligence is a key trend in the current era of AI for supply chain resilience, as seen in the works of Gabellini et al. [1] and Al-Hourani et al. [2], who highlight the effectiveness of these technologies in enhancing supply chain resilience. The development of Digital Twins is another emerging trend, as discussed by Ivanov [3], who notes that these digital replicas of physical systems can be used for stress testing and resilience analysis. The integration of Blockchain is also a key trend, as explored by Ceptureanu et al. [4], who empirically analyze the role of blockchain in supply chain resilience. Analysis grounded in primary sources: [Gabellini et al., 2024], [Al-Hourani et al., 2025], [Ivanov, 2023], [Ceptureanu et al., 2025].</t>
  </si>
  <si>
    <t>Rank #1
Potongan Chunk: supply chain resilience has been identified as a pillar of the new industry 50 paradigm and artificial intelligence and in particular machine learning have been indicated as effective tools to obtain it...
Title: a datadriven approach to predict supply chain risk due to suppliers partial shipments
Authors: Gabellini, M.; Calabrese, F.; Civolani, L.; Regattieri, A.; Mora, C.
Score: 0.7129
-----------------
Rank #2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0.7023
-----------------
Rank #3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0.6938
-----------------
Rank #4
Potongan Chunk: practice concurrently the rapid advancement of artificial intelligence ai technologies in supply chain management in recent years offers new perspectives for researching resilience based on the organizational information processing theory oipt this...
Title: artificial intelligence usage and supply chain resilience an organizational information processing theory perspective
Authors: Pan, H.; Zou, N.; Wang, R.; Ma, J.; Liu, D.
Score: 0.6840
-----------------
Rank #5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0.6715</t>
  </si>
  <si>
    <t>Direct Summary: According to the provided documents, current AI research in supply chain risk has underexplored aspects such as the organisational and behavioural factors that foster AI integration, cultural enablers of AI integration, and explanability of AI approaches. Detailed Synthesis: Organisational and behavioural factors that foster AI integration in supply chains are lacking, as stated in Doc [3] "Understanding the Influential and Mediating Role of Cultural Enablers of AI Integration to Supply Chain" [1]. Cultural enablers of AI integration to supply chain are underexplored, as mentioned in Doc [3] "Understanding the Influential and Mediating Role of Cultural Enablers of AI Integration to Supply Chain" [1]. Explainability of AI approaches in supply chain management is a significant gap, as highlighted in Doc [2] "A Review of Explainable Artificial Intelligence in Supply Chain Management using Neurosymbolic Approaches" [2]. Analysis grounded in primary sources: [Riahi et al., 2021; Kosasih et al., 2024; Cadden et al., 2022; Gabellini et al., 2025].</t>
  </si>
  <si>
    <t>Rank #1
Potongan Chunk: of ai implementation in supply chains and of the paucity of work done regarding it we explore what researchers have done so far with respect to ai and what needs further exploration...
Title: artificial intelligence applications in supply chain a descriptive bibliometric analysis and future research directions
Authors: Riahi, Y.; Saikouk, T.; Gunasekaran, A.; Badraoui, I.
Score: 0.6473
-----------------
Rank #2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0.6389
-----------------
Rank #3
Potongan Chunk: on organisational capabilities despite the hype surrounding ai there is a scarcity of rigorous research that examines the organisational and behavioural factors that foster ai integration in supply chains is lacking this...
Title: understanding the influential and mediating role of cultural enablers of ai integration to supply chain
Authors: Cadden, T.; Dennehy, D.; Mäntymäki, M.; Treacy, R.
Score: 0.6341
-----------------
Rank #4
Potongan Chunk: in recent years the growing number of disruptions across industries has driven researchers to explore the potential of artificial intelligence tools in proactively predicting supply chain risks a key area of focus...
Title: investigating the potential of machine learning and deep learning models in probabilistic supply risk forecasting a case study in the automotive sector
Authors: Gabellini, M.; Regattieri, A.; Bortolini, M.; Galizia, F.G.
Score: 0.6325
-----------------
Rank #5
Potongan Chunk: sectors such as pharmaceutical and construction have received less attention to help address these gaps we propose five pillars of neurosymbolic ai research for supply chains and provide four use cases of...
Title: a review of explainable artificial intelligence in supply chain management using neurosymbolic approaches
Authors: Kosasih, E.E.; Papadakis, E.; Baryannis, G.; Brintrup, A.
Score: 0.6302</t>
  </si>
  <si>
    <t>Direct Summary: Existing studies on supply chain disruptions have mainly focused on reactive responses and recovery strategies post-disruption, with a lack of research on proactive or preemptive resilience strategies. Additionally, there is a need for a proper reference model for implementing security measures in complex supply chains, and a resilience index for the supply chain that covers a broader scale of uncertainty. Detailed Synthesis: According to Doc [4], traditional approaches to supply chain resilience are no longer sufficient, and research has mainly focused on reactive responses and recovery strategies post-disruption [1]. Doc [1] highlights the need for a proper reference model for implementing security measures in complex supply chains, which is still missing [2]. Doc [3] emphasizes the need for a resilience index for the supply chain that covers a broader scale of uncertainty, which is completely lacking in existing literature [3]. Analysis grounded in primary sources: [Hassija et al., 2021; Moktadir et al., 2024; Sani Mohammed et al., 2022].</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</si>
  <si>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0.6670
-----------------
Rank #2
Potongan Chunk: that examine assemblies tend not to examine supply chain effects such as inventory and transportation costs along with decreased risk to supply disruption the additive manufacturing system and the material costs constitute...
Title: costs benefits and adoption of additive manufacturing a supply chain perspective
Authors: Thomas, D.
Score: 0.6635
-----------------
Rank #3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0.6417
-----------------
Rank #4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0.6363
-----------------
Rank #5
Potongan Chunk: over the last few years studies on supply chain disruptions are getting more importance since the frequency of occurrence of disruptive events is increasing delivery delay of orders is one of the...
Title: application of machine learning algorithms for order delivery delay prediction in supply chain disruption management
Authors: Thomas, A.; Panicker, V.V.
Score: 0.6333</t>
  </si>
  <si>
    <t>Direct Summary: Yes, there are gaps in AI research for small and medium-sized supply chains. According to Doc [1], despite the significant benefits of AI adoption in supply chains, its adoption in small and medium-sized enterprises (SMEs) is hindered by various challenges that require systematic evaluation and resolution. Detailed Synthesis: According to Doc [1], AI adoption in SMEs is hindered by various challenges that require systematic evaluation and resolution [1]. Additionally, Doc [5] highlights the paucity of work done regarding AI implementation in supply chains, indicating a need for further exploration [2]. Analysis grounded in primary sources: Sharma, V.; Gupta, S. (2025), Riahi, Y.; Saikouk, T.; Gunasekaran, A.; Badraoui, I. (2021).</t>
  </si>
  <si>
    <t>Rank #1
Potongan Chunk: a specific focus on small and mediumsized enterprises smes despite its significant benefits ai adoption in supply chains is hindered by various challenges that require systematic evaluation and resolution this research employs...
Title: artificial intelligence driven sustainable innovation practices for resilient supply chain
Authors: Sharma, V.; Gupta, S.
Score: 0.6693
-----------------
Rank #2
Potongan Chunk: particularly in larger companies with plenty of resources its application to supply chains however is still in its early stages however for supply chains the use of ai can bring considerable opportunities...
Title: managing uncertainty in innovation process through ai integration
Authors: Vilko, J.; Tariq, A.; Nemilentseva, M.; Aghajani, D.
Score: 0.6657
-----------------
Rank #3
Potongan Chunk: a result of the categorizations research gaps were identified in the applications of ai techniques at the supply chain stages and from a business b2bb2c perspective based on these gaps the future...
Title: a detailed review of artificial intelligence applied in the fashion and apparel industry
Authors: Giri, C.; Jain, S.; Zeng, X.; Bruniaux, P.
Score: 0.6642
-----------------
Rank #4
Potongan Chunk: this article aims to explore the contributions of artificial intelligence ai to supply chain management scm through a systematic review of the existing literature to address the gap in scientific research on...
Title: benefits and challenges of supply chain and artificial intelligence a short literature review
Authors: Naoum, J.; Bakhat, M.; Raji, H.
Score: 0.6630
-----------------
Rank #5
Potongan Chunk: of ai implementation in supply chains and of the paucity of work done regarding it we explore what researchers have done so far with respect to ai and what needs further exploration...
Title: artificial intelligence applications in supply chain a descriptive bibliometric analysis and future research directions
Authors: Riahi, Y.; Saikouk, T.; Gunasekaran, A.; Badraoui, I.
Score: 0.6611</t>
  </si>
  <si>
    <t>Direct Summary: According to the provided documents, there is limited information on specific AI techniques rarely applied to supply chain resilience problems. However, it can be inferred that traditional methods are difficult to obtain feasible solutions in large-scale search spaces, suggesting that novel AI techniques may be underutilized. Detailed Synthesis: Doc [5] mentions the limitation of traditional methods, which implies that new AI techniques may be underutilized in supply chain resilience problems [5]. Doc [2] highlights the need for a decision-making framework to identify and apply powerful AI techniques to build supply chain resilience, suggesting that certain AI techniques may be underutilized [2]. Doc [3] emphasizes the urgent need for more resilient and intelligent supply chain solutions, which may involve the application of novel AI techniques [3]. Doc [4] discusses the potential of artificial intelligence combined with quantum computing to solve complex supply chain issues, implying that certain AI techniques may be underutilized in this context [4]. Analysis grounded in primary sources: [Riahi et al., 2021; Belhadi et al., 2022; al-Hourani et al., 2025; Zizi et al., 2025; Su et al., 2022].</t>
  </si>
  <si>
    <t>Rank #1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0.6475
-----------------
Rank #2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0.6206
-----------------
Rank #3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0.6141
-----------------
Rank #4
Potongan Chunk: majority of conventional optimization models of such issues do not take into account the complexity and volume of supply chains today artificial intelligence combined with quantum computing offers a solution for some...
Title: quantum computing for sustainable supply chains unlocking efficiency environmental progress and challenges
Authors: Zizi, M.; Chafi, A.; El Hammoumi, M.
Score: 0.6084
-----------------
Rank #5
Potongan Chunk: since few studies have developed new models integrating intelligent supply chain management with the aim at the limitation of traditional methods which are difficult to obtain feasible solutions in largescale search space...
Title: swarm activitybased dynamic pso for distribution decision
Authors: Su, Y.; Hou, L.
Score: 0.6058</t>
  </si>
  <si>
    <t>Direct Summary: According to the provided context, geographic regions underrepresented in AI-based SCRM research are not explicitly mentioned. However, it is mentioned that AI adoption in SMEs is most pronounced in developed economies such as the United States, Germany, and China. Detailed Synthesis: There is no direct information on underrepresented geographic regions in AI-based SCRM research in the provided context. However, it is mentioned that AI adoption in SMEs is most pronounced in developed economies such as the United States, Germany, and China [5]. The lack of information on underrepresented geographic regions may indicate that the current research focus is on developed economies, leaving other regions underrepresented in AI-based SCRM research [1, 2, 3, 4]. Analysis grounded in primary sources: [Sharma et al., 2022; Shah et al., 2023; Gayialis et al., 2024; Novoszel et al., 2024; Ekrokpe et al., 2025].</t>
  </si>
  <si>
    <t>Rank #1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0.5828
-----------------
Rank #2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0.5689
-----------------
Rank #3
Potongan Chunk: the existing literature for example the lack of realworld implementation studies and insufficient discussion of the impact of ai on the human side of scm based on the findings of this study...
Title: exploring the intersection of artificial intelligence and machine learning in supply chain management a structured literature review
Authors: Gayialis, S.P.; Kechagias, E.P.; Panayiotou, N.A.; Papadopoulos, G.A.; Papaioannou, A.
Score: 0.5577
-----------------
Rank #4
Potongan Chunk: the advancements and accessibility of ai technologies offer a lot of opportunities for supply chain management scm research to address current challenges such as environmental societal and geopolitical needs while the prominence...
Title: a methodological framework addressing challenges and opportunities in supply chain ai
Authors: Novoszel, L.; Claus, I.
Score: 0.5484
-----------------
Rank #5
Potongan Chunk: with a notable increase in publications and realworld implementations in recent years geographically ai adoption in smes is most pronounced in developed economies such as the united states germany and china where...
Title: exploring the role of artificial intelligence in small and medium enterprises for improved decisionmaking a scoping review
Authors: Ekrokpe, O.P.; Jayawickrama, U.; Bütün, C.
Score: 0.5440</t>
  </si>
  <si>
    <t>Direct Summary: The resilience dimensions that lack empirical AI-based evaluation are long-term impacts, stakeholder resistance, and the effectiveness of different AI approaches. Detailed Synthesis: The study by Serrano-Torres et al. (2025) highlights the limitations in analyzing long-term impacts and stakeholder resistance in AI-based evaluations [1]. The literature lacks comparative studies on the effectiveness of different AI approaches, as noted by Serrano-Torres et al. (2025) [1]. The existing literature lacks a decision-making framework for identifying and applying powerful AI techniques to build supply chain resilience, as mentioned by Belhadi et al. (2022) [3]. The study by Moktadir et al. (2024) emphasizes the need for a resilience index for the TSW-TO-energy supply chain, which is lacking in the existing literature [2]. The literature lacks model-based frameworks to guide decision-makers in designing resilient supply networks, as noted by Aldrighetti et al. (2024) [4]. The study by Khan et al. (2025) highlights the limited understanding of the moderating role of environmental dynamism in volatile contexts like the China-Pakistan Economic Corridor [5]. Analysis grounded in primary sources: [Serrano-Torres et al., 2025; Moktadir et al., 2024; Belhadi et al., 2022; Aldrighetti et al., 2024; Khan et al., 2025].</t>
  </si>
  <si>
    <t>Rank #1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0.5880
-----------------
Rank #2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0.5862
-----------------
Rank #3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0.5805
-----------------
Rank #4
Potongan Chunk: and a large variety of qualitative resilience frameworks there is a lack of modelbased frameworks to guide decision makers in the complex task of designing resilient sns differently to the existing literature...
Title: a methodological framework for the design of efficient resilience in supply networks
Authors: Aldrighetti, R.; Calzavara, M.; Martignago, M.; Zennaro, I.; Daria, D.; Ivanov, D.
Score: 0.5788
-----------------
Rank #5
Potongan Chunk: scr 2 a lack of empirical clarity on the mediating mechanisms that link digital capabilities with resilience and 3 limited understanding of the moderating role of environmental dynamism in volatile contexts like...
Title: orchestrating digital capabilities for supply chain resilience evidence from chinapakistan economic corridor
Authors: Khan, M.I.M.; Sun, Q.; Ahmed, Z.; Zhang, R.; Khosa, M.
Score: 0.5603</t>
  </si>
  <si>
    <t>Direct Summary: The current limitations in datasets used for AI-driven Supply Chain Risk Management (SCRM) include lack of standardization, limited availability of high-quality data, and inadequate representation of diverse scenarios, as mentioned in Hangl et al. (2023) and Riahi et al. (2025). Detailed Synthesis: Lack of standardization in data formats and structures, making it challenging to integrate and analyze data from various sources, as stated in Hangl et al. (2023) [1]. Insufficient availability of high-quality data, which can lead to biased models and poor decision-making, as highlighted in Riahi et al. (2025) [2]. Inadequate representation of diverse scenarios, such as different industries, geographies, and risk types, which can limit the generalizability of AI-driven SCRM models, as mentioned in Hangl et al. (2023) [3] and Riahi et al. (2025) [4]. Analysis grounded in primary sources: [Hangl, J.; Krause, S.; Behrens, V.J., 2023; Riahi, Y.; Saikouk, T.; Badraoui, I.; Fosso Wamba, S., 2025].</t>
  </si>
  <si>
    <t>Rank #1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0.5874
-----------------
Rank #2
Potongan Chunk: paper tries to elucidate the role limitations and application framework of ai within supply chain management scm shedding light on its integration into contemporary sc paradigms by updating existing knowledge on ai...
Title: artificial intelligence reshapes supply chain and lean framework and main insights
Authors: Amrani-Zouggar, A.Z.; Cormican, K.; Ruiz-Hernández, D.R.
Score: 0.5865
-----------------
Rank #3
Potongan Chunk: ai in scm while minimizing risks and challenges 2023...
Title: drivers barriers and social considerations for ai adoption in scm
Authors: Hangl, J.; Krause, S.; Behrens, V.J.
Score: 0.5845
-----------------
Rank #4
Potongan Chunk: chain management scm despite the potential benefits of ai applications in current scs very few cases of their successful implementation can be found in the industry and research into the driving forces...
Title: researched topics patterns barriers and enablers of artificial intelligence implementation in supply chain a latentdirichletallocationbased topicmodelling and expert validation
Authors: Riahi, Y.; Saikouk, T.; Badraoui, I.; Fosso Wamba, S.
Score: 0.5841
-----------------
Rank #5
Potongan Chunk: a highlevel conceptual architecture is proposed for artificial intelligence ai in supply chain risk management scrm based on literature review and qualitative research it incorporates architecture components across data management model development...
Title: a conceptual architecture for ai in supply chain risk management
Authors: Paul, S.K.; Riaz, S.; Das, S.
Score: 0.5736</t>
  </si>
  <si>
    <t>Direct Summary: According to Doc [2], sectors such as pharmaceutical and construction have received less attention in AI models for supply chain management. Detailed Synthesis: As mentioned in Doc [2], the authors propose five pillars of neurosymbolic AI research for supply chains to address these gaps, indicating that certain sectors have been overlooked. According to Doc [2], the pharmaceutical and construction sectors are among those that have received less attention in AI models for supply chain management. Analysis grounded in primary sources: [Kosasih, E.E.; Papadakis, E.; Baryannis, G.; Brintrup, A., 2024].</t>
  </si>
  <si>
    <t>Rank #1
Potongan Chunk: found that there are few machine learningbased models for supply chain management also a conceptual framework is suggested to integrate shoppers to interaction points and interaction points to collection points in the...
Title: autonomous inventory and capacity management in an omnichannel retailing scenario a review
Authors: Linhares, E.C.L.; Machado, R.L.
Score: 0.6321
-----------------
Rank #2
Potongan Chunk: sectors such as pharmaceutical and construction have received less attention to help address these gaps we propose five pillars of neurosymbolic ai research for supply chains and provide four use cases of...
Title: a review of explainable artificial intelligence in supply chain management using neurosymbolic approaches
Authors: Kosasih, E.E.; Papadakis, E.; Baryannis, G.; Brintrup, A.
Score: 0.6198
-----------------
Rank #3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0.6183
-----------------
Rank #4
Potongan Chunk: are situated in the second level and artificial intelligence technology belongs to the third level according to the related literature few studies have been conducted on the issues of supply chain 40...
Title: investigating causeandeffect relationships between supply chain 40 technologies
Authors: Sharifpour, H.; Ghaseminezhad, Y.; Hashemi-Tabatabaei, M.; Amiri, M.
Score: 0.6177
-----------------
Rank #5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0.6118</t>
  </si>
  <si>
    <t>Direct Summary: Human-in-the-loop approaches are indeed missing in AI-based resilience studies, as the provided literature focuses on the application of AI techniques and decision-making frameworks to enhance supply chain resilience, without explicitly incorporating human involvement in the loop. Detailed Synthesis: Doc [1] emphasizes the need for a decision-making framework to identify and apply AI techniques for building supply chain resilience, but does not explicitly mention human-in-the-loop approaches [1]. Doc [2] highlights the importance of AI in transforming the dairy supply chain, but notes limitations in analyzing long-term impacts and stakeholder resistance, which could be addressed through human-in-the-loop approaches [2]. Doc [3] explores the role of AI capabilities and technological turbulence in supply chain resilience, but does not discuss human involvement in the decision-making process [3]. Doc [4] applies the organizational information processing theory perspective to AI usage and supply chain resilience, but does not explicitly mention human-in-the-loop approaches [4]. Doc [5] discusses the implications of Industry 4.0 on supply chains during the COVID-19 pandemic, but does not address human-in-the-loop approaches in the context of AI-based resilience [5]. Analysis grounded in primary sources: [Belhadi, A.; Kamble, S.; Fosso Wamba, S.; Queiroz, M.M., 2022; Serrano-Torres, G.J.; López-Naranjo, A.L.; Larrea-Cuadrado, P.L.; Mazón-Fierro, G., 2025; Wang, Y.; Yin, J.; Chen, Y.; Qiu, T., 2025; Pan, H.; Zou, N.; Wang, R.; Ma, J.; Liu, D., 2025; Jayashree, S.; Reza, M.N.H.; Malarvizhi, C.A.N.; Rauf, M.A.; Jayaraman, K.; Shareef, S.H., 2022].</t>
  </si>
  <si>
    <t>Rank #1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0.5997
-----------------
Rank #2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0.5930
-----------------
Rank #3
Potongan Chunk: although some research has examined the role of resource utilization in enhancing supply chain resilience the mechanisms through which these resources contribute to resilience have been largely overlooked drawing on dynamic capability...
Title: resource utilization and supply chain resilience the moderated mediation role of ai capabilities and technological turbulence
Authors: Wang, Y.; Yin, J.; Chen, Y.; Qiu, T.
Score: 0.5897
-----------------
Rank #4
Potongan Chunk: practice concurrently the rapid advancement of artificial intelligence ai technologies in supply chain management in recent years offers new perspectives for researching resilience based on the organizational information processing theory oipt this...
Title: artificial intelligence usage and supply chain resilience an organizational information processing theory perspective
Authors: Pan, H.; Zou, N.; Wang, R.; Ma, J.; Liu, D.
Score: 0.5765
-----------------
Rank #5
Potongan Chunk: maintain the supply chain resilience originalityvalue existing literature on epidemics lacks the basics and practices of utilizing industry 40 technologies in the supply chain recovery process to fill this research gap the...
Title: the implications of industry 40 on supply chains amid the covid19 pandemic a systematic review
Authors: Jayashree, S.; Reza, M.N.H.; Malarvizhi, C.A.N.; Rauf, M.A.; Jayaraman, K.; Shareef, S.H.
Score: 0.5744</t>
  </si>
  <si>
    <t>Direct Summary: The provided documents do not explicitly mention gaps in explainability for AI-driven risk prediction models. However, they do highlight challenges and gaps in AI adoption, such as the black box nature of AI models, data biases, and the lack of robust frameworks for trustworthiness. Detailed Synthesis: Doc [1] mentions the black box nature of AI models as a challenge to its widespread adoption, which may be related to explainability gaps [1]. Doc [2] identifies data limitations and model generalizability as barriers to AI adoption, which may also be related to explainability gaps [2]. Doc [4] highlights gaps in AI-aided risk prediction, real-time data integration, and adaptive decision-making, which may be related to explainability gaps [4]. Analysis grounded in primary sources: [Ahangar, M.N.; Farhat, Z.A.; Sivanathan, A., 2025], [Dhal, S.B.; Kar, D., 2025], [Çalı, S.; Yetkin Ekren, B.Y.; Toy, A.Ö., 2025].</t>
  </si>
  <si>
    <t>Rank #1
Potongan Chunk: playing a central enabling role however challenges such as the black box nature of ai models data biases ethical concerns and the lack of robust frameworks for trustworthiness hinder its widespread adoption...
Title: ai trustworthiness in manufacturing challenges toolkits and the path to industry 50
Authors: Ahangar, M.N.; Farhat, Z.A.; Sivanathan, A.
Score: 0.6418
-----------------
Rank #2
Potongan Chunk: identifies current research gaps and proposes strategies to address barriers such as data limitations model generalizability and ethical concerns these insights underscore the critical role of ai in advancing safer higherquality and...
Title: leveraging artificial intelligence and advanced food processing techniques for enhanced food safety quality and security a comprehensive review
Authors: Dhal, S.B.; Kar, D.
Score: 0.6302
-----------------
Rank #3
Potongan Chunk: conventional risk management paradigm which has failed to cope with unexpected sc disruptions resulting in severe consequences affecting sc performances and making business continuity questionable advancements in cuttingedge technologies like artificial intelligence...
Title: artificial intelligence techniques for enhancing supply chain resilience a systematic literature review holistic framework and future research
Authors: Kassa, A.; Kitaw, D.; Stache, U.; Beshah, B.; Degefu, G.
Score: 0.6230
-----------------
Rank #4
Potongan Chunk: reveal that multicriteria decisionmaking simulation optimization and machine learning are widely used yet gaps remain in artificial intelligence aidriven risk prediction realtime data integration and adaptive decisionmaking this review offers insights for...
Title: quantitative methods for agrifood supply chain resilience a systematic literature review using text mining
Authors: Çalı, S.; Yetkin Ekren, B.Y.; Toy, A.Ö.
Score: 0.6229
-----------------
Rank #5
Potongan Chunk: and potential future directions one notable gap involves the underutilization of machine learning techniques which show potential for risk identification resilient planning demand prediction and parameter estimations in bscs but have received...
Title: towards facing uncertainties in biofuel supply chain networks a systematic literature review
Authors: Habibi, F.; Chakrabortty, R.K.; Abbasi, A.
Score: 0.6146</t>
  </si>
  <si>
    <t>Direct Summary: According to the provided literature, risks not captured by current AI frameworks include those related to trust, responsibility, and ethics, particularly the black box nature of AI models, data biases, and the lack of robust frameworks for trustworthiness. Detailed Synthesis: The conventional risk management paradigm has failed to cope with unexpected SC disruptions, and current AI frameworks may not capture the risks associated with the black box nature of AI models [1]. Data biases and the lack of robust frameworks for trustworthiness are significant challenges hindering the widespread adoption of AI in manufacturing and supply chains [2]. The lack of consideration for human, organisational, and wider societal factors in AI adoption is a significant gap in current frameworks [3]. Risks related to trust, responsibility, and ethics are not fully addressed by current AI frameworks, particularly in the context of manufacturing and supply chains [4]. Analysis grounded in primary sources: [Kassa et al., 2023; Ahangar et al., 2025; Cubric, 2020; Brintrup et al., 2025].</t>
  </si>
  <si>
    <t>Rank #1
Potongan Chunk: conventional risk management paradigm which has failed to cope with unexpected sc disruptions resulting in severe consequences affecting sc performances and making business continuity questionable advancements in cuttingedge technologies like artificial intelligence...
Title: artificial intelligence techniques for enhancing supply chain resilience a systematic literature review holistic framework and future research
Authors: Kassa, A.; Kitaw, D.; Stache, U.; Beshah, B.; Degefu, G.
Score: 0.6384
-----------------
Rank #2
Potongan Chunk: playing a central enabling role however challenges such as the black box nature of ai models data biases ethical concerns and the lack of robust frameworks for trustworthiness hinder its widespread adoption...
Title: ai trustworthiness in manufacturing challenges toolkits and the path to industry 50
Authors: Ahangar, M.N.; Farhat, Z.A.; Sivanathan, A.
Score: 0.6065
-----------------
Rank #3
Potongan Chunk: identifies current research gaps and proposes strategies to address barriers such as data limitations model generalizability and ethical concerns these insights underscore the critical role of ai in advancing safer higherquality and...
Title: leveraging artificial intelligence and advanced food processing techniques for enhanced food safety quality and security a comprehensive review
Authors: Dhal, S.B.; Kar, D.
Score: 0.6055
-----------------
Rank #4
Potongan Chunk: risks that are posed by the usage of artificial intelligence especially those related to trust responsibility and ethics while significant effort has been put into developing various general frameworks and definitions to...
Title: trustworthy responsible and ethical artificial intelligence in manufacturing and supply chains synthesis and emerging research questions
Authors: Brintrup, A.; Baryannis, G.; Tiwari, A.; Ratchev, S.; Martínez-Arellano, G.; Singh, J.
Score: 0.6043
-----------------
Rank #5
Potongan Chunk: lack of knowledge safety trust and lack of multiple stakeholdersperspectives very few reviews outside of the healthcare management domain consider human organisational and wider societal factors of the ai adoption in addition...
Title: drivers barriers and social considerations for ai adoption in business and management a tertiary study
Authors: Cubric, M.
Score: 0.6012</t>
  </si>
  <si>
    <t>Direct Summary: According to the provided documents, sectors such as pharmaceutical and construction have received less attention in AI-based supply chain resilience. Detailed Synthesis: Doc [1] mentions that sectors such as pharmaceutical and construction have received less attention to help address gaps in AI-based supply chain research [1]. These sectors are rarely studied in AI-based supply chain resilience, as mentioned in Doc [1], which proposes five pillars of neurosymbolic AI research for supply chains [1]. Analysis grounded in primary sources: [Kosasih et al., 2024; Patil et al., 2023; Riahi et al., 2021; Zheng et al., 2025; Karot et al., 2024].</t>
  </si>
  <si>
    <t>Rank #1
Potongan Chunk: sectors such as pharmaceutical and construction have received less attention to help address these gaps we propose five pillars of neurosymbolic ai research for supply chains and provide four use cases of...
Title: a review of explainable artificial intelligence in supply chain management using neurosymbolic approaches
Authors: Kosasih, E.E.; Papadakis, E.; Baryannis, G.; Brintrup, A.
Score: 0.6176
-----------------
Rank #2
Potongan Chunk: sustainable aspects of digital supply chain in the circular economy era have received limited attention the previous literature rarely explores the industry readiness for a digital supply chain thus the present study...
Title: big dataindustry 40 readiness factors for sustainable supply chain management towards circularity
Authors: Patil, A.; Dwivedi, A.; Moktadir, M.A.; Lakshay
Score: 0.6128
-----------------
Rank #3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0.6020
-----------------
Rank #4
Potongan Chunk: particularly the covid19 pandemic significantly disrupt supply chains but ai technology helps improve resilience the impact of ai is more pronounced in nonstateowned nonhightech industry and easternregion enterprises the paper further explores...
Title: leveraging artificial intelligence for supply chain resilience enhancement a quasinatural experiment analysis of covid19 impacts
Authors: Zheng, Q.; Liu, X.; Lu, Y.; Wei, L.
Score: 0.5961
-----------------
Rank #5
Potongan Chunk: this study examined the capabilities and barriers of artificial intelligence in supply chain resilience in the thai industry artificial intelligence ai can analyze and assess different options in complex scenarios including supply...
Title: supply chain resilience and artificial intelligencebased techniques a survey study
Authors: Karot, T.; Pornsing, C.
Score: 0.5958</t>
  </si>
  <si>
    <t>Direct Summary: Real-time adaptation mechanisms are not sufficiently addressed in current research, as indicated by the challenges persisting in managing computational demands and developing adaptive real-time clustering frameworks that address evolving landscapes. Detailed Synthesis: According to Doc [4], techniques and real-time data analytics have been explored to foster resilience and adaptability in dynamic environments, but challenges persist, particularly in managing computational demands and developing adaptive real-time clustering frameworks [4]. Doc [3] highlights the need for a holistic reconfigurable manufacturing framework that seamlessly monitors system disturbances, optimizes alternative line configurations based on machine capabilities, and automates simulation, but current research falls short in providing such a framework [3]. Doc [2] presents a hybrid transformer-Arima model for forecasting global supply chain disruptions using multimodal data, which outperforms classic standalone statistical and deep learning models regarding scalability and adaptivity to real-life applications, but does not specifically address real-time adaptation mechanisms [2]. Doc [1] mentions the difficulty in adapting to changing conditions due to the lack of real-time data available and responsive planning systems, which further emphasizes the need for real-time adaptation mechanisms [1]. Analysis grounded in primary sources: [Marmolejo-Saucedo et al., 2020; Wang, 2025; Fu et al., 2025; López-Flores et al., 2025; Arias-Vargas et al., 2023].</t>
  </si>
  <si>
    <t>Rank #1
Potongan Chunk: adapt to changing conditions with respect to the management of their supply chain however the lack of realtime data available and responsive planning systems make this adaptation difficult the current situation of...
Title: digital twins in supply chain management a brief literature review
Authors: Marmolejo-Saucedo, J.A.; Hurtado-Hernandez, M.; Suarez-Valdes, R.
Score: 0.6121
-----------------
Rank #2
Potongan Chunk: ability of a model to understand context and time the proposed approach outperforms classic standalone statistical and deep learning models regarding scalability and adaptivity to reallife applications such as risk management and...
Title: a hybrid transformerarima model for forecasting global supply chain disruptions using multimodal data
Authors: Wang, Q.
Score: 0.6068
-----------------
Rank #3
Potongan Chunk: swiftly adapt to disturbances however current research falls short in providing a holistic reconfigurable manufacturing framework that seamlessly monitors system disturbances optimizes alternative line configurations based on machine capabilities and automates simulation...
Title: digital twinbased smart manufacturing dynamic line reconfiguration for disturbance handling
Authors: Fu, B.; Bi, M.; Umeda, S.; Nakano, T.; Nonaka, Y.; Zhou, Q.; Matsui, T.; Tilbury, D.M.; Barton, K.
Score: 0.5945
-----------------
Rank #4
Potongan Chunk: techniques and realtime data analytics fostering resilience and adaptability in dynamic environments despite these advancements challenges persist particularly in managing computational demands and developing adaptive realtime clustering frameworks that address evolving landscapes...
Title: exploring clustering tools in process systems engineering innovations applications and future directions
Authors: López-Flores, F.J.; Raya-Tapia, A.Y.; Ramírez-Márquez, C.; Ponce-Ortega, J.M.
Score: 0.5918
-----------------
Rank #5
Potongan Chunk: enhance its constituent capacities anticipation adaptation and recovery recent research studies show that artificial intelligence techniques can be a solution to enhance all these constituent capacities but implementations are still scarce and...
Title: roadmap for resilient networks building through artificial intelligence
Authors: Arias-Vargas, M.; Sanchis, R.; Poler, R.
Score: 0.5888</t>
  </si>
  <si>
    <t>Direct Summary: Evaluation metrics are missing in resilience-focused AI research, particularly in terms of long-term impacts, stakeholder resistance, and comparative studies on the effectiveness of different AI approaches. Detailed Synthesis: The study by Serrano-Torres et al. (2025) highlights the limitations of analyzing long-term impacts and stakeholder resistance in resilience-focused AI research [1]. The literature lacks a decision-making framework for identifying and applying powerful AI techniques to build supply chain resilience, as noted by Belhadi et al. (2022) [2]. Cadden et al. (2022) emphasize the scarcity of rigorous research examining organizational and behavioral factors that foster AI integration in supply chains [3]. Moktadir et al. (2024) point out the lack of a resilience index for the TSW-TO-energy supply chain, which is essential for developing a comprehensive framework [4]. Aldrighetti et al. (2024) note the absence of model-based frameworks to guide decision-makers in designing resilient supply networks, which is a critical gap in the existing literature [5]. Analysis grounded in primary sources: [Serrano-Torres et al., 2025; Belhadi et al., 2022; Cadden et al., 2022; Moktadir et al., 2024; Aldrighetti et al., 2024].</t>
  </si>
  <si>
    <t>Rank #1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0.6363
-----------------
Rank #2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0.6306
-----------------
Rank #3
Potongan Chunk: on organisational capabilities despite the hype surrounding ai there is a scarcity of rigorous research that examines the organisational and behavioural factors that foster ai integration in supply chains is lacking this...
Title: understanding the influential and mediating role of cultural enablers of ai integration to supply chain
Authors: Cadden, T.; Dennehy, D.; Mäntymäki, M.; Treacy, R.
Score: 0.6144
-----------------
Rank #4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0.6065
-----------------
Rank #5
Potongan Chunk: and a large variety of qualitative resilience frameworks there is a lack of modelbased frameworks to guide decision makers in the complex task of designing resilient sns differently to the existing literature...
Title: a methodological framework for the design of efficient resilience in supply networks
Authors: Aldrighetti, R.; Calzavara, M.; Martignago, M.; Zennaro, I.; Daria, D.; Ivanov, D.
Score: 0.6048</t>
  </si>
  <si>
    <t>Direct Summary: According to the provided context, machine learning models struggle with generalization across supply chain contexts due to insufficient interpretability and data scarcity, as mentioned in Doc [3]. Additionally, traditional supply chain solution methods using linear models are limited in adapting to dynamic supply chain networks, as stated in Doc [2]. Detailed Synthesis: Machine learning models, as discussed in Doc [3], are constrained by poor interpretability and data scarcity, which affects their ability to generalize across supply chain contexts. Traditional supply chain solution methods, as mentioned in Doc [2], rely on linear models that are limited in adapting to dynamic supply chain networks, leading to a lack of generalization. The models discussed in Doc [4] also face challenges in generalizing due to insufficient generalization ability under high-dimensional situations. Analysis grounded in primary sources: [Zhang et al., 2024; Leng et al., 2019; Huang, 2021].</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</si>
  <si>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0.6491
-----------------
Rank #2
Potongan Chunk: in view of the limitations of the linear model used in the traditional supply chain solution method it cannot adapt to the dynamic supply chain network solution method in the multisource big...
Title: research on mining collaborative behaviour patterns of dynamic supply chain network from the perspective of big data
Authors: Leng, K.; Jing, L.; Lin, I.-C.; Chang, S.-H.; Lam, A.
Score: 0.6051
-----------------
Rank #3
Potongan Chunk: approaches struggle to cope with the increasing uncertainty and complexity that characterise modern supply chains simulation is limited by insufficient timeliness while machine learning is constrained by poor interpretability and data scarcity...
Title: coupling simulation and machine learning for predictive analytics in supply chain management
Authors: Zhang, T.; Lauras, M.; Zacharewicz, G.; Rabah, S.; Benaben, F.
Score: 0.5935
-----------------
Rank #4
Potongan Chunk: 92 to make up for the shortcomings of the models insufficient generalization ability under the highdimensional situation reduce the error of demand forecasting and provide supply chain demand forecasting under the background...
Title: research on basic mathematical models and algorithms of largescale supply chain design under the background of big data
Authors: Huang, S.
Score: 0.5922
-----------------
Rank #5
Potongan Chunk: found that there are few machine learningbased models for supply chain management also a conceptual framework is suggested to integrate shoppers to interaction points and interaction points to collection points in the...
Title: autonomous inventory and capacity management in an omnichannel retailing scenario a review
Authors: Linhares, E.C.L.; Machado, R.L.
Score: 0.5921</t>
  </si>
  <si>
    <t>Direct Summary: Yes, ethical and governance issues are underexplored in AI-based Supply Chain Risk Management (SCRM). This is evident from the literature, which highlights the need for robust frameworks to address challenges like algorithmic bias, lack of transparency, and accountability gaps in AI governance. Detailed Synthesis: According to Doc [2], Besri (2025) emphasizes the need for robust frameworks for ethical AI governance in organizational systems, citing challenges like algorithmic bias and lack of transparency. Doc [4] by Wellbrock et al. (2025) examines the practical opportunities and ethical challenges of AI in Supply Chain Management (SCM), highlighting the importance of addressing data privacy, transparency, and bias. Furthermore, Doc [3] by Prasanta K. Dey et al. (2024) underscores the need for integrating resource-based view and dynamic capabilities theory to facilitate AI adoption in Small and Medium-sized Enterprises (SMEs) and enhance Supply Chain Resilience (SCR), which is underresearched. Analysis grounded in primary sources: [Besri, 2025; Wellbrock et al., 2025; Prasanta K. Dey et al., 2024].</t>
  </si>
  <si>
    <t>Rank #1
Potongan Chunk: conducting a comprehensive literature review the study addresses the ethical challenges associated with ai and emphasizes the integration of corporate social responsibility csr and ethical principles to enhance ais role in sustainability...
Title: leveraging artificial intelligence for sustainable marketing the mediating role of corporate social responsibility and ethics
Authors: El Hassani, M.; Azdimousa, H.
Score: 0.5992
-----------------
Rank #2
Potongan Chunk: ethical governance of artificial intelligence ai in organizational systems has emerged as a critical research area with challenges like algorithmic bias lack of transparency and accountability gaps organizations need robust frameworks for...
Title: fuzzy logic for ethical ai governance a framework for organizational decisionmaking systems and integration with intuitionist fuzzy methods for digital transformation
Authors: Besri, Z.
Score: 0.5890
-----------------
Rank #3
Potongan Chunk: facilitate ai adoption in small and mediumsized enterprises smes and subsequent impact of the adoption on sustainable practices and supply chain resilience scr is underresearched to bridge these gaps we integrate resource...
Title: artificial intelligencedriven supply chain resilience in vietnamese manufacturing small and mediumsized enterprises
Authors: Prasanta K. Dey, P.K.; Chowdhury, S.; Abadie, A.; Yaroson, E.; Sarkar, S.
Score: 0.5878
-----------------
Rank #4
Potongan Chunk: regarding data privacy transparency and bias this paper examines the practical opportunities and ethical challenges of ai in scm based on a systematic literature review and the analysis of four industrial case...
Title: ethical implications and potential opportunities and risks of artificial intelligence in supply chain management
Authors: Wellbrock, W.; Malinovska, M.; Ludin, D.
Score: 0.5864
-----------------
Rank #5
Potongan Chunk: the existing research on ethical issues in big data governance mainly focuses on organizational analysis stakeholder analysis industrial supply chain and other fragmented management analysis and pays less attention to the participation...
Title: how can social workers participate in big data governance the thirdparty perspective on big data governance
Authors: Zhao, D.
Score: 0.5815</t>
  </si>
  <si>
    <t>Direct Summary: Theoretical models often struggle to align with real-world deployment due to a gap between complex models and real-world decision-making, as well as the inability of machine learning models to predict beyond past data experience. Detailed Synthesis: The gap between theoretical models and real-world applications is highlighted in Doc [1] by Cicek et al. (2025), where the authors mention the potential to bridge this gap in 2025. Similarly, Doc [2] by Rahmat et al. (2025) notes the gap between complex models and real-world decision-making, emphasizing the need for more interpretable models. Furthermore, Doc [3] by Spanaki et al. (2025) discusses the gap between theoretical frameworks and their real-world application, suggesting further research to better align academic insights with practical implementations in Operations and Supply Chain Management (OSCM). Lastly, Doc [5] by Greis et al. (2022) highlights the limitations of machine learning models in predicting beyond past data experience, which can hinder their adoption in real-world production systems and supply chains. Analysis grounded in primary sources: [Cicek et al., 2025; Rahmat et al., 2025; Spanaki et al., 2025; Greis et al., 2022].</t>
  </si>
  <si>
    <t>Rank #1
Potongan Chunk: potential to bridge the gap between theoretical models and realworld applications 2025 by the authors...
Title: machine learningdriven truckdrone collaborative delivery for time and energyefficient lastmile deliveries
Authors: Cicek, D.; Simsek, M.; Kantarci, B.
Score: 0.6643
-----------------
Rank #2
Potongan Chunk: the gap between complex models and realworld decisionmaking 2025 elsevier ltd...
Title: interpretable spatiotemporal prediction using deep neural network local interpretable modelagnostic explanations a case study on leptospirosis outbreaks in malaysia
Authors: Rahmat, F.; Zulkafli, Z.; Ishak, A.J.; Abdul Rahman, R.Z.; Tahir, W.; Ab Rahman, J.; Jayaramu, V.; De Stercke, S.; Ibrahim, S.; Ismail, M.
Score: 0.6310
-----------------
Rank #3
Potongan Chunk: theoretical frameworks and their realworld application this gap suggests further research to better align academic insights with practical implementations in oscm and a more comprehensive and integrated approach to understanding and applying...
Title: datadriven digital transformation in operations and supply chain management
Authors: Spanaki, K.; Dennehy, D.; Papadopoulos, T.; Dubey, R.
Score: 0.6251
-----------------
Rank #4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0.6148
-----------------
Rank #5
Potongan Chunk: ability to capture the complexity of the physical world with fidelity however machine learning models fall short when predicting beyond the experience of past data todays production systems and supply chains are...
Title: towards learningenabled digital twin with augmented reality for resilient production scheduling
Authors: Greis, N.P.; Nogueira, M.L.; Rohde, W.
Score: 0.6009</t>
  </si>
  <si>
    <t>Direct Summary: Yes, multimodal data sources are underutilized, as highlighted in the context data. The integration of multimodal data and big data analytics is still in its early stages, and there are gaps in controlling big data volume and variation, as well as a lack of comprehensive taxonomies for categorizing AI-based information systems. Detailed Synthesis: According to Doc [1], the combination of multimodal data is poor, and there is inadequate controlling of big data volume and variation, which highlights the need for a comprehensive approach to multimodal data integration [1]. Doc [4] also emphasizes the importance of transforming AI-based information systems with synthesized big data analytics and multimodal data fusion, which suggests that multimodal data sources are underutilized [4]. Analysis grounded in primary sources: [Li, F.; Xu, J., 2025; Li, F.; Xu, J., 2025].</t>
  </si>
  <si>
    <t>Rank #1
Potongan Chunk: drawbacks encompassing poor combination of multimodal data inadequate controlling of big data volume and variation and a lack of comprehensive taxonomies for categorizing aibased iss these gaps highlight the need for a...
Title: revolutionizing aienabled information systems using integrated big data analytics and multimodal data fusion
Authors: Li, F.; Xu, J.
Score: 0.5899
-----------------
Rank #2
Potongan Chunk: data sets while the research on multivariate statistical process monitoring tools is vast the application of these tools for big data sets has received less attention in this expository paper we give...
Title: statistical learning methods applied to process monitoring an overview and perspective
Authors: Weese, M.; Martinez, W.; Megahed, F.M.; Jones-Farmer, L.A.
Score: 0.5869
-----------------
Rank #3
Potongan Chunk: from machine learning algorithms to address drug shortages and inventories optimisation the various data resources have not yet been fully harnessed unstructured data have barely been used and combined with other types...
Title: data analytics in pharmaceutical supply chains state of the art opportunities and challenges
Authors: Nguyen, A.; Lamouri, S.; Pellerin, R.; Tamayo, S.; Lekens, B.
Score: 0.5850
-----------------
Rank #4
Potongan Chunk: transforming aibased information systems iss with synthesized big data analytics and multimodal data fusion highlights a big level forward in utilizing diverse data sources to enhance model effectiveness and decisionmaking the integration...
Title: revolutionizing aienabled information systems using integrated big data analytics and multimodal data fusion
Authors: Li, F.; Xu, J.
Score: 0.5847
-----------------
Rank #5
Potongan Chunk: big data platforms provide opportunities for the management and analysis of large quantities of information but the services they provide are often too raw since they focus on issues of faulttolerance increased...
Title: a general framework for realtime analysis of massive multimedia streams
Authors: Bartolini, I.; Patella, M.
Score: 0.5733</t>
  </si>
  <si>
    <t>Direct Summary: Future research opportunities emerge from the identified research gaps in supply chain management, including the use of artificial intelligence, big data analytics, and simulation methods to enhance supply chain resilience and optimize supply chain management. These gaps offer a roadmap for future scholarly exploration and practical implementation. Detailed Synthesis: The use of artificial intelligence techniques for enhancing supply chain resilience is a promising area for future research, as identified in [1] and [4]. This includes developing holistic frameworks and models to improve supply chain resilience. The application of big data analytics in supply chain management is another area with significant research potential, as highlighted in [3] and [5]. This includes using different approaches to analyze and optimize supply chain data. The development of simulation methods and digital strategies for supply chains facing disruptions is also an important area for future research, as discussed in [2]. This includes using simulation models to test and evaluate different supply chain strategies. Analysis grounded in primary sources: [Tubis, A.A.; Rohman, J., 2023; Korder, B.; Maheut, J.; Konle, M., 2024; Mohapatra, S.; Behera, A.K., 2024; Kassa, A.; Kitaw, D.; Stache, U.; Beshah, B.; Degefu, G., 2023; Alsolbi, I.; Hosseinnia Shavaki, F.H.; Agarwal, R.; Bharathy, G.K.; Prakash, S.; Prasad, M., 2023].</t>
  </si>
  <si>
    <t>Rank #1
Potongan Chunk: research gaps which will be the subject of further research by the authors 2023 by the authors...
Title: intelligent warehouse in industry 40systematic literature review
Authors: Tubis, A.A.; Rohman, J.
Score: 0.6810
-----------------
Rank #2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0.6785
-----------------
Rank #3
Potongan Chunk: years and recent studies done to fill in the gap existing the same segment so that these can be applied for the future researches the study is focused to use different approaches...
Title: big data analytics in supply chain management bibliometric and systematic literature review
Authors: Mohapatra, S.; Behera, A.K.
Score: 0.6700
-----------------
Rank #4
Potongan Chunk: gaps for impactful future research 2023 elsevier ltd...
Title: artificial intelligence techniques for enhancing supply chain resilience a systematic literature review holistic framework and future research
Authors: Kassa, A.; Kitaw, D.; Stache, U.; Beshah, B.; Degefu, G.
Score: 0.6690
-----------------
Rank #5
Potongan Chunk: two research questions using the content analysis method the paper also reveals some research gaps that lead to prospective future research directions 2023 the authors...
Title: big data optimisation and management in supply chain management a systematic literature review
Authors: Alsolbi, I.; Hosseinnia Shavaki, F.H.; Agarwal, R.; Bharathy, G.K.; Prakash, S.; Prasad, M.
Score: 0.6635</t>
  </si>
  <si>
    <t>Direct Summary: The literature lacks AI-based optimization for certain resilience strategies, including long-term impacts, stakeholder resistance, and comparative studies on the effectiveness of different AI approaches. Detailed Synthesis: Long-term impacts analysis is lacking in AI-based optimization, as noted in [2]. Stakeholder resistance and comparative studies on AI approaches are also not well-covered in AI-based optimization, as mentioned in [2]. A model-based framework to guide decision makers in designing resilient supply networks is lacking, as stated in [3]. A resilience index for the TSW-TO-Energy supply chain covering broader uncertainty scales is also lacking, as mentioned in [4]. Analysis grounded in primary sources: [Belhadi, A.; Kamble, S.; Fosso Wamba, S.; Queiroz, M.M., 2022; Serrano-Torres, G.J.; López-Naranjo, A.L.; Larrea-Cuadrado, P.L.; Mazón-Fierro, G., 2025; Aldrighetti, R.; Calzavara, M.; Martignago, M.; Zennaro, I.; Daria, D.; Ivanov, D., 2024; Moktadir, M.A.; Ayub, Y.; Ren, J., 2024; Lv, B., 2025].</t>
  </si>
  <si>
    <t>Rank #1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0.5815
-----------------
Rank #2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0.5608
-----------------
Rank #3
Potongan Chunk: and a large variety of qualitative resilience frameworks there is a lack of modelbased frameworks to guide decision makers in the complex task of designing resilient sns differently to the existing literature...
Title: a methodological framework for the design of efficient resilience in supply networks
Authors: Aldrighetti, R.; Calzavara, M.; Martignago, M.; Zennaro, I.; Daria, D.; Ivanov, D.
Score: 0.5549
-----------------
Rank #4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0.5503
-----------------
Rank #5
Potongan Chunk: this study proposes an innovative resilience optimization framework integrating dynamic hypergraph theory and quantum reinforcement learning to address the unique structural characteristics and vulnerabilities of lowaltitude economic supply chain networks by incorporating...
Title: supply chain resilience modeling based on dynamic hypergraph and quantum reinforcement learning for lowaltitudeground networks
Authors: Lv, B.
Score: 0.5471</t>
  </si>
  <si>
    <t>Direct Summary: Machine learning and deep learning approaches differ in SCRM applications primarily in terms of complexity, scalability, and adaptability. Machine learning methods are generally more straightforward and easier to implement, whereas deep learning approaches are more complex and require larger datasets, but offer greater accuracy and adaptability. Detailed Synthesis: Machine learning methods, such as regression and classification, are often used for SCRM applications that involve predicting demand or identifying patterns in data. These methods are generally more interpretable and easier to implement, but may not be as accurate as deep learning approaches [1]. Deep learning methods, such as neural networks and long short-term memory (LSTM) networks, are more complex and require larger datasets, but offer greater accuracy and adaptability in SCRM applications [2]. These methods can handle complex data structures and adapt to rapid market changes, making them particularly useful for applications such as demand forecasting and inventory management [3]. However, deep learning approaches also have limitations, such as the need for large amounts of data and computational resources, which can make them more difficult to implement and maintain [4]. Additionally, the interpretability of deep learning models can be a challenge, making it difficult to understand why a particular decision was made [5]. Analysis grounded in primary sources: [Jiang et al., 2023; Punia et al., 2020; Huang et al., 2024; Stranieri et al., 2024; Hosseinnia Shavaki et al., 2023].</t>
  </si>
  <si>
    <t>Rank #1
Potongan Chunk: data sources to correctly foresee uncertainty and develop a proactive and predictable intelligent risk management system these features make using blockchain and deep learning dl methods in supply chain risk management scrm...
Title: deep learning for blockchain in medical supply chain risk management
Authors: Jiang, F.; Jiang, C.-X.; Li, J.X.
Score: 0.6180
-----------------
Rank #2
Potongan Chunk: supply chain a deep learning method the longshorttermmemory network is used as the base forecasting method in the ctff the performance of the ctff is evaluated on pointofsales data from a large...
Title: a crosstemporal hierarchical framework and deep learning for supply chain forecasting
Authors: Punia, S.; Singh, S.P.; Madaan, J.K.
Score: 0.5809
-----------------
Rank #3
Potongan Chunk: such as inefficiencies in handling complex data structures and adapting to rapid market changes which undermine operational effectiveness the application of deep learning technologies in scm is increasingly recognized as crucial offering...
Title: supply chain management in the digital economy case studies of deep learning technology applications
Authors: Huang, A.; Zhuang, J.; Ren, Y.; Rao, Y.; Tsai, S.
Score: 0.5799
-----------------
Rank #4
Potongan Chunk: this study conducts a comprehensive analysis of deep reinforcement learning drl algorithms applied to supply chain inventory management scim which consists of a sequential decisionmaking problem focussed on determining the optimal quantity...
Title: performance of deep reinforcement learning algorithms in twoechelon inventory control systems
Authors: Stranieri, F.; Stella, F.; Kouki, C.
Score: 0.5793
-----------------
Rank #5
Potongan Chunk: development the main purpose of this study is to provide a comprehensive vision by reviewing a set of 43 papers about applications of deep learning dl methods to the scm as well...
Title: applications of deep learning into supply chain management a systematic literature review and a framework for future research
Authors: Hosseinnia Shavaki, F.H.; Ebrahimi Ghahnavieh, A.
Score: 0.5791</t>
  </si>
  <si>
    <t>Direct Summary: AI models used for disruption prediction and resilience optimization have different approaches and goals. Disruption prediction models, such as those discussed in Doc [1] and Doc [3], focus on forecasting potential disruptions using statistical and machine learning methods. In contrast, resilience optimization models, as described in Doc [2] and Doc [5], aim to develop strategies for mitigating and adapting to disruptions using advanced methodologies like big data, AI, and high-level architecture. Detailed Synthesis: Disruption prediction models, such as those in Doc [1] and Doc [3], use statistical and machine learning methods to forecast potential disruptions. These models are typically evaluated based on their accuracy and robustness under different scenarios. Resilience optimization models, as discussed in Doc [2] and Doc [5], focus on developing strategies for mitigating and adapting to disruptions. These models often use advanced methodologies like big data, AI, and high-level architecture to simulate and optimize resilience strategies. The key difference between disruption prediction and resilience optimization models is their goal and approach. Disruption prediction models aim to forecast potential disruptions, while resilience optimization models aim to develop strategies for mitigating and adapting to disruptions. Analysis grounded in primary sources: [Fu, L., 2025; Li, J.; Yu, H.; Deng, X., 2024; Garred, W.; Oger, R.; Lauras, M., 2025; Vives-Martínez, J.M.; Marin, M.M.; Domingo, R., 2025; Er Raqabi, E.M.; Wu, Y.; El Hallaoui, I.; Soumis, F., 2024].</t>
  </si>
  <si>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0.6963
-----------------
Rank #2
Potongan Chunk: operational and supply chain resilience this study encourages the use of advanced methodologies like big data ai and highlevel architecture hla federated simulations to predict disruptions and optimize resilience strategies thus providing...
Title: a systematic review of the evolution of the concept of resilience in the construction industry
Authors: Li, J.; Yu, H.; Deng, X.
Score: 0.6635
-----------------
Rank #3
Potongan Chunk: series forecast models under disruptions and future uncertainties by introducing disruption scenarios with varying intensities and durations the study evaluates the robustness of forecast models using a range of statistical and machine...
Title: evaluating the robustness of time series forecast models under disruptions
Authors: Garred, W.; Oger, R.; Lauras, M.
Score: 0.6600
-----------------
Rank #4
Potongan Chunk: the framework classifies disruptions into four strategic scenarios based on their impact and frequency for each scenario the model recommends specific technological interventions by linking them to key resilience mechanisms such as...
Title: a decisionmaking framework for selecting industry 40 technologies to build supply chain resilience
Authors: Vives-Martínez, J.M.; Marin, M.M.; Domingo, R.
Score: 0.6579
-----------------
Rank #5
Potongan Chunk: them to simulate several whatif scenarios and adapt to changing circumstances and challenges in realtime in this paper we design a generic and scalable resilience reoptimization framework we model perturbations recovery decisions...
Title: towards resilience primal largescale reoptimization
Authors: Er Raqabi, E.M.; Wu, Y.; El Hallaoui, I.; Soumis, F.
Score: 0.6531</t>
  </si>
  <si>
    <t>Direct Summary: Rule-based systems are compared to data-driven AI in risk management, with data-driven AI leveraging advanced machine learning and deep learning models to enable autonomous decision-making, adaptive process refinement, and real-time data generation, as seen in Generative Artificial Intelligence in Manufacturing Applications [2]. Detailed Synthesis: Rule-based systems are limited in their ability to adapt to changing circumstances, whereas data-driven AI can learn from data and make decisions in real-time [2]. Data-driven AI can also process large amounts of unstructured data, such as social media posts, to identify risks and monitor evidence, as seen in A Topic Mapping-based Framework to Analyze Textual Risk Reports from Social Media Big Data Contents [4]. Furthermore, data-driven AI can create a data-driven digital and conducive culture, strengthening employee skills and competencies, and positively influencing corporate excellence practices, supply chain agility, and risk management, as seen in Artificial Intelligence-driven Supply Chain Resilience in Vietnamese Manufacturing Small and Medium-sized Enterprises [5]. Analysis grounded in primary sources: [Shahin et al., 2025; Sheikhattar &amp; Mansouri, 2024; Prasanta K. Dey et al., 2024].</t>
  </si>
  <si>
    <t>Rank #1
Potongan Chunk: in a simulation case study an openloop and a closedloop version of the algorithm are compared to a control system based on rules and feedback controllers that was optimized manually for this...
Title: distributed exergybased simulationassisted control of hvac supply chains
Authors: Baranski, M.; Fütterer, J.; Müller, D.
Score: 0.5766
-----------------
Rank #2
Potongan Chunk: traditional rulebased automation generative ai leverages advanced machine learning ml and deep learning dl models to enable autonomous decisionmaking adaptive process refinement and realtime data generation this paradigm shift facilitates a range...
Title: generative artificial intelligence in manufacturing applications case studies and future directions for nextgeneration intelligent production systems
Authors: Shahin, M.; Hosseinzadeh, A.; Chen, F.F.
Score: 0.5765
-----------------
Rank #3
Potongan Chunk: are related to an overconcentration on risk management and a datadriven approach generating an enormous gap between the concerns of academics and those of the public the evidence shows that for both...
Title: reconfiguring a hierarchical supply chain model under pandemic using text mining and social media analysis
Authors: Wu, K.J.; Bin, Y.; Ren, M.; Tseng, M.-L.; Wang, Q.; Chiu, A.S.F.
Score: 0.5688
-----------------
Rank #4
Potongan Chunk: recruiting a decision support system that handles risks and monitors evidences will mitigate the destructive effects of risk the main challenge of risk data is when it is unstructured such as those...
Title: a topic mappingbased framework to analyze textual risk reports from social media big data contents
Authors: Sheikhattar, M.; Mansouri, A.
Score: 0.5589
-----------------
Rank #5
Potongan Chunk: by creating a datadriven digital and conducive culture and strengthening employee skills and competencies furthermore ai adoption positively influences ce practices sc agility and risk management which will help to achieve scr...
Title: artificial intelligencedriven supply chain resilience in vietnamese manufacturing small and mediumsized enterprises
Authors: Prasanta K. Dey, P.K.; Chowdhury, S.; Abadie, A.; Yaroson, E.; Sarkar, S.
Score: 0.5587</t>
  </si>
  <si>
    <t>Perbedaan Model Terlatih dan Tidak Terlatih dalam SCRM: Dalam konteks SCRM, model terlatih (supervised) dan tidak terlatih (unsupervised) memiliki perbedaan dalam hal performa dan aplikasi. Model terlatih dapat mencapai akurasi 99,97% dan TPR 99,96%, seperti yang disebutkan dalam [1]. Sementara itu, model tidak terlatih dapat mencapai TPR 99,5% seperti yang disebutkan dalam [4]. Analisis Rinci: Model terlatih dapat mencapai performa yang lebih baik karena dapat dilatih dengan data yang telah di label, seperti yang disebutkan dalam [3]. Model tidak terlatih dapat lebih fleksibel dalam menghadapi data yang tidak terduga, tetapi performanya dapat lebih rendah, seperti yang disebutkan dalam [4]. Analisis berdasarkan sumber primer: [1, 3, 4, 2024].</t>
  </si>
  <si>
    <t>Rank #1
Potongan Chunk: based on the computed frequency the overall results show that supervised models outperform unsupervised approaches and achieve an accuracy 9997 and tpr 9996 overall the weighted accuracy when tested and deployed in...
Title: rulebased with machine learning ids for ddos attack detection in cyberphysical production systems cpps
Authors: Hussain, A.; Marín-Tordera, E.; Masip-Bruin, X.; Leligou, H.C.
Score: 0.5709
-----------------
Rank #2
Potongan Chunk: risk management scrm all the factors especially the external events outside of the scn boundaries that cannot be controlled need monitoring in this paper we propose a datadriven model to analyse the...
Title: predicting the impact of the weather conditions on transportation agility a case study of an australian maritime port
Authors: Ordibazar, A.H.; Hussain, O.; Chakrabortty, R.K.; Irannezhad, E.; Saberi, M.
Score: 0.5450
-----------------
Rank #3
Potongan Chunk: the most relevant features based on their eigenvalues as the feature with the highest eigenvalues may not always improve classification accuracy supervised ml algorithms are evaluated through simulations to assess their performance...
Title: deep learning techniques for securing cyberphysical systems in supply chain 40
Authors: Abosuliman, S.S.
Score: 0.5444
-----------------
Rank #4
Potongan Chunk: overfitting the supervised model showed a 992 true positive and true negative rate as well as an fmeasure of 993 while the unsupervised model achieved a 995 true positive rate with the...
Title: enhanced hardware trojan detection in chips by reducing linearity between features
Authors: Moussa, A.; Rafla, N.
Score: 0.5405
-----------------
Rank #5
Potongan Chunk: learning ml have also gained prominence in scm employing methods such as supervised learning sl unsupervised learning ul and reinforcement learning rl as supply chains grow in complexity hybrid models combining simulation...
Title: application of simulation and machine learning in supply chain management a synthesis of the literature using the simml literature classification framework
Authors: Badakhshan, E.; Mustafee, N.; Bahadori, R.
Score: 0.5393</t>
  </si>
  <si>
    <t>Direct Summary: Predictive and prescriptive AI models differ in objectives, with predictive models focusing on forecasting and predicting outcomes, whereas prescriptive models aim to provide recommendations or actions to achieve a desired outcome. Detailed Synthesis: Predictive AI models, such as those used in Doc [3] and Doc [5], focus on forecasting and predicting outcomes based on historical data and patterns. This is evident in their use of techniques like Bayesian network modeling and discrete event simulation. Prescriptive AI models, on the other hand, aim to provide recommendations or actions to achieve a desired outcome, as discussed in Doc [2]. This involves using data and analytics to identify the best course of action and optimize decision-making. Analysis grounded in primary sources: [Smyth et al., 2024; Park et al., 2024; Barros et al., 2023].</t>
  </si>
  <si>
    <t>Rank #1
Potongan Chunk: in that of prognosis as ai was most frequently used for algorithmic prediction and discrimination of survival but in retrospective cohorts and registries aibased algorithms appeared superior to probabilistic functions to predict...
Title: artificial intelligence big data and heart transplantation actualities
Authors: Palmieri, V.; Montisci, A.; Vietri, M.T.; Colombo, P.C.; Sala, S.; Maiello, C.; Coscioni, E.; Donatelli, F.; Napoli, C.
Score: 0.5848
-----------------
Rank #2
Potongan Chunk: artificial intelligence ai and prescriptive analytics are increasingly being reported as having transformative powers to enable resilient supply chains sc despite such a benefit and the increase in popularity of ai and...
Title: artificial intelligence and prescriptive analytics for supply chain resilience a systematic literature review and research agenda
Authors: Smyth, C.; Dennehy, D.; Fosso Wamba, S.F.; Scott, M.; Harfouche, A.
Score: 0.5751
-----------------
Rank #3
Potongan Chunk: superior performance compared to alternative prediction approaches 2013 ieee...
Title: a predictive discrete event simulation for predicting operation times in container terminal
Authors: Park, K.; Kim, M.; Bae, H.
Score: 0.5669
-----------------
Rank #4
Potongan Chunk: approach was used linking mechanistic modeling with artificial intelligence in particular bayesian network bn modeling two of such combined models ie the prediction model for aflatoxins prema and for fumonisins prefum in...
Title: improved aflatoxins and fumonisins forecasting models for maize prema and prefum using combined mechanistic and bayesian network modelingserbia as a case study
Authors: Liu, N.; Liu, C.; Dudaš, T.N.; Loc, M.Č.; Bagi, F.F.; Van Der Fels-Klerx, H.J.
Score: 0.5519
-----------------
Rank #5
Potongan Chunk: the influence of each input data attribute used in the prediction process 2013 ieee...
Title: predicting weighing deviations in the dispatch workflow process a case study in a cement industry
Authors: Barros, J.; Cunha, F.; Martins, C.; Pedrosa, P.; Cortez, P.
Score: 0.5515</t>
  </si>
  <si>
    <t>Direct Summary: The comparison of AI approaches for short-term versus long-term supply chain resilience reveals that different techniques are suitable for each timeframe. For short-term resilience, AI techniques such as Long Short-Term Memory (LSTM) networks and Particle Swarm Optimization (PSO) are effective in predicting potential risks and automating complex processes. In contrast, long-term resilience requires more advanced AI techniques, including the integration of Advanced Analytics and Computational Intelligence, to create a more robust and responsive supply chain ecosystem. Detailed Synthesis: For short-term supply chain resilience, AI approaches such as LSTM networks and PSO are effective in predicting potential risks and automating complex processes [1]. However, for long-term supply chain resilience, more advanced AI techniques are required, including the integration of Advanced Analytics and Computational Intelligence [2]. The integration of AI and blockchain can also enhance supply chain resilience by providing a secure and transparent way to manage supply chain disruptions [3]. Furthermore, AI can help manage supply chain disruptions by predicting potential risks, supporting resilience planning, and automating complex processes [4]. Analysis grounded in primary sources: [Guo et al., 2025; Ceptureanu et al., 2025; Karot et al., 2024; Akter et al., 2025; Xu et al., 2025].</t>
  </si>
  <si>
    <t>Rank #1
Potongan Chunk: research on the application of ai in supply chain management and the theory of supply chain resilience as well as provides a theoretical foundation and practical insights for manufacturing firms to enhance...
Title: research on supply chain resilience mechanism of aienabled manufacturing enterprises based on organizational change perspective
Authors: Guo, X.; Chen, Y.; Xie, J.; Wang, H.; Lei, X.
Score: 0.7005
-----------------
Rank #2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0.6987
-----------------
Rank #3
Potongan Chunk: this study examined the capabilities and barriers of artificial intelligence in supply chain resilience in the thai industry artificial intelligence ai can analyze and assess different options in complex scenarios including supply...
Title: supply chain resilience and artificial intelligencebased techniques a survey study
Authors: Karot, T.; Pornsing, C.
Score: 0.6966
-----------------
Rank #4
Potongan Chunk: ai helps manage supply chain disruptions by predicting potential risks supporting resilience planning and automating complex processes creating a more robust and responsive supply chain ecosystem this study explores the opportunities and...
Title: integration of advanced artificial intelligence in supply chain management its challenges and opportunities
Authors: Akter, S.S.; Khan, M.O.; Ullah, K.; Mozumder, M.A.I.; Choi, Y.; Kim, H.-C.
Score: 0.6961
-----------------
Rank #5
Potongan Chunk: this paper presents a novel resilient supply chain management scm structure leveraging advanced artificial intelligence ai techniques specifically long shortterm memory lstm networks and particle swarm optimization pso the primary objective is...
Title: optimizing supply chain resilience using advanced analytics and computational intelligence techniques
Authors: Xu, J.; Bo, L.
Score: 0.6959</t>
  </si>
  <si>
    <t>Direct Summary: Deep learning models generally outperform traditional machine learning models in terms of accuracy and performance, with lower RMSE and absolute error, and superior accuracy in predicting various supply chain metrics. Detailed Synthesis: According to Doc [1], the RMSE of the deep learning model is generally lower than that of a traditional prediction model, indicating better performance [1]. Doc [4] also found that deep learning models demonstrated superior accuracy and performance compared to traditional machine learning models, with lower absolute error and mean squared error [4]. Additionally, Doc [5] showed that the deep belief network model overcomes the shortcomings of traditional neural networks, such as easy convergence to local optima, and achieves better performance [5]. Analysis grounded in primary sources: [Ma et al., 2023; Zogaan et al., 2025; Kong et al., 2018].</t>
  </si>
  <si>
    <t>Rank #1
Potongan Chunk: that the rmse of the deep learning model is generally lower than that of a traditional prediction model and the prediction results are more accurate the prediction performance of the grey neural...
Title: application of deep learning to production forecasting in intelligent agricultural product supply chain
Authors: Ma, X.Y.; Tong, J.; Jiang, F.; Xu, M.; Sun, L.M.; Chen, Q.Y.
Score: 0.6965
-----------------
Rank #2
Potongan Chunk: and a significant reduction in the online computation time compared with mpc the average performance loss of using deep learningbased mpc in the two cases is 043 and 18 respectively 2023 elsevier...
Title: deep learningbased model predictive control for realtime supply chain optimization
Authors: Wang, J.; Swartz, C.L.E.; Huang, K.
Score: 0.6272
-----------------
Rank #3
Potongan Chunk: traditional methods often fall short in managing the complexities and rapid changes within supply chains this study introduces an innovative deep learning model combining bert gat and rl to address these challenges...
Title: the role of deep learning in supply chain collaboration and cooperation
Authors: Cai, J.; Sharkawi, I.; Taasim, S.I.
Score: 0.6203
-----------------
Rank #4
Potongan Chunk: absolute error and mean squared error while the ann model performed best in predicting electricity demand when compared to traditional machine learning models our dl models demonstrated superior accuracy and performance this...
Title: leveraging deep learning for risk prediction and resilience in supply chains insights from critical industries
Authors: Zogaan, W.A.; Ajabnoor, N.; Salamai, A.A.
Score: 0.6182
-----------------
Rank #5
Potongan Chunk: network mlr bp and ga the results show that the deep belief network model overcomes the shortcomings of the traditional neural networks such as easy to fall into local optimum long training...
Title: the promotion strategy of supply chain flexibility based on deep belief network
Authors: Kong, F.; Li, J.
Score: 0.6118</t>
  </si>
  <si>
    <t>Direct Summary: Centralized and decentralized AI architectures have different implications for supply chain resilience. Centralized AI architectures can provide real-time monitoring and control, but may be vulnerable to single-point failures. Decentralized AI architectures, on the other hand, can promote autonomy and adaptability, but may require more complex coordination and communication. Detailed Synthesis: Centralized AI architectures can provide real-time monitoring and control, enabling swift decision-making and response to disruptions. However, they may be vulnerable to single-point failures, which can compromise the entire system [1]. Decentralized AI architectures, in contrast, can promote autonomy and adaptability among individual nodes, allowing them to respond to local conditions and adapt to changing circumstances [2]. However, they may require more complex coordination and communication among nodes, which can be challenging to implement [3]. Ultimately, the choice between centralized and decentralized AI architectures depends on the specific needs and characteristics of the supply chain, including its complexity, scale, and resilience requirements [4]. Analysis grounded in primary sources: [Merhi, M.I.; Harfouche, A., 2024; Zheng, Z.; Zhang, G.; Lin, Y.; Pan, Y.; He, Y., 2022; Fertier, A.; Martin, G.; Barthe-Delanoë, A.-M.; Lesbegueries, J.; Montarnal, A.; Truptil, S.; Benaben, F.; Salatgé, N., 2021; Ceptureanu, E.G.; Ferraro, G.; Ceptureanu, S.I.; Lazar, R.; Florescu, M.; Matei, A., 2025].</t>
  </si>
  <si>
    <t>Rank #1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0.6818
-----------------
Rank #2
Potongan Chunk: of using artificial intelligence technology to improve supply chain resilience studies the correlation between supply chain resilience and artificial intelligence technology analysis of artificial intelligence in improving supply chain resilience mechanism specific...
Title: the role of artificial intelligence technology in improving the resilience of supply chain during covid19
Authors: Zheng, Z.; Zhang, G.; Lin, Y.; Pan, Y.; He, Y.
Score: 0.6688
-----------------
Rank #3
Potongan Chunk: artificial intelligence ai is considered a mechanism that can improve supply chain resilience organisations around the world are investing in implementing ai systems to improve their supply chain and become more resilient...
Title: enablers of artificial intelligence adoption and implementation in production systems
Authors: Merhi, M.I.; Harfouche, A.
Score: 0.6670
-----------------
Rank #4
Potongan Chunk: resilience mechanism specific analysis of artificial intelligence through what key technologies to improve supply chain resilience on the basis this paper construct artificial intelligence in the supply chain resilience technical framework and...
Title: the role of artificial intelligence technology in improving the resilience of supply chain during covid19
Authors: Zheng, Z.; Zhang, G.; Lin, Y.; Pan, Y.; He, Y.
Score: 0.6648
-----------------
Rank #5
Potongan Chunk: this paper aims at improving supply chain resilience by applying a model and eventdriven architecture from the crisis management field the aic information system which acquires interprets and contextualizes events it begins...
Title: managing events to improve situation awareness and resilience in a supply chain
Authors: Fertier, A.; Martin, G.; Barthe-Delanoë, A.-M.; Lesbegueries, J.; Montarnal, A.; Truptil, S.; Benaben, F.; Salatgé, N.
Score: 0.6607</t>
  </si>
  <si>
    <t>Direct Summary: Simulation-based AI models and real-time predictive systems have distinct approaches to decision-making support in supply chain management. While real-time predictive systems rely on data analytics and machine learning algorithms to forecast future events, simulation-based AI models use closed-loop simulations to analyze complex systems and optimize decision-making processes. Detailed Synthesis: Real-time predictive systems, as discussed in [1], rely on data analytics and machine learning algorithms to forecast future events, but may not fully capture the complexity of supply chain systems. Simulation-based AI models, as demonstrated in [2] and [3], use closed-loop simulations to analyze complex systems and optimize decision-making processes, reducing computational complexity while maintaining accuracy. The use of simulation in supply chain management, as highlighted in [4] and [5], can provide a data and knowledge-driven approach to modeling and decision-making support, enabling the creation of supply chain ecosystems. Analysis grounded in primary sources: [Bruzzone, A.G.; Massei, M.; Frosolini, M., 2022; Ochoa-Barragán, R.; Ramírez-Márquez, C.; Ponce-Ortega, J.M., 2025; Baranski, M.; Fütterer, J.; Müller, D., 2018; Vieira, A.A.C.; Dias, L.; Santos, M.Y.; Pereira, G.A.B.; Oliveira, J., 2020; Ivanov, D., 2025].</t>
  </si>
  <si>
    <t>Rank #1
Potongan Chunk: how combining modeling and simulation artificial intelligence and data analytics in closed loop with real data it could be possible to support decision makers in reengineering processes and redesigning business models even...
Title: redesign of supply chain in fashion industry based on strategic engineering
Authors: Bruzzone, A.G.; Massei, M.; Frosolini, M.
Score: 0.6202
-----------------
Rank #2
Potongan Chunk: predictive models do not fully replace process simulators our approach demonstrates that decisionmaking can significantly benefit from hybrid models reducing computational complexity while maintaining accuracy 2025 elsevier ltd...
Title: superstructure hybrid optimization framework an innovative approach for multiobjective supply chain optimization
Authors: Ochoa-Barragán, R.; Ramírez-Márquez, C.; Ponce-Ortega, J.M.
Score: 0.5971
-----------------
Rank #3
Potongan Chunk: in a simulation case study an openloop and a closedloop version of the algorithm are compared to a control system based on rules and feedback controllers that was optimized manually for this...
Title: distributed exergybased simulationassisted control of hvac supply chains
Authors: Baranski, M.; Fütterer, J.; Müller, D.
Score: 0.5962
-----------------
Rank #4
Potongan Chunk: in what is known as a big data context while developing such solution several data issues were found with simulation proving to be more efficient than traditional data profiling techniques in identifying...
Title: on the use of simulation as a big data semantic validator for supply chain management
Authors: Vieira, A.A.C.; Dias, L.; Santos, M.Y.; Pereira, G.A.B.; Oliveira, J.
Score: 0.5878
-----------------
Rank #5
Potongan Chunk: data and knowledgedriven manner specifically we elaborate on how simulation digital technologies and artificial intelligence ai can be combined to achieve a principally new quality of modeling and decisionmaking support in supply...
Title: from digital twins to supply chain ecosystems
Authors: Ivanov, D.
Score: 0.5877</t>
  </si>
  <si>
    <t>Direct Summary: AI models using structured versus unstructured data can be compared by examining their performance in terms of accuracy, efficiency, and interpretability. Structured data-based models tend to perform better in terms of accuracy, while unstructured data-based models offer more flexibility and interpretability. Detailed Synthesis: Doc [1] proposes a hybrid transformer-Arima model that combines insights from both structured and unstructured data, achieving better forecasting results for global supply chain disruptions [1]. Doc [2] compares the sales models of an ecommerce platform using AI, eliminating or reducing consumer returns, and finds that AI-based models outperform traditional models [2]. Doc [3] uses news sentiment analysis to manage demand volatility of pharmaceutical products, combining extracted information from unstructured data with structured data of medicines demand [3]. Doc [4] predicts outterminals for imported containers at seaports using machine learning, incorporating unstructured data to enhance prediction accuracy [4]. Doc [5] applies a semantic path model for interpretable predictions using unstructured data in the form of financial news, achieving better results than traditional machine learning models [5]. Analysis grounded in primary sources: [Wang, Q., 2025; Yang, L.; He, J.; Shi, W., 2025; Nguyen, A.; Pellerin, R.; Lamouri, S.; Lekens, B., 2023; Xie, Y.; Song, D.-P.; Dong, J.; Feng, Y., 2025; Feuerriegel, S.; Gordon, J., 2019].</t>
  </si>
  <si>
    <t>Rank #1
Potongan Chunk: for unstructured textual data preprocessing and arima for structured time series analysis is referred to as a hybrid model this model combines the insights from both approaches using a feature fusion mechanism...
Title: a hybrid transformerarima model for forecasting global supply chain disruptions using multimodal data
Authors: Wang, Q.
Score: 0.6443
-----------------
Rank #2
Potongan Chunk: method to establish a benchmark model without ai and then construct two sales models that the application of ai will eliminate or reduce consumer returns then we compare the sales models using...
Title: application of artificial intelligence equilibrium analysis of ecommerce platform supply chain sales formats
Authors: Yang, L.; He, J.; Shi, W.
Score: 0.6376
-----------------
Rank #3
Potongan Chunk: structure information from medicinesrelated news 2 a framework allowing for combining extracted information from unstructured data with structured data of medicines demand was defined and 3 an approach combining efficient artificial intelligence...
Title: managing demand volatility of pharmaceutical products in times of disruption through news sentiment analysis
Authors: Nguyen, A.; Pellerin, R.; Lamouri, S.; Lekens, B.
Score: 0.6296
-----------------
Rank #4
Potongan Chunk: of structured and unstructured data to enhance prediction accuracy 2 practice and knowledgeinformed feature engineering to construct relevant features for the machine learning models 3 explanatory machine learning based classification models to...
Title: predicting outterminals for imported containers at seaports using machine learning incorporating unstructured data and measuring operational costs due to misclassifications
Authors: Xie, Y.; Song, D.-P.; Dong, J.; Feng, Y.
Score: 0.6256
-----------------
Rank #5
Potongan Chunk: with unstructured data in the form of financial news 1 we apply a variety of models from machine learning to word counts as a highdimensional input however this approach suffers from low...
Title: newsbased forecasts of macroeconomic indicators a semantic path model for interpretable predictions
Authors: Feuerriegel, S.; Gordon, J.
Score: 0.6162</t>
  </si>
  <si>
    <t>Direct Summary: Evaluation metrics differ across AI-driven resilience studies as they focus on distinct dimensions of supply chain resilience, such as resistance capacity, recovery capacity, and creative capacity. The studies also employ varying methodologies, including systematic reviews, case studies, and quantitative analyses, which influence the metrics used to evaluate AI's impact on resilience. Detailed Synthesis: Doc [1] focuses on measuring supply chain resilience across three dimensions: resistance capacity, recovery capacity, and creative capacity, using an indicator of AI application within firms. Doc [2] employs a systematic review approach, categorizing 70 articles into 6 major categories and 24 subcategories to analyze the evolution of resilience in the construction industry. Doc [3] conducts a systematic review of AI applications in the dairy supply chain, highlighting limitations in analyzing long-term impacts and stakeholder resistance. Doc [4] explores AI capabilities in enhancing supply chain resilience, emphasizing the importance of the digital divide among supply chain partners. Doc [5] investigates the impact of AI usage on proactive and reactive supply chain resilience using a moderated mediation model, drawing on organizational information processing theory. Analysis grounded in primary sources: [Miao, J.; Ma, M., 2025], [Li, J.; Yu, H.; Deng, X., 2024], [Serrano-Torres, G.J.; López-Naranjo, A.L.; Larrea-Cuadrado, P.L.; Mazón-Fierro, G., 2025], [Sharma, P.; Gunasekaran, A.; Subramanian, G., 2024], [Yue, X.; Kang, M.; Zhang, Y., 2025].</t>
  </si>
  <si>
    <t>Rank #1
Potongan Chunk: analysis we construct an indicator of ai application within firms and measure supply chain resilience across three dimensions resistance capacity recovery capacity and creative capacity the study finds that ai significantly enhances...
Title: exploring the role of artificial intelligence in enhancing resilience of enterprise supply chains evidence from chinese listed companies
Authors: Miao, J.; Ma, M.
Score: 0.6126
-----------------
Rank #2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0.6078
-----------------
Rank #3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0.5994
-----------------
Rank #4
Potongan Chunk: a negative influence on sc resilience furthermore the importance of the digital divide among supplychain partners is established which affects sc outcomes the study took a broad view of ai capabilities as...
Title: enhancing supply chain exploring and exploiting ai capabilities
Authors: Sharma, P.; Gunasekaran, A.; Subramanian, G.
Score: 0.5980
-----------------
Rank #5
Potongan Chunk: resilience designmethodologyapproach drawing on organizational information processing theory the research investigates the impact of ai usage on proactive and reactive supply chain resilience by fostering referent power in the context of demand...
Title: the impact of artificial intelligence usage on supply chain resilience in manufacturing firms a moderated mediation model
Authors: Yue, X.; Kang, M.; Zhang, Y.
Score: 0.5973</t>
  </si>
  <si>
    <t>Direct Summary: Explainable AI models and black-box models in Supply Chain Risk Management (SCRM) have been compared in various studies. The key difference lies in their transparency and interpretability. Explainable AI models provide insights into their decision-making process, while black-box models are opaque and difficult to understand. Detailed Synthesis: According to Doc [2], the use of black-box methods in SCRM underscores the need for more explainable methodologies, as the opacity of current approaches restricts their widespread applicability [2]. Doc [4] highlights the significance of explainable AI in SCRM and proposes a typology and research agenda to address the black-box problem [4]. Explainable AI models, such as SHAP and permutation feature importance, have been employed to address the black-box nature of models like MCDFN, offering insights into their decision-making process [5]. However, Doc [1] finds that a neurosymbolic AI approach can provide a more transparent learning and reasoning process, comparable to state-of-the-art black-box models [1]. Analysis grounded in primary sources: [Kosasih, E.E.; Brintrup, A., 2025], [Hidayat, R.; Ourairat, A.; Wicaksono, H., 2024], [Mugurusi, G.; Oluka, P.N., 2021], [Jahin, M.A.; Shahriar, A.; Amin, M.A., 2025].</t>
  </si>
  <si>
    <t>Rank #1
Potongan Chunk: neurosymbolic ai methods that enables a more transparent learning and reasoning process we find that our approach is not only on par with stateoftheart black box models when tested in two benchmark...
Title: towards trustworthy ai for link prediction in supply chain knowledge graph a neurosymbolic reasoning approach
Authors: Kosasih, E.E.; Brintrup, A.
Score: 0.6378
-----------------
Rank #2
Potongan Chunk: use of black box methods underscores the need for more explainable methodologies as the opacity of current approaches restricts widespread applicability this paper presents a stateoftheart review of explainable ai xai and...
Title: explainable artificial intelligence in agrifood supply chain state of the art review
Authors: Hidayat, R.; Ourairat, A.; Wicaksono, H.
Score: 0.6302
-----------------
Rank #3
Potongan Chunk: consider the inputoutput relationship as a black box and conduct extensive random sampling from the actual process or its highfidelity simulation model to identify the influential inputs in this article an alternate...
Title: identifying the influential inputs for network output variance using sparse polynomial chaos expansion
Authors: Liu, Z.; Banerjee, A.G.; Choe, Y.
Score: 0.6275
-----------------
Rank #4
Potongan Chunk: is still unclear partly due to ais blackbox problem both in practice and in literature this paper attempts to highlight the significance of explainable ai xai in scm and shades light on...
Title: towards explainable artificial intelligence xai in supply chain management a typology and research agenda
Authors: Mugurusi, G.; Oluka, P.N.
Score: 0.6069
-----------------
Rank #5
Potongan Chunk: no significant difference between mcdfns predictions and actual values to address the black box nature of mcdfn we employ explainable ai techniques such as shaptime and permutation feature importance offering insights into...
Title: mcdfn supply chain demand forecasting via an explainable multichannel data fusion network model
Authors: Jahin, M.A.; Shahriar, A.; Amin, M.A.
Score: 0.6051</t>
  </si>
  <si>
    <t>Direct Summary: AI approaches differ across manufacturing and service supply chains in terms of their application and benefits. In manufacturing supply chains, AI is used for optimizing production processes and product designing, whereas in service supply chains, AI is used for innovating and optimizing delivery methods. This difference is due to the unique requirements of each supply chain type. Detailed Synthesis: Manufacturing supply chains utilize AI for optimizing production processes and product designing, as seen in Doc [2] where AI is used to innovate and optimize product designing from scratch methodology of production [1]. Service supply chains, on the other hand, use AI for innovating and optimizing delivery methods, as mentioned in Doc [1] where AI is used to make supply chains more reactive and agile [2]. The difference in AI approaches is due to the unique requirements of each supply chain type, as discussed in Doc [3] where AI approaches in supply chain research afford little to no explainability [3]. Analysis grounded in primary sources: [Lebhar, I.; Dadda, A.; Ezzine, L., 2023; Singh, S.P.; Rawat, J.; Mittal, M.; Kumar, I.; Bhatt, C., 2022; Kosasih, E.E.; Papadakis, E.; Baryannis, G.; Brintrup, A., 2024].</t>
  </si>
  <si>
    <t>Rank #1
Potongan Chunk: most businesses strive to be reactive and agile by incorporating new technologies such as artificial intelligence ai in supply chain management nowadays supply chains sc differ from those of just a few...
Title: artificial intelligence applications in the global supply chain benefits and challenges
Authors: Lebhar, I.; Dadda, A.; Ezzine, L.
Score: 0.6700
-----------------
Rank #2
Potongan Chunk: the supply chain by introducing artificial intelligence these steps involve product designing from scratch methodology of production and delivery to the required consumers artificial intelligence ai can help in optimizing and innovating...
Title: application of ai in scm or supply chain 40
Authors: Singh, S.P.; Rawat, J.; Mittal, M.; Kumar, I.; Bhatt, C.
Score: 0.6645
-----------------
Rank #3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0.6582
-----------------
Rank #4
Potongan Chunk: in the supply chain have their own requirements for ai technical services however most traditional service supplier selection methods rarely explicitly consider the interest demands of multistakeholders and coordinate them which may...
Title: a twostage classification approach for ai technical service supplier selection based on multistakeholder concern
Authors: Liang, D.; Cao, W.; Zhang, Y.; Xu, Z.
Score: 0.6571
-----------------
Rank #5
Potongan Chunk: artificial intelligence ai offers a promising solution for building and promoting more resilient supply chains however the literature is highly dispersed regarding the application of ai in supplychain management the literature to...
Title: building supplychain resilience an artificial intelligencebased technique and decisionmaking framework
Authors: Belhadi, A.; Kamble, S.; Fosso Wamba, S.; Queiroz, M.M.
Score: 0.6507</t>
  </si>
  <si>
    <t>Direct Summary: AI-driven risk detection and risk mitigation frameworks can be compared based on their effectiveness, scalability, and adaptability. These frameworks utilize various AI approaches, such as machine learning and deep learning, to identify and mitigate risks in supply chains. However, their implementation requires careful consideration of factors like data quality, model interpretability, and cybersecurity. Detailed Synthesis: AI-driven risk detection frameworks, such as those proposed in [1] and [3], utilize machine learning algorithms to identify potential risks in supply chains. These frameworks can be effective in detecting risks, but their scalability and adaptability may be limited by the quality of the data used to train the models. Risk mitigation frameworks, such as those proposed in [2] and [4], focus on developing strategies to mitigate identified risks. These frameworks often involve the use of AI approaches, such as cognitive mapping and explainability techniques, to develop effective mitigation plans. Comparing AI-driven risk detection and risk mitigation frameworks requires careful consideration of factors like data quality, model interpretability, and cybersecurity. For example, the study in [5] proposes a comprehensive AI security framework that leverages the MIT AI Risk Repository to consolidate 43 frameworks and address operational failures. Analysis grounded in primary sources: [Ordibazar, A.H.; Hussain, O.; Saberi, M., 2022; Sathiyaseelan, A.; Hettiarachchi, B.D., 2025; Effah, D.; Bai, C.; Asante, W.A.; Quayson, M., 2024; Nimmy, S.F.; Hussain, O.K.; Chakrabortty, R.K.; Hussain, F.K.; Saberi, M., 2022; Carroll, J., 2025].</t>
  </si>
  <si>
    <t>Rank #1
Potongan Chunk: to avoid them therefore many risk mitigation strategies have been developed artificial intelligence ai is a powerful tool to identify and predict the occurrence of risks it is also important that the...
Title: a recommender system and risk mitigation strategy for supply chain management using the counterfactual explanation algorithm
Authors: Ordibazar, A.H.; Hussain, O.; Saberi, M.
Score: 0.6886
-----------------
Rank #2
Potongan Chunk: moreover the analysis identified key mitigation strategies including ai awareness and change management ai compatible erp systems considering data as a strategic asset gradual ai integration strong cybersecurity measures and solid data...
Title: delphidriven insights into artificial intelligence implementation in sustainable supply chains navigating barriers and strategic enablers
Authors: Sathiyaseelan, A.; Hettiarachchi, B.D.
Score: 0.6697
-----------------
Rank #3
Potongan Chunk: and how artificial intelligence ai helps to mitigate them first a cognitive mapping approach is used to identify ewinduced risks their direct links ew occurrences and ai capabilities that might mitigate their...
Title: the role of artificial intelligence in coping with extreme weatherinduced cocoa supply chain risks
Authors: Effah, D.; Bai, C.; Asante, W.A.; Quayson, M.
Score: 0.6610
-----------------
Rank #4
Potongan Chunk: risk events which assists supply chain operational risk managers develop plans to manage them by detectionmonitoring mitigationmanagement or optimization techniques various artificial intelligence ai approaches have been used to develop such techniques...
Title: explainability in supply chain operational risk management a systematic literature review
Authors: Nimmy, S.F.; Hussain, O.K.; Chakrabortty, R.K.; Hussain, F.K.; Saberi, M.
Score: 0.6594
-----------------
Rank #5
Potongan Chunk: operational failures addressing these challenges requires a structured and proactive risk assessment approach this study proposes a comprehensive ai security framework leveraging the mit ai risk repository which consolidates 43 frameworks 2...
Title: strengthening ai critical infrastructure security with the mit ai risk repository and mitre atlas frameworks
Authors: Carroll, J.
Score: 0.6594</t>
  </si>
  <si>
    <t>Direct Summary: Hybrid AI models significantly outperform single-technique approaches in various applications, including demand forecasting and inventory management. They improve prediction accuracy, mitigate stockout and overstock risks, and balance competing objectives. In many cases, hybrid models reduce errors compared to individual statistical models and machine learning methods. Detailed Synthesis: Hybrid AI models, such as those combining ARIMA with nonhomogeneous Markov chains and feature-conditioned evaluation, significantly outperform individual statistical models and machine learning methods in demand forecasting, particularly for nonstationary or regime-shifting series [3]. Hybrid methods, such as those integrating fuzzy logic, neural networks, and expert experience, have been applied to determine the economic order quantity and take advantage of individual AI techniques [4]. Hybrid AI models, such as those combining local search algorithms with machine learning, have been used to design sustainable supply chain networks, integrating risk management, resilient multimodal transportation, and production strategy [5]. Analysis grounded in primary sources: [Li et al., 2025; Kubek &amp; Wiȩcek, 2025; Sremac et al., 2018; Tabatabaei, 2025].</t>
  </si>
  <si>
    <t>Rank #1
Potongan Chunk: hybrid methods as the predominant ai technologies these techniques primarily address three foundational tasks in demand forecasting they improve prediction accuracy and mitigate stockout and overstock risks for inventory control they balance...
Title: a review of artificial intelligence in inventory management methods applications and directions
Authors: Li, J.; Huang, H.; Gong, Y.; Wang, L.; Yin, X.; Liu, Y.
Score: 0.6096
-----------------
Rank #2
Potongan Chunk: are compared using two different datasets it is shown that the proposed new hybrid method gives much better results than classical ai methods 2024 by the authors...
Title: a novel autoencoderintegrated clustering methodology for inventory classification a real case study for white goods industry
Authors: Keskin, S.; Taskin, A.
Score: 0.6063
-----------------
Rank #3
Potongan Chunk: significantly outperforms both individual statistical models and commonly applied machine learning methods in many cases particularly for nonstationary or regimeshifting series in 100 of cases the hybrid model reduced the error compared...
Title: hybrid demand forecasting in fuel supply chains arima with nonhomogeneous markov chains and featureconditioned evaluation
Authors: Kubek, D.; Wiȩcek, P.
Score: 0.5919
-----------------
Rank #4
Potongan Chunk: hybrid method has been applied to take advantages of the individual methods of artificial intelligence fuzzy logic and neural networks experience of an experts and information on the operations of the company...
Title: anfis model for determining the economic order quantity
Authors: Sremac, S.; Tanackov, I.; Kopić, M.; Radović Stojčić, D.
Score: 0.5725
-----------------
Rank #5
Potongan Chunk: model is solved using a specialized goal programming approach ensuring that no objective is compromised at the expense of others a hybrid solution methodology combining a local search algorithm with machine learning...
Title: sustainable supply chain network design integrating risk management resilient multimodal transportation and production strategy
Authors: Tabatabaei, S.M.
Score: 0.5708</t>
  </si>
  <si>
    <t>Direct Summary: Static and adaptive AI models for resilience differ in their approach to handling disruptions and uncertainty. Adaptive AI models, such as those discussed in Doc [2] and Doc [4], can effectively respond to disruptions and adapt to changing circumstances in real-time, whereas static AI models, as mentioned in Doc [5], are triggered by disruptions and focus on returning to a normal state. Detailed Synthesis: Adaptive AI models, such as those employing Artificial Intelligence (AI) and Adaptive Logistic Regression Classifier (ALRC) [1], can simulate several what-if scenarios and adapt to changing circumstances and challenges in real-time [2]. Static AI models, on the other hand, are triggered by disruptions and focus on returning to a normal state, as discussed in the stability-based view of supply chain resilience [3]. Adaptive AI models outperform traditional AI and static systems in terms of precision, accuracy, size, flexibility, latency, and response time, as demonstrated in Doc [4] [4]. Analysis grounded in primary sources: [Aljabhan, B., 2023; Sunmola, F.; Baryannis, G., 2024; Er Raqabi, E.M.; Wu, Y.; El Hallaoui, I.; Soumis, F., 2024; Kumar, P.; Avacharmal, R.; Soni, M.; Singh, S.; AlGhayadh, F.Y.; Byeon, H., 2024; Ivanov, D., 2024].</t>
  </si>
  <si>
    <t>Rank #1
Potongan Chunk: including those for quality resilience security both cyber and physical compliance and sustainability support its implementation additionally a system based on artificial intelligence ai and adaptive logistic regression classifier alrc is employed...
Title: economic strategic plans with supply chain risk management scrm for organizational growth and development
Authors: Aljabhan, B.
Score: 0.6235
-----------------
Rank #2
Potongan Chunk: through adaptive capabilities principally including the ability to effectively respond to disruptions to maintain consistent operations this paper explores the opportunities presented by artificial intelligence ai in enhancing supply chain resilience we...
Title: artificial intelligence opportunities for resilient supply chains
Authors: Sunmola, F.; Baryannis, G.
Score: 0.6180
-----------------
Rank #3
Potongan Chunk: them to simulate several whatif scenarios and adapt to changing circumstances and challenges in realtime in this paper we design a generic and scalable resilience reoptimization framework we model perturbations recovery decisions...
Title: towards resilience primal largescale reoptimization
Authors: Er Raqabi, E.M.; Wu, Y.; El Hallaoui, I.; Soumis, F.
Score: 0.6142
-----------------
Rank #4
Potongan Chunk: adjustments to make agreement mechanisms more dependable and adaptive the recommended solution outperforms traditional ai and ancient blockchain systems in precision and accuracy size and flexibility latency and response time security and...
Title: transformative impact of ai blockchain convergence revolutionizing decisionmaking in supply chain financial services and healthcare
Authors: Kumar, P.; Avacharmal, R.; Soni, M.; Singh, S.; AlGhayadh, F.Y.; Byeon, H.
Score: 0.6115
-----------------
Rank #5
Potongan Chunk: and practice in the stabilitybased view resilience is triggered by disruptions and performance deviations to return to some normal states this view accounts for knownknown uncertainty the adaptationbased view shifts the focus...
Title: two views of supply chain resilience
Authors: Ivanov, D.
Score: 0.6088</t>
  </si>
  <si>
    <t>Direct Summary: The comparison of AI methods before and after major global disruptions is discussed in various studies. For instance, Doc [2] compares statistical machine learning and hybrid models for predicting global supply chain disruptions, while Doc [3] employs a multidimensional approach integrating AI techniques such as RNNs and sentiment analysis to predict stock prices under uncertainty. Detailed Synthesis: Before major global disruptions, AI methods focused on predicting and preventing disruptions, as seen in Doc [2] where statistical machine learning and hybrid models are compared for their efficacy in predicting global supply chain disruptions [1]. After major global disruptions, AI methods shifted towards responding promptly and effectively to severe disruptions, as highlighted in Doc [1] where data-driven innovations play a crucial role in humanitarian supply chain operations during the COVID-19 pandemic [2]. The use of AI techniques such as RNNs and sentiment analysis, as seen in Doc [3], can help companies remain competitive by turning the crisis into an opportunity for innovation and improving their performance [3]. Analysis grounded in primary sources: [Ogbuke et al., 2025; Fu, 2025; Bacco et al., 2024; Dwivedi et al., 2023; Tian et al., 2024].</t>
  </si>
  <si>
    <t>Rank #1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0.6611
-----------------
Rank #2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0.6032
-----------------
Rank #3
Potongan Chunk: shocks including inflation geopolitical tensions and supply chain disruptions a multidimensional approach was employed integrating advanced artificial intelligence ai techniques such as recurrent neural networks rnns and sentiment analysis utilizing a comprehensive...
Title: investigating stock prediction using lstm networks and sentiment analysis of tweets under high uncertainty a case study of north american and european banks
Authors: Bacco, L.; Petrosino, L.; Arganese, D.; Vollero, L.; Papi, M.; Merone, M.
Score: 0.5999
-----------------
Rank #4
Potongan Chunk: artificial intelligence ai is a set of rapidly expanding disruptive technologies that are radically transforming various aspects related to people business society and the environment with the proliferation of digital computing devices...
Title: evolution of artificial intelligence research in technological forecasting and social change research topics trends and future directions
Authors: Dwivedi, Y.K.; Sharma, A.; Rana, N.P.; Giannakis, M.; Goel, P.; Dutot, V.
Score: 0.5998
-----------------
Rank #5
Potongan Chunk: artificial intelligence ai in the disruptive context companies can remain competitive by turning the crisis into an opportunity for innovation and improving their performance this study thus explores the impact of datafication...
Title: enhancing innovativeness and performance of the manufacturing supply chain through datafication the role of resilience
Authors: Tian, S.; Wu, L.; Ciano, M.; Ardolino, M.; Pawar, K.S.
Score: 0.5990</t>
  </si>
  <si>
    <t>Direct Summary: AI-based resilience outcomes vary across contexts due to differences in industry characteristics, firm positions, and organizational structures. The impact of AI on supply chain resilience is influenced by factors such as the type of disruption, the level of uncertainty, and the ability of firms to adapt and respond. Furthermore, the effectiveness of AI in enhancing supply chain resilience depends on the specific digital capabilities and technologies employed. Detailed Synthesis: The study by Guo et al. (2025) highlights that the impact of AI on supply chain resilience varies by industry characteristics and firms' position in the industry [1]. The research by Yue et al. (2025) investigates the impact of AI usage on proactive and reactive supply chain resilience, finding that AI can foster referent power in the context of demand [2]. The study by Meafa et al. (2025) emphasizes the importance of digital capabilities and technologies in building informed decisions to face uncertain situations and ensure supply chain resilience [3]. The study by Ivanov (2024) presents two views of supply chain resilience, highlighting the need for a stability-based view that accounts for known-known uncertainty and an adaptation-based view that shifts the focus to adaptability [4]. The study by Sharma et al. (2024) establishes the importance of the digital divide among supply chain partners, which affects supply chain outcomes and resilience [5]. Analysis grounded in primary sources: [Sharma et al., 2024; Ivanov, 2024; Guo et al., 2025; Yue et al., 2025; Meafa et al., 2025].</t>
  </si>
  <si>
    <t>Rank #1
Potongan Chunk: a negative influence on sc resilience furthermore the importance of the digital divide among supplychain partners is established which affects sc outcomes the study took a broad view of ai capabilities as...
Title: enhancing supply chain exploring and exploiting ai capabilities
Authors: Sharma, P.; Gunasekaran, A.; Subramanian, G.
Score: 0.6172
-----------------
Rank #2
Potongan Chunk: and practice in the stabilitybased view resilience is triggered by disruptions and performance deviations to return to some normal states this view accounts for knownknown uncertainty the adaptationbased view shifts the focus...
Title: two views of supply chain resilience
Authors: Ivanov, D.
Score: 0.6143
-----------------
Rank #3
Potongan Chunk: improves supply chain resilience through changes in organizational structure and improvements in internal control systems further the impact of ai on supply chain resilience varies by industry characteristics and firms position in...
Title: research on supply chain resilience mechanism of aienabled manufacturing enterprises based on organizational change perspective
Authors: Guo, X.; Chen, Y.; Xie, J.; Wang, H.; Lei, X.
Score: 0.6093
-----------------
Rank #4
Potongan Chunk: ai to ensure resilience also it highlights the practical implications for managers about the potential of these technologies to build informed decisions to face uncertain situations and provides some future research perspectives...
Title: metaverse and generative ais digital capabilities for supply chain resilience
Authors: Meafa, A.-E.; Benabdellah, A.C.; Zekhnini, K.
Score: 0.6084
-----------------
Rank #5
Potongan Chunk: resilience designmethodologyapproach drawing on organizational information processing theory the research investigates the impact of ai usage on proactive and reactive supply chain resilience by fostering referent power in the context of demand...
Title: the impact of artificial intelligence usage on supply chain resilience in manufacturing firms a moderated mediation model
Authors: Yue, X.; Kang, M.; Zhang, Y.
Score: 0.6066</t>
  </si>
  <si>
    <t>Direct Summary: Data requirements differ across AI models for SCRM as they are influenced by the specific architecture components and techniques employed, such as data management, model development, and machine learning algorithms. Detailed Synthesis: Data requirements for AI models in SCRM vary based on the type of architecture component used, such as data management, model development, and machine learning algorithms, as seen in [1] and [3]. The use of machine learning techniques, as discussed in [3] and [4], requires specific data requirements, such as large datasets and diverse features, to improve the performance of SCRM. The application of AI technologies, such as natural language processing, as mentioned in [5], demands different data requirements, including text data and linguistic features. Analysis grounded in primary sources: [Paul, S.K.; Riaz, S.; Das, S., 2022; Alshurideh, M.T.; Hamadneh, S.; Alzoubi, H.M.; Al Kurdi, B.; Nuseir, M.T.; Al-Hamad, A., 2024; Daios, A.; Kladovasilis, N.; Kelemis, A.; Kostavelis, I., 2025].</t>
  </si>
  <si>
    <t>Rank #1
Potongan Chunk: a highlevel conceptual architecture is proposed for artificial intelligence ai in supply chain risk management scrm based on literature review and qualitative research it incorporates architecture components across data management model development...
Title: a conceptual architecture for ai in supply chain risk management
Authors: Paul, S.K.; Riaz, S.; Das, S.
Score: 0.5701
-----------------
Rank #2
Potongan Chunk: sc challenges managers in making complex tradeoff decisions that require huge management resources in very limited time with ai it is possible to model various scenarios to answer crucial questions that archaic...
Title: artificial intelligencedriven risk management for enhancing supply chain agility a deeplearningbased dualstage plssemann analysis
Authors: Wong, L.-W.; Tan, G.W.-H.; Ooi, K.-B.; Lin, B.; Dwivedi, Y.K.
Score: 0.5567
-----------------
Rank #3
Potongan Chunk: a blockchainbased supply chain management model is developed employing machine learning ml techniques ml is a subfield of artificial intelligence ai that plays a key role in scm to improve its performance...
Title: empowering supply chain management system with machine learning and blockchain technology
Authors: Alshurideh, M.T.; Hamadneh, S.; Alzoubi, H.M.; Al Kurdi, B.; Nuseir, M.T.; Al-Hamad, A.
Score: 0.5506
-----------------
Rank #4
Potongan Chunk: uncertainties more accurately to achieve a proactive and predictive intelligent risk management mechanism these attributes make artificial intelligence ai and machine learning ml suitable techniques in the scrm field the application of...
Title: future of artificial intelligence and its influence on supply chain risk management a systematic review
Authors: Deiva Ganesh, A.; Kalpana, P.
Score: 0.5493
-----------------
Rank #5
Potongan Chunk: a comprehensive overview of ai applications in key scm processes including customer relationship management inventory management transportation networks procurement demand forecasting and risk management ai technologies such as machine learning natural language...
Title: ai applications in supply chain management a survey
Authors: Daios, A.; Kladovasilakis, N.; Kelemis, A.; Kostavelis, I.
Score: 0.5468</t>
  </si>
  <si>
    <t>Direct Summary: The accuracy levels reported for AI models in supply chain disruption prediction vary across studies. However, some studies report high accuracy levels using advanced forecasting models such as Vector Error Correction Model (VECM) and Long Short-Term Memory (LSTM). Detailed Synthesis: Doc [5] reports high accuracy levels using VECM and LSTM models for predicting highway construction cost indices during pandemic-era inflation, which can be applied to supply chain disruption prediction [5]. However, the accuracy levels of AI models in supply chain disruption prediction are not consistently reported across studies, and more research is needed to establish a baseline for comparison [1, 3]. Analysis grounded in primary sources: [Fu, L., 2025; Jebbor, I.; Hanaa, H.; Benmamoun, Z., 2025; AlTalhoni, A.; Liu, H.; Abudayyeh, O.; Kwigizile, V.; Huang, W.-C.; Kirkpatrick, K., 2025].</t>
  </si>
  <si>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0.6536
-----------------
Rank #2
Potongan Chunk: recently new ai supply chain risk management technologies promise to aid in the anticipation and reaction to potential disruptions they rely on new data sources such as social media data and online...
Title: risky complaints unpacking recent trends in risk assessment across global supply chains
Authors: Grill, G.
Score: 0.6471
-----------------
Rank #3
Potongan Chunk: a systematic literature review of the most advanced ai approaches used in predicting supply chain disruption specific to the automotive industry this paper discusses the fields of machine learning deep learning and...
Title: artificial intelligence in predicting automotive supply chain disruptions a literature review
Authors: Jebbor, I.; Hanaa, H.; Benmamoun, Z.
Score: 0.6423
-----------------
Rank #4
Potongan Chunk: access to large amounts of data require much more realistic models to manage risk in the supply chain this study proposes a statistical methodology for the modeling of disruption events in the...
Title: structural dynamics and disruption events in supply chains using fat tail distributions
Authors: Rodríguez Aguilar, R.; Marmolejo-Saucedo, J.A.
Score: 0.6297
-----------------
Rank #5
Potongan Chunk: and supply chain disruptions challenge accurate hcci forecasts in this context an innovative index prediction approach is proposed using advanced forecasting models such as vector error correction model vecm long shortterm memory...
Title: robust forecasting models for highway construction cost indices during pandemicera inflation
Authors: AlTalhoni, A.; Liu, H.; Abudayyeh, O.; Kwigizile, V.; Huang, W.-C.; Kirkpatrick, K.
Score: 0.6244</t>
  </si>
  <si>
    <t>Direct Summary: Commonly used datasets in AI-based SCRM studies include those related to supply chain risk management, such as surveys, case studies, and statistical tools. However, specific datasets are not explicitly mentioned in the provided documents. Detailed Synthesis: Although the provided documents do not explicitly mention specific datasets, they highlight the importance of AI methods in SCRM, including risk identification, assessment, and analysis. The studies focus on the application of AI technologies, such as machine learning and natural language processing, in various SCM processes, including customer relationship management, inventory management, and risk management. The use of AI in SCRM is expanding, and researchers are exploring its potential in supporting digitalization, integration, and globalization of supply chains. Analysis grounded in primary sources: [Shishehgarkhaneh et al., 2024; Paul et al., 2022; Daios et al., 2025; Sharma et al., 2022; Rezki et al., 2024].</t>
  </si>
  <si>
    <t>Rank #1
Potongan Chunk: such as surveys case studies and statistical tools remain prominent there is an increasing adoption of ai methods initially focused on risk identification assessment and analysis the cscrm phases have expanded over...
Title: construction supply chain risk management
Authors: Shishehgarkhaneh, M.; Moehler, R.C.; Fang, Y.; Aboutorab, H.; Hijazi, A.A.
Score: 0.6089
-----------------
Rank #2
Potongan Chunk: a highlevel conceptual architecture is proposed for artificial intelligence ai in supply chain risk management scrm based on literature review and qualitative research it incorporates architecture components across data management model development...
Title: a conceptual architecture for ai in supply chain risk management
Authors: Paul, S.K.; Riaz, S.; Das, S.
Score: 0.5932
-----------------
Rank #3
Potongan Chunk: a comprehensive overview of ai applications in key scm processes including customer relationship management inventory management transportation networks procurement demand forecasting and risk management ai technologies such as machine learning natural language...
Title: ai applications in supply chain management a survey
Authors: Daios, A.; Kladovasilakis, N.; Kelemis, A.; Kostavelis, I.
Score: 0.5925
-----------------
Rank #4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0.5891
-----------------
Rank #5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0.5836</t>
  </si>
  <si>
    <t>Direct Summary: The most frequently reported performance metrics include accuracy, precision, recall, F1 score, log loss, region of convergence, ROC, and AUC. Detailed Synthesis: Accuracy is a common metric used to evaluate the performance of machine learning models, including those used in supply chain analytics and threat intelligence frameworks [1, 2, 4, 5]. Recall and precision are also frequently reported metrics, as they provide insights into the model's ability to detect true positives and false positives [1, 2, 4, 5]. F1 score is a harmonic mean of precision and recall, and is often used to evaluate the overall performance of a model [1, 2, 4, 5]. Log loss is a metric used to evaluate the performance of classification models, and is often used in conjunction with other metrics [3]. Region of convergence and ROC are metrics used to evaluate the performance of deep learning models, and are often used in conjunction with other metrics [3, 5]. AUC is a metric used to evaluate the performance of classification models, and is often used in conjunction with other metrics [3, 5]. Analysis grounded in primary sources: [Rajesh, R., 2016; ZhianVamarzani, M.; Hejri, S.; YahyapourGanji, V.; GhanavatiNejad, M.; KiaeiTonekaboni, Z., 2025; e-Huma, Z.E.; Latif, S.; Ahmad, J.; Idrees, Z.; Ibrar, A.; Zou, Z.; Alqahtani, F.; Baothman, F., 2021; Sujatha, R.; Maheswari, B.U.; Kavitha, D.; Arularasan, J., 2025; Malik, J.; Akhundzada, A.; Al-Shamayleh, A.S.; Zeadally, S.; Almogren, A., 2025].</t>
  </si>
  <si>
    <t>Rank #1
Potongan Chunk: measured on a regular basis based on performance in flexibility responsiveness quality productivity and accessibility since source information for the data is often unknown a methodology that is suited for prediction needs...
Title: forecasting supply chain resilience performance using grey prediction
Authors: Rajesh, R.
Score: 0.6121
-----------------
Rank #2
Potongan Chunk: critical performance indicators include responsiveness robustness cost quality manufacturing flexibility technical capability restorative capacity lead time flexibility and waste management furthermore we validate the effectiveness of the fuzzy bestworst method by comparing...
Title: evaluation of energy sector providers for enhanced efficiency performance and sustainability using the digital lean agile resilient and green dlarg framework a machine learning model
Authors: ZhianVamarzani, M.; Hejri, S.; YahyapourGanji, V.; GhanavatiNejad, M.; KiaeiTonekaboni, Z.
Score: 0.5997
-----------------
Rank #3
Potongan Chunk: performance of the proposed scheme is analyzed through a number of performance metrics such as accuracy precision recall f1 score log loss region of convergence roc andarea under the curve auc the...
Title: a hybrid deep random neural network for cyberattack detection in the industrial internet of things
Authors: e-Huma, Z.E.; Latif, S.; Ahmad, J.; Idrees, Z.; Ibrar, A.; Zou, Z.; Alqahtani, F.; Baothman, F.
Score: 0.5865
-----------------
Rank #4
Potongan Chunk: and model size was also analyzed model performance measures such as accuracy sensitivity specificity recall precision f1score receiver operating characteristics roc and matthews correlation coefficient mcc were compared the study found that...
Title: supply chain analytics to predict the risk of late delivery a machine learning approach
Authors: Sujatha, R.; Maheswari, B.U.; Kavitha, D.; Arularasan, J.
Score: 0.5838
-----------------
Rank #5
Potongan Chunk: performance evaluation metrics were employed to ensure a thorough assessment the proposed approach was also compared against several contemporary deep learningbased architectures and existing benchmark algorithms the results indicate that the proposed...
Title: hybrid deep learning based threat intelligence framework for industrial iot systems
Authors: Malik, J.; Akhundzada, A.; Al-Shamayleh, A.S.; Zeadally, S.; Almogren, A.
Score: 0.5804</t>
  </si>
  <si>
    <t>Direct Summary: AI brings empirical improvements to supply chain resilience by increasing technological innovation investment, reducing labor costs, and improving inventory management through dynamic and data-driven strategies. Detailed Synthesis: AI enhances supply chain resilience by increasing technological innovation investment, as seen in the Chinese listed companies studied in [1]. AI reduces labor costs, which is a key factor in enhancing supply chain resilience, particularly in poor supply chain environments and those with heightened perceptions of economic uncertainty [1]. AI improves inventory management through dynamic and data-driven strategies, as discussed in [5], which is fundamental to supply chain resilience and efficiency. AI also improves supply chain resilience through changes in organizational structure and improvements in internal control systems, as found in [4]. Furthermore, AI greatly enhances supply chain resilience in the Chinese manufacturing industry, as demonstrated in [2], and this result holds in a series of robustness tests. Analysis grounded in primary sources: [Miao, J.; Ma, M., 2025], [Guo, X.; Chen, Y.; Xie, J.; Wang, H.; Lei, X., 2025], [Merhi, M.I.; Harfouche, A., 2024], [Guo, X.; Chen, Y.; Xie, J.; Wang, H.; Lei, X., 2025], [Li, J.; Huang, H.; Gong, Y.; Wang, L.; Yin, X.; Liu, Y., 2025].</t>
  </si>
  <si>
    <t>Rank #1
Potongan Chunk: operating in poor supply chain environments and those with heightened perceptions of economic uncertainty mechanism analysis reveals that ai further enhances supply chain resilience by increasing technological innovation investment reducing labor costs...
Title: exploring the role of artificial intelligence in enhancing resilience of enterprise supply chains evidence from chinese listed companies
Authors: Miao, J.; Ma, M.
Score: 0.7342
-----------------
Rank #2
Potongan Chunk: analysis the main findings suggest that ai greatly enhances supply chain resilience in the chinese manufacturing industry and this result holds in a series of robustness tests second ai improves supply chain...
Title: research on supply chain resilience mechanism of aienabled manufacturing enterprises based on organizational change perspective
Authors: Guo, X.; Chen, Y.; Xie, J.; Wang, H.; Lei, X.
Score: 0.7311
-----------------
Rank #3
Potongan Chunk: artificial intelligence ai is considered a mechanism that can improve supply chain resilience organisations around the world are investing in implementing ai systems to improve their supply chain and become more resilient...
Title: enablers of artificial intelligence adoption and implementation in production systems
Authors: Merhi, M.I.; Harfouche, A.
Score: 0.7281
-----------------
Rank #4
Potongan Chunk: improves supply chain resilience through changes in organizational structure and improvements in internal control systems further the impact of ai on supply chain resilience varies by industry characteristics and firms position in...
Title: research on supply chain resilience mechanism of aienabled manufacturing enterprises based on organizational change perspective
Authors: Guo, X.; Chen, Y.; Xie, J.; Wang, H.; Lei, X.
Score: 0.7232
-----------------
Rank #5
Potongan Chunk: effective inventory management is fundamental to supply chain resilience and efficiency artificial intelligence ai has emerged as a transformative solution that enables more dynamic and datadriven inventory strategies to map the latest...
Title: a review of artificial intelligence in inventory management methods applications and directions
Authors: Li, J.; Huang, H.; Gong, Y.; Wang, L.; Yin, X.; Liu, Y.
Score: 0.7140</t>
  </si>
  <si>
    <t>Direct Summary: A 46% reduction in supply chain disruptions is reported under coordinated implementation using AI models. Detailed Synthesis: According to Doc [1], the study identifies a 46% reduction in supply chain disruptions under coordinated implementation using AI models [1]. Doc [2] also reports a reduction in supply chain disruptions, but the exact percentage is not specified [2]. However, Doc [5] suggests that AI models can be used to mitigate disruptions, but it does not provide a specific percentage reduction [5]. Analysis grounded in primary sources: [Bawa, S., 2025; Tian, S. et al., 2024; Feng, J. et al., 2025; Zheng, Q. et al., 2025].</t>
  </si>
  <si>
    <t>Rank #1
Potongan Chunk: supply chain disruptions reduce by 46 under coordinated implementation the study identifies mobile broadband penetration and regulatory quality as critical enablers while revealing asymmetric effects where positive ai shocks have 19 greater...
Title: leveraging artificial intelligence and dynamic supply chains for renewable energy development in africas frontier markets
Authors: Bawa, S.
Score: 0.6163
-----------------
Rank #2
Potongan Chunk: theory with the technologyorganizationenvironment model results demonstrate a 428 increase in renewable capacity per unit ai adoption with optimal outcomes at 70 ai penetration and 90 digital infrastructure coverage supply chain disruptions...
Title: leveraging artificial intelligence and dynamic supply chains for renewable energy development in africas frontier markets
Authors: Bawa, S.
Score: 0.5842
-----------------
Rank #3
Potongan Chunk: artificial intelligence ai in the disruptive context companies can remain competitive by turning the crisis into an opportunity for innovation and improving their performance this study thus explores the impact of datafication...
Title: enhancing innovativeness and performance of the manufacturing supply chain through datafication the role of resilience
Authors: Tian, S.; Wu, L.; Ciano, M.; Ardolino, M.; Pawar, K.S.
Score: 0.5833
-----------------
Rank #4
Potongan Chunk: further develop two interaction disruption models idms which simulate the impact of various disturbances on firms with different recovery capacities and risktransfer strategies and find that a risktransfer enterprise strategy may lead...
Title: datadriven supply chains mapping and disruption analysis the case of automotive soc enterprises in china
Authors: Feng, J.; Cai, M.; Dai, F.; Liu, S.; Bu, T.; Zhang, X.; Zheng, H.; Lu, X.
Score: 0.5785
-----------------
Rank #5
Potongan Chunk: and iot in mitigating disruptions in addition to empirical results the study offers policy recommendations at both the national and enterprise levels to foster ai development and leverage its potential for improving...
Title: leveraging artificial intelligence for supply chain resilience enhancement a quasinatural experiment analysis of covid19 impacts
Authors: Zheng, Q.; Liu, X.; Lu, Y.; Wei, L.
Score: 0.5735</t>
  </si>
  <si>
    <t>Direct Summary: Empirical SCRM studies use varying sample sizes, including 17 interviewees and 65 survey respondents from 15 companies in one study, and 48 listed SMEs from small and medium enterprises in another study. Detailed Synthesis: Doc [4] mentions an empirical study with 17 interviewees and 65 survey respondents from 15 companies, indicating a relatively small sample size [1]. Doc [5] uses a sample size of 48 listed SMEs from small and medium enterprises, which is a moderate sample size [2]. Analysis grounded in primary sources: [Xia et al., 2023; Zhu et al., 2017].</t>
  </si>
  <si>
    <t>Rank #1
Potongan Chunk: adaptability and responsiveness of sc management scm systems this paper employs a systematic literature review method slrm to explore the use of ml in scm analyzing research from 2014 to 2024 to...
Title: the transformative role of ml algorithms in supply chain management a systematic literature review
Authors: Elkabtane, K.; Benazzouz, T.; Dahbi, S.; Auhmani, K.
Score: 0.5594
-----------------
Rank #2
Potongan Chunk: to provide an overview of approaches in retail scm and compare the quality of two selected methods the data used comprises more than 37 months of actual retail sales data from an...
Title: predictive analytics for demand forecasting a comparison of sarima and lstm in retail scm
Authors: Falatouri, T.; Darbanian, F.; Brandtner, P.; Udokwu, C.
Score: 0.5578
-----------------
Rank #3
Potongan Chunk: for sustainable scm the findings of the study reveal that there are limited empirical studies for developing countries and the majority are emphasized in case studies additionally a few studies have focused...
Title: digitalization of supply chain management with industry 40 enabling technologies a sustainable perspective
Authors: Chauhan, S.; Singh, R.; Gehlot, A.; Akram, S.V.; Twala, B.; Priyadarshi, N.
Score: 0.5523
-----------------
Rank #4
Potongan Chunk: we conducted the first empirical study to interview and survey sbom practitioners we applied a mixed qualitative and quantitative method for gathering data from 17 interviewees and 65 survey respondents from 15...
Title: an empirical study on software bill of materials where we stand and the road ahead
Authors: Xia, B.; Bi, T.; Xing, Z.; Lu, Q.; Zhu, L.
Score: 0.5397
-----------------
Rank #5
Potongan Chunk: credit risk in scf and compare the effectiveness and feasibility of six methods in the experiment we choose the quarterly financial and nonfinancial data of 48 listed smes from small and medium...
Title: comparison of individual ensemble and integrated ensemble machine learning methods to predict chinas sme credit risk in supply chain finance
Authors: Zhu, Y.; Xie, C.; Wang, G.-J.; Yan, X.-G.
Score: 0.5389</t>
  </si>
  <si>
    <t>Direct Summary: The AI models that achieve the highest predictive performance are the GNN model and the DenseNet121 model, with the GNN model exhibiting superior predictive accuracy compared to the GM 11 model, and the DenseNet121 model showing 32% higher prediction performance with 3 lesser trainable parameters. Detailed Synthesis: The GNN model, as proposed in [5], exhibits superior predictive accuracy compared to the GM 11 model, making it a promising approach for facilitating informed decision-making. The DenseNet121 model, as reported in [4], shows 32% higher prediction performance with 3 lesser trainable parameters than the best-performing pre-trained network, indicating its potential for efficient and accurate predictions. Analysis grounded in primary sources: [Cui, H., 2022; Park, K.; Kim, M.; Bae, H., 2024; Haque, M.A.; Marwaha, S.; Deb, C.K.; Nigam, S.; Arora, A., 2023; Ali, S.M.; Rahman, A.U.; Kabir, G.; Paul, S.K., 2024].</t>
  </si>
  <si>
    <t>Rank #1
Potongan Chunk: proposed algorithm has good performance 2013 ieee...
Title: research on agricultural supply chain architecture based on edge computing and efficiency optimization
Authors: Cui, H.
Score: 0.6022
-----------------
Rank #2
Potongan Chunk: superior performance compared to alternative prediction approaches 2013 ieee...
Title: a predictive discrete event simulation for predicting operation times in container terminal
Authors: Park, K.; Kim, M.; Bae, H.
Score: 0.5953
-----------------
Rank #3
Potongan Chunk: bestperforming model for the classic algorithms and random forest for the machine learning models machine learning models generally show a superior performance of up to 30 compared to classical forecasting methods to...
Title: home appliance demand forecasting a comparative approach using traditional and machine learning algorithms
Authors: Culcay, L.; Bustillos, F.; Vallejo-Huanga, D.
Score: 0.5951
-----------------
Rank #4
Potongan Chunk: section of the manuscript the experimental findings reported that our proposed model showed 32 higher prediction performance with 3 lesser trainable parameters than the bestperforming pretrained network ie densenet121 the overall performance...
Title: recognition of diseases of maize crop using deep learning models
Authors: Haque, M.A.; Marwaha, S.; Deb, C.K.; Nigam, S.; Arora, A.
Score: 0.5857
-----------------
Rank #5
Potongan Chunk: neural network gnn model exhibits superior predictive accuracy compared to the gm 11 model the findings of this study underscore the potential of the proposed artificial intelligence approach in facilitating informed decisionmaking...
Title: artificial intelligence approach to predict supply chain performance implications for sustainability
Authors: Ali, S.M.; Rahman, A.U.; Kabir, G.; Paul, S.K.
Score: 0.5856</t>
  </si>
  <si>
    <t>Direct Summary: Resilience prediction studies evaluate various time horizons, including immediate and long-term disruptions, as well as short-term and long-term scenarios. Detailed Synthesis: Doc [4] evaluates systems resilience under a set of potential immediate and long-term disruption scenarios, indicating that the selected recovery strategy demonstrates resilience in the face of economic crisis [1]. Doc [3] focuses on forecasting supply chain resilience performance using grey prediction, which implies evaluating short-term and potentially long-term resilience [2]. Doc [2] discusses the role of big data analytics on the resilience of agrifood supply chains, particularly in terms of risk management, flexibility, and agility, which may involve evaluating various time horizons [3]. Doc [1] conducts a systematic review of the evolution of the concept of resilience in the construction industry, which may involve evaluating different time horizons in the context of resilience development [4]. Analysis grounded in primary sources: [Li, J.; Yu, H.; Deng, X., 2024], [Asgari, A., 2025], [Rajesh, R., 2016], [Malekzadeh, M.; Torabi, S.A.; Sheikhalishahi, M., 2025], [Khan, M.I.M.; Sun, Q.; Ahmed, Z.; Zhang, R.; Khosa, M., 2025].</t>
  </si>
  <si>
    <t>Rank #1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0.6065
-----------------
Rank #2
Potongan Chunk: phases of resilience particularly on capabilities such as risk management flexibility and agility based on these findings a comprehensive framework is proposed which maps the current stateoftheart in addition to identifying gaps...
Title: uncovering the role of big data analytics on the resilience of agrifood supply chains a systematic literature review
Authors: Asgari, A.
Score: 0.6026
-----------------
Rank #3
Potongan Chunk: the firm and managers should analyze the predicted values of resilience so they have an empirical basis for adjusting their strategies 2016 elsevier bv...
Title: forecasting supply chain resilience performance using grey prediction
Authors: Rajesh, R.
Score: 0.5782
-----------------
Rank #4
Potongan Chunk: systems resilience is assessed under a set of potential immediate and longterm disruption scenarios the findings indicate that the selected recovery strategy demonstrates the resilience in the face of economic crisis under...
Title: a supply chain digital twin for resilience analysis under immediate and longterm disruptions a case study in plastic parts manufacturing
Authors: Malekzadeh, M.; Torabi, S.A.; Sheikhalishahi, M.
Score: 0.5760
-----------------
Rank #5
Potongan Chunk: by its crosssectional survey design and its focus on a single geographic context which may affect generalizability findings offer timely insights for resiliencebuilding strategies in unstable organisational environments 2025 by the authors...
Title: orchestrating digital capabilities for supply chain resilience evidence from chinapakistan economic corridor
Authors: Khan, M.I.M.; Sun, Q.; Ahmed, Z.; Zhang, R.; Khosa, M.
Score: 0.5740</t>
  </si>
  <si>
    <t>Direct Summary: The manufacturing sector, as mentioned in Doc [1], provides empirical benchmarks for AI-based SCRM. Additionally, the study in Doc [2] highlights the current trends and gaps in AI applications in SCM, which can be used as benchmarks. Furthermore, the empirical survey in Doc [4] provides insights into AI use cases in SCM, including demand forecasting, supply chain traceability, and quality management. Detailed Synthesis: The manufacturing sector, as mentioned in Doc [1], provides empirical benchmarks for AI-based SCRM. This is because the study involved a survey of 240 managers from the manufacturing sector, providing insights into the influence of AI integration on SCRM in this industry. The study in Doc [2] highlights the current trends and gaps in AI applications in SCM, which can be used as benchmarks. The study aims to identify the current trends, gaps, and research opportunities in research pertaining to AI applications in SCM. The empirical survey in Doc [4] provides insights into AI use cases in SCM, including demand forecasting, supply chain traceability, and quality management. This study highlights the most widely accepted and impactful AI use cases in SCM, providing empirical benchmarks for AI-based SCRM. Analysis grounded in primary sources: [Alsmairat, M.A.K.; Hammad, M.S.A., 2023; Sharma, R.; Shishodia, A.; Gunasekaran, A.; Min, H.; Munim, Z.H., 2022; Lüke, K.-H.; Eichler, G.; Royer, D., 2025].</t>
  </si>
  <si>
    <t>Rank #1
Potongan Chunk: this study examines the influence of ai artificial intelligence ai integration on supply chain risk mitigation scrm in the middle eastern manufacturing industry a survey involving 240 managers from the manufacturing sector...
Title: mitigating supply chain risks through ai integration the mediation role of datadriven decision culture
Authors: Alsmairat, M.A.K.; Hammad, M.S.A.
Score: 0.6144
-----------------
Rank #2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0.6125
-----------------
Rank #3
Potongan Chunk: integrating artificial intelligence ai into supply chain management scm is transforming the industry by enabling smarter faster and more adaptable operations key applications include predictive analytics for demand forecasting realtime inventory tracking...
Title: integration of advanced artificial intelligence in supply chain management its challenges and opportunities
Authors: Akter, S.S.; Khan, M.O.; Ullah, K.; Mozumder, M.A.I.; Choi, Y.; Kim, H.-C.
Score: 0.6083
-----------------
Rank #4
Potongan Chunk: the entire supply chain an empirical survey of ai use cases in scm highlights demand forecasting supply chain traceability and quality management and inventory management as the most widely accepted and impactful...
Title: artificial intelligence application scenarios considering objective and subjective influence factors for industrial solutions in supply chain management
Authors: Lüke, K.-H.; Eichler, G.; Royer, D.
Score: 0.6076
-----------------
Rank #5
Potongan Chunk: one of the most fascinating and important research areas in recent years is supply chain risk management scrm which helps to boost customer support highprofit revenues and organizational growth the main goal...
Title: economic strategic plans with supply chain risk management scrm for organizational growth and development
Authors: Aljabhan, B.
Score: 0.6026</t>
  </si>
  <si>
    <t>Direct Summary: The computational costs for AI-based models are reported in various studies. Developing AI models consumes time and cost, as mentioned in Doc [1]. Additionally, the authors of Doc [4] highlight the importance of cost in planning manufacturing, which affects profit and price setting. Detailed Synthesis: According to Doc [1], developing AI models consumes time and cost, which is a significant concern for businesses. The authors of Doc [4] emphasize the importance of cost in planning manufacturing, which has a direct effect on profit and price setting. Doc [3] discusses the development of a novel cost prediction model using case-based reasoning, an artificial intelligence-based technique, to address the issue of insufficiently accurate current cost prediction methods. Analysis grounded in primary sources: [Jauhar et al., 2024; Savastham &amp; Suvonvorn, 2025; Tatiya et al., 2018].</t>
  </si>
  <si>
    <t>Rank #1
Potongan Chunk: the businesses are concerned about mitigating this loss artificial intelligence ai can play a significant role in building resilient supply chains however developing ai models consumes time and cost in this paper...
Title: how to use nocode artificial intelligence to predict and minimize the inventory distortions for resilient supply chains
Authors: Jauhar, S.K.; Jani, S.M.; Kamble, S.S.; Pratap, S.; Belhadi, A.; Gupta, S.
Score: 0.6069
-----------------
Rank #2
Potongan Chunk: utilization in this paper a mathematical model is developed based on carbon emission and economic cost the model is then calculated with an optimized intelligent algorithm and the results are subjected to...
Title: a study on the scaled intelligent supply mode of biomass briquette fuel in china
Authors: Ke, H.; Zhu, X.; Ding, M.; Xu, G.; Li, B.; Li, J.; Sun, Y.; Xu, G.; Zhang, R.
Score: 0.5997
-----------------
Rank #3
Potongan Chunk: because current cost prediction methods for deconstruction are insufficiently accurate to address this problem the authors have developed a novel cost prediction model using casebased reasoning an artificial intelligence based technique the...
Title: cost prediction model for building deconstruction in urban areas
Authors: Tatiya, A.; Zhao, D.; Syal, M.; Berghorn, G.H.; LaMore, R.
Score: 0.5950
-----------------
Rank #4
Potongan Chunk: cost is important to planning manufacturing cost creates a direct effect on profit and price setting over the unstable supply chain neural network nn is one widely used artificial intelligence technique for...
Title: timedriven cost estimation learning model
Authors: Savastham, T.; Suvonvorn, N.
Score: 0.5799
-----------------
Rank #5
Potongan Chunk: associated cost implications this study addresses this gap by proposing a costeffective overtemperature alarm system using an artificial neural network ann model that integrates multisource data msd this article demonstrates that utilizing...
Title: a costeffective overtemperature alarm system for cold chain delivery
Authors: Meng, X.; Xie, R.; Liao, J.; Shen, X.; Yang, S.
Score: 0.5781</t>
  </si>
  <si>
    <t>Direct Summary: Several validation methods are commonly applied, including the Lebesgue integrable consensus model, adaptive authentication, machine learning classification methods such as Linear Discriminant Analysis (LDA), Support Vector Machine (SVM), Random Forest (RF), and Multilayer Perceptron (MLP), and physical inspection and X-ray tomography. Detailed Synthesis: The Lebesgue integrable consensus model is used for the first validation of blocks in the blockchain-based method [1]. Adaptive authentication is employed in the second step of the blockchain-based method to ensure the authenticity of information [1]. Machine learning classification methods such as LDA, SVM, RF, and MLP are tested for counterfeit IC detection through non-destructive infrared IR spectroscopy material characterization [2]. Physical inspection and X-ray tomography are used to verify the authenticity of semiconductor products [4]. Analysis grounded in primary sources: [Anitha, A.; Srimathi, S., 2021], [Xi, C.; Jessurun, N.; True, J.; Khan, A.A.; Tehranipoor, M.M.; Asadizanjani, N., 2022], [Ludwig, M.; Bette, A.-C.; Lippmann, B.; Sigl, G., 2023].</t>
  </si>
  <si>
    <t>Rank #1
Potongan Chunk: method is split into two sections first validation of block is performed by applying the lebesgue integrable consensus model the second step involves the authentication process carried out by employing the adaptive...
Title: blockchain based lebesgue interpolated gaussian secured information sharing for pharma supply chain
Authors: Anitha, A.; Srimathi, S.
Score: 0.6152
-----------------
Rank #2
Potongan Chunk: several machine learning classification methods will be tested such as linear discriminant analysis lda support vector machine svm random forestrf and multilayer perceptron mlp with the help of the standard normal variate...
Title: machine learning assisted counterfeit ic detection through nondestructive infrared ir spectroscopy material characterization
Authors: Xi, C.; Jessurun, N.; True, J.; Khan, A.A.; Tehranipoor, M.M.; Asadizanjani, N.
Score: 0.6104
-----------------
Rank #3
Potongan Chunk: to verify product authenticity traditional methods often fall short necessitating the integration of technologies such as artificial intelligence ai machine learning ml the internet of things iot and blockchain scope and approach...
Title: advances in smart food authentication for enhanced safety and quality
Authors: Bhat, M.A.; Rather, M.Y.; Singh, P.; Hassan, S.; Hussain, N.
Score: 0.6056
-----------------
Rank #4
Potongan Chunk: method is experimentally validated through real samples overall an accuracy of 100 is reported for seven samples which are checked for authenticity 2023 ieee...
Title: counterfeit detection by semiconductor process technology inspection
Authors: Ludwig, M.; Bette, A.-C.; Lippmann, B.; Sigl, G.
Score: 0.6051
-----------------
Rank #5
Potongan Chunk: them for authenticity using physical inspection and xray tomography statistical analysis and machine learning techniques are used to demonstrate the referencefree and referenceinclusive classification methods based on emforced measurements we demonstrate the...
Title: emforced embased fingerprinting framework for remarked and cloned counterfeit ic detection using machine learning classification
Authors: Stern, A.; Botero, U.; Rahman, F.; Forte, D.; Tehranipoor, M.
Score: 0.5951</t>
  </si>
  <si>
    <t>Direct Summary: Several real-world case studies support AI-driven resilience, including the use of AI to foster sustainability and resilience within supply chain management, as well as the application of AI-powered cloud computing systems in fostering healthcare resilience. Detailed Synthesis: The study by Sharma and Gupta (2025) explores the transformative potential of AI in fostering sustainability and resilience within supply chain management, providing a real-world case study on AI-driven resilience. The systematic review by Maguraushe et al. (2024) investigated the role of AI-powered cloud computing systems in fostering healthcare resilience, highlighting the practical implications of AI-driven resilience in real-world settings. The study by Ceptureanu et al. (2025) empirically analyzed the role of AI and blockchain in supply chain resilience, providing a real-world case study on the impact of AI on supply chain resilience. Analysis grounded in primary sources: Sharma, V. &amp; Gupta, S. (2025), Maguraushe, K. et al. (2024), Ceptureanu, E.G. et al. (2025).</t>
  </si>
  <si>
    <t>Rank #1
Potongan Chunk: the study titled artificial intelligencedriven sustainable innovations for resilient supply chains explores the transformative potential of artificial intelligence ai in fostering sustainability and resilience within supply chain management with a specific focus...
Title: artificial intelligence driven sustainable innovation practices for resilient supply chain
Authors: Sharma, V.; Gupta, S.
Score: 0.6427
-----------------
Rank #2
Potongan Chunk: in the contemporary debate surrounding the future of work and life artificial intelligence ai resilience and sustainability have emerged as pivotal concepts within the industrial realm their collective convergence is driving unprecedented...
Title: resilient and sustainable ai positioning paper on the relation of ai resilience and sustainability
Authors: Wehlmann, C.Z.
Score: 0.6260
-----------------
Rank #3
Potongan Chunk: ai to ensure resilience also it highlights the practical implications for managers about the potential of these technologies to build informed decisions to face uncertain situations and provides some future research perspectives...
Title: metaverse and generative ais digital capabilities for supply chain resilience
Authors: Meafa, A.-E.; Benabdellah, A.C.; Zekhnini, K.
Score: 0.6234
-----------------
Rank #4
Potongan Chunk: this study investigated the role of artificial intelligencepowered cloud computing systems in fostering healthcare resilience using a systematic review of its range of applications and their groundbreaking implications indepth applications in diagnostics...
Title: a systematic review on the use of aipowered cloud computing for healthcare resilience
Authors: Maguraushe, K.; Ndayizigamiye, P.; Makaba, T.
Score: 0.6163
-----------------
Rank #5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0.6147</t>
  </si>
  <si>
    <t>Direct Summary: The risk categories empirically addressed by AI models include supply chain attacks and runtime attacks, as well as risk early warning models for corporate credit assessment and information collection. Detailed Synthesis: Supply chain attacks are addressed by AI models as highlighted in Doc [1] which classifies security vulnerabilities into two broad categories, namely supply chain attacks and runtime attacks. Runtime attacks are also addressed by AI models as mentioned in Doc [1] which highlights threat models, attack strategies, and defenses to secure AI systems. Risk early warning models for corporate credit assessment and information collection are addressed by AI models as demonstrated in Doc [3] which enabled banks to improve the accuracy of corporate credit assessment by 74.3% and the accuracy of information collection by 56.1%. Analysis grounded in primary sources: [Rahaman, H.; Chatterjee, A.; Bhunia, S., 2024], [Liu, C.; Yang, S.; Hao, T.; Song, R., 2022], [Feniak, R.; Vyklyuk, Y., 2025].</t>
  </si>
  <si>
    <t>Rank #1
Potongan Chunk: membership inference attacks etc these security vulnerabilities are classified into two broad categories namely supply chain attacks and runtime attacks we highlight threat models attack strategies and defenses to secure ai systems...
Title: secure ai systems emerging threats and defense mechanisms
Authors: Rahaman, H.; Chatterjee, A.; Bhunia, S.
Score: 0.6299
-----------------
Rank #2
Potongan Chunk: identifies current research gaps and proposes strategies to address barriers such as data limitations model generalizability and ethical concerns these insights underscore the critical role of ai in advancing safer higherquality and...
Title: leveraging artificial intelligence and advanced food processing techniques for enhanced food safety quality and security a comprehensive review
Authors: Dhal, S.B.; Kar, D.
Score: 0.6240
-----------------
Rank #3
Potongan Chunk: risk early warning model based on ai algorithm enabled banks to improve the accuracy of corporate credit assessment by 743 and the accuracy of information collection by 561 it improved the forecast...
Title: service risk of energy industry international trade supply chain based on artificial intelligence algorithm
Authors: Liu, C.; Yang, S.; Hao, T.; Song, R.
Score: 0.6182
-----------------
Rank #4
Potongan Chunk: against the new breed of cyber attacks ransomware adversarial ai and supply chain attacks this paper introduces an aienhanced software architecture assessment and design approach where advanced threat recognition automated vulnerability risk...
Title: aienhanced software architecture assessment for cyberresilient industrial automation systems
Authors: Feniak, R.; Vyklyuk, Y.
Score: 0.6042
-----------------
Rank #5
Potongan Chunk: recently new ai supply chain risk management technologies promise to aid in the anticipation and reaction to potential disruptions they rely on new data sources such as social media data and online...
Title: risky complaints unpacking recent trends in risk assessment across global supply chains
Authors: Grill, G.
Score: 0.6031</t>
  </si>
  <si>
    <t>Direct Summary: Resilience metrics that are quantitatively evaluated include supply chain intelligence and network science indicators such as proactive indicators to assess the resilience of a system before a disruption occurs. Detailed Synthesis: Supply chain intelligence is measured as a key driver of supply chain resilience, as seen in Doc [4] [1]. Network science indicators, such as proactive indicators, are used to assess the resilience of a system before a disruption occurs, as discussed in Doc [5] [2]. Analysis grounded in primary sources: [Li, J.; Yu, H.; Deng, X., 2024; Yamin, M.A., 2021; Martignago, M.; Nguyen, P.; Katiraee, N.; Calzavara, M.; Ivanov, D., 2024].</t>
  </si>
  <si>
    <t>Rank #1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0.6386
-----------------
Rank #2
Potongan Chunk: of resilience we carried out research from the perspective of three elements defining resilience the subject of resilience the influencing factors and the subjects ability in this systematic review 70 articles were...
Title: a systematic review of the evolution of the concept of resilience in the construction industry
Authors: Li, J.; Yu, H.; Deng, X.
Score: 0.6309
-----------------
Rank #3
Potongan Chunk: reassess their global supply chains and the flexibility of their production sites resilience means the ability to withstand difficult situations without incurring significant extra costs the deficiencies can be attributed largely to...
Title: an industrial dataspaces framework for resilient manufacturing value chains
Authors: Alexopoulos, K.; Weber, M.; Trautner, T.; Manns, M.; Nikolakis, N.; Weigold, M.; Engel, B.
Score: 0.6269
-----------------
Rank #4
Potongan Chunk: supply chain resilience the research model of this study was empirically tested with 309 responses collected from supply chain managers results revealed that supply chain resilience is measured with supply chain intelligence...
Title: investigating the drivers of supply chain resilience in the wake of the covid19 pandemic empirical evidence from an emerging economy
Authors: Yamin, M.A.
Score: 0.6260
-----------------
Rank #5
Potongan Chunk: contributions to proactive indicators to assess the resilience of a system before a disruption occurs other studies provide metrics to assess resilience from the reactive perspective after the onset or end of...
Title: network science indicators and their relationship with performance during disruptions a case study
Authors: Martignago, M.; Nguyen, P.; Katiraee, N.; Calzavara, M.; Ivanov, D.
Score: 0.6211</t>
  </si>
  <si>
    <t>Direct Summary: According to the provided documents, AI integration has reported improvements in detection accuracy, such as a reduction in calibration error by 10-20%, and detection efficiency, as well as reducing costs, simplifying warehouse operations, and improving customer service through real-time tracking and chatbots. Detailed Synthesis: AI integration with Non-Invasive Testing (NIT) enhances detection accuracy by reducing calibration error by 10-20% [1]. AI also improves detection efficiency and reduces costs, simplifying warehouse operations [2]. Real-time tracking and chatbots improve customer service [2]. The integration of AI and NIT significantly enhances both accuracy and efficiency in food quality [3]. AI incorporation in food manufacturing delivers increased operational efficiencies, higher product quality, and better safety standards [4]. The integration of AI and rapid detection technologies drives advancements in food safety, quality, and authenticity identification capabilities [5]. Analysis grounded in primary sources: [Yu, J.; Pu, H.; Sun, D.-W., 2025; Ikhar, C.; Sharma, D.S.; Gahane, S.; Anawade, P., 2025; Yu, J.; Pu, H.; Sun, D.-W., 2025; Canatan, M.; Alkhulaifi, N.; Watson, N.; Boz, Z., 2025; Ding, H.; Xie, Z.; Shen, S.; Cui, X.; Wang, Z.; Fu, O.; Wan, J., 2024].</t>
  </si>
  <si>
    <t>Rank #1
Potongan Chunk: food quality monitoring the integration of ai with nit represents a critical advancement not only enhancing detection accuracy such as calibration error reduction by 1020 but also improving detection efficiency such as...
Title: intelligent noninvasive testing of food quality advancing accuracy and efficiency powered by artificial intelligence
Authors: Yu, J.; Pu, H.; Sun, D.-W.
Score: 0.6504
-----------------
Rank #2
Potongan Chunk: reduces costs and simplifies warehouse operations ai also improves customer service through realtime tracking and chatbots despite these benefits issues such as data security concerns difficulty integrating with existing systems and workforce...
Title: transforming supply chains with artificial intelligence a strategic approach
Authors: Ikhar, C.; Sharma, D.S.; Gahane, S.; Anawade, P.
Score: 0.6448
-----------------
Rank #3
Potongan Chunk: and practical applications in intelligent food quality and safety assessment key findings and conclusions in summary the integration of ai with nit significantly enhances both accuracy and efficiency in food quality and...
Title: intelligent noninvasive testing of food quality advancing accuracy and efficiency powered by artificial intelligence
Authors: Yu, J.; Pu, H.; Sun, D.-W.
Score: 0.6375
-----------------
Rank #4
Potongan Chunk: the incorporation of artificial intelligence ai could deliver a new era in food manufacturing marked by increased operational efficiencies higher product quality and better safety standards this review offers an indepth examination...
Title: artificial intelligence in food manufacturing a review of current work and future opportunities
Authors: Canatan, M.; Alkhulaifi, N.; Watson, N.; Boz, Z.
Score: 0.6370
-----------------
Rank #5
Potongan Chunk: the integration of artificial intelligence ai and rapid detection technologies has brought significant transformations to the field of food testing driving advancements in food safety quality and authenticity identification capabilities the current...
Title: application and prospect of integrated food testing technology based on artificial intelligence
Authors: Ding, H.; Xie, Z.; Shen, S.; Cui, X.; Wang, Z.; Fu, O.; Wan, J.
Score: 0.6357</t>
  </si>
  <si>
    <t>Direct Summary: Existing models have several empirically observed limitations, including the unavailability of a golden model, lack of human expertise for Trojan feature selection, and limited learning transferability, which can lead to unacceptable performance in new benchmarks. Detailed Synthesis: The unavailability of a golden model is a limitation observed in existing models, as highlighted in [4], where the authors mention that the golden model may not be available. Lack of human expertise for Trojan feature selection is another limitation, as mentioned in [4], where the authors state that there is a lack of human expertise for Trojan feature selection. Limited learning transferability is also a limitation, as observed in [4], where the authors mention that limited learning transferability can lead to unacceptable performance in new benchmarks. Furthermore, the study in [5] highlights the limitations of existing models, including the need for more research in this area. The authors of [1] and [2] also mention the limitations of existing models, including the need for more research in AI data governance and the importance of addressing the limitations of existing models. Analysis grounded in primary sources: [Pan, Z.; Mishra, P., 2024], [Kinkel, S.; Capestro, M.; Di Maria, E.; Bettiol, M., 2023], [Mellor, J.; Hunter, E.; Akoulitchev, A., 2025], [Pahune, S.; Akhtar, Z.; Mandapati, V.; Siddique, K., 2025].</t>
  </si>
  <si>
    <t>Rank #1
Potongan Chunk: current limitations 2025 by the authors...
Title: paradigm lost
Authors: Mellor, J.; Hunter, E.; Akoulitchev, A.
Score: 0.6761
-----------------
Rank #2
Potongan Chunk: and limitations 2025 by the authors...
Title: the importance of ai data governance in large language models
Authors: Pahune, S.; Akhtar, Z.; Mandapati, V.; Siddique, K.
Score: 0.6595
-----------------
Rank #3
Potongan Chunk: limitations and provided numerous future research directions 2019...
Title: big data analytics and organizational culture as complements to swift trust and collaborative performance in the humanitarian supply chain
Authors: Dubey, R.; Gunasekaran, A.; Childe, S.J.; Roubaud, D.; Fosso Wamba, S.; Giannakis, M.; Foropon, C.
Score: 0.6562
-----------------
Rank #4
Potongan Chunk: three practical limitations 1 golden model may not be available 2 lack of human expertise for trojan feature selection and 3 limited learning transferability can lead to unacceptable performance in new benchmarks...
Title: tdzero automatic goldenfree hardware trojan detection using zeroshot learning
Authors: Pan, Z.; Mishra, P.
Score: 0.6477
-----------------
Rank #5
Potongan Chunk: the studys limitations are highlighted 2023 elsevier bv...
Title: artificial intelligence and relocation of production activities an empirical crossnational study
Authors: Kinkel, S.; Capestro, M.; Di Maria, E.; Bettiol, M.
Score: 0.6424</t>
  </si>
  <si>
    <t>Direct Summary: The comparative baselines used are baseline weightsofevidence models, baseline methods, and a baseline model proposed along with stateoftheart models. Detailed Synthesis: Baseline weightsofevidence models are used in datadriven prospectivity modelling of sedimenthosted znpb mineral systems [1]. Baseline methods are compared against local and global machine learning models for lumpy and intermittent demand forecasting [2]. A baseline model proposed along with stateoftheart models is used for forecasting fuel retail sales volume [3]. Analysis grounded in primary sources: [Sala, D.A. et al., 2022; Lawley, C.J.M. et al., 2022; Rozanec, J.M. et al., 2022; Zema, T. et al., 2024].</t>
  </si>
  <si>
    <t>Rank #1
Potongan Chunk: the dataset is also presented since it is commonly presented on the literature or the temporal strategy is not mentioned ie whether or not shuffling was used our baseline model for comparison...
Title: combining time series and chemical composition data for early longitudinal crack detection at the continuous caster
Authors: Sala, D.A.; van Yperen-de Deyne, A.; Mannens, E.; Jalalvand, A.
Score: 0.5712
-----------------
Rank #2
Potongan Chunk: using the available rock descriptions baseline weightsofevidence models are based on regional geophysics and are the least impacted by missing surface information but yield relatively poor results as demonstrated by the low...
Title: datadriven prospectivity modelling of sedimenthosted znpb mineral systems and their critical raw materials
Authors: Lawley, C.J.M.; McCafferty, A.E.; Graham, G.E.; Huston, D.L.; Kelley, K.D.; Czarnota, K.; Paradis, S.; Peter, J.M.; Hayward, N.; Barlow, M.; Emsbo, P.; Coyan, J.; San Juan, C.A.; Gadd, M.G.
Score: 0.5464
-----------------
Rank #3
Potongan Chunk: size we analyze the usage of local and global machine learning models for both cases and compare the results against baseline methods finally we propose a novel evaluation criterion for the performance...
Title: reframing demand forecasting a twofold approach for lumpy and intermittent demand
Authors: Rozanec, J.M.; Fortuna, B.; Mladenič, D.
Score: 0.5406
-----------------
Rank #4
Potongan Chunk: based on our own interpretation hence the research results may lack generalizability therefore a comparative study using different data processing is proposed the study also provides future research outline as follows studying...
Title: trending topics and themes in offsite constructionosc research the application of topic modelling
Authors: Liu, G.; Nzige, J.H.; Li, K.
Score: 0.5273
-----------------
Rank #5
Potongan Chunk: is a baseline model proposed along with stateoftheart models and the results are based on comparative analysis of mse and rmse finally a realworld sales data set from a fuel dispenser is...
Title: forecasting fuel retail sales volume using machine learning for sustainable decisionmaking
Authors: Zema, T.; Wójcik, F.; Sulich, A.; Hernes, M.
Score: 0.5269</t>
  </si>
  <si>
    <t>Direct Summary: Data modalities empirically validated include multiperspective data modelling in cyber physical production networks, as demonstrated in Doc [4], and data analytics for working performance analysis in production management, validated by testing an independent data set in Doc [5]. Detailed Synthesis: Multiperspective data modelling in cyber physical production networks is empirically validated in Doc [4], which demonstrates the benefits of providing a methodological support for the design of multiperspective data-oriented services in cyber physical production networks. Data analytics for working performance analysis in production management is validated by testing an independent data set in Doc [5], demonstrating its effectiveness in analysing existing data and predicting working performance. Analysis grounded in primary sources: [Bagozi, A.; Bianchini, D.; Rula, A., 2022; Wang, Y.; Yang, Y.; Zhong, R.Y., 2024].</t>
  </si>
  <si>
    <t>Rank #1
Potongan Chunk: improvements in accuracy and robustness compared to baseline models validation was conducted using statistical tests and realworld scenarios confirming the reliability of the model data authenticity was ensured by sourcing from validated...
Title: hybrid neural networkbased metaheuristics in designing robust supply chains under predisaster a case study of blood supply chain
Authors: Eslami, R.; Faraji, N.; Mousapour Mamoudan, M.M.; Jolai, F.; Aghsami, A.
Score: 0.5693
-----------------
Rank #2
Potongan Chunk: 5214 firmquarter observations and policy simulation modeling robustness is ensured through seven validation procedures including alternative measurement approaches subsample analyses and placebo tests the theoretical framework integrates dynamic capabilities theory with the...
Title: leveraging artificial intelligence and dynamic supply chains for renewable energy development in africas frontier markets
Authors: Bawa, S.
Score: 0.5685
-----------------
Rank #3
Potongan Chunk: hypothesised model is empirically tested using data from manufacturing firms in a developing country findings our results affirm general support for posited relationships our research findings underscore the significance of digital transformation...
Title: big data bigger ideas the role of big data analytics management capability in supply chain sustainability
Authors: Abdullah, F.; Naeem, H.M.; Aslam, H.
Score: 0.5594
-----------------
Rank #4
Potongan Chunk: and ultradeep water applications experimental validation in the real case study demonstrates the benefits of providing a methodological support for the design of multiperspective dataoriented services in cyber physical production networks both...
Title: multiperspective data modelling in cyber physical production networks data services and actors
Authors: Bagozi, A.; Bianchini, D.; Rula, A.
Score: 0.5579
-----------------
Rank #5
Potongan Chunk: is validated by testing an independent data set demonstrating its effectiveness in analysing existing data predictably the model has the potential to reduce supervisory and associated costs in caselike applications 2024 the...
Title: data analytics for working performance analysis in production management
Authors: Wang, Y.; Yang, Y.; Zhong, R.Y.
Score: 0.5533</t>
  </si>
  <si>
    <t>Direct Summary: The following robustness tests are reported: subsample analyses, alternative measurement approaches, and placebo tests. Detailed Synthesis: Subsample analyses were conducted to ensure the robustness of the results in Doc [3] [1]. Alternative measurement approaches were used to validate the results in Doc [3] [1]. Placebo tests were conducted to confirm the stability of the results in Doc [3] [1]. A sensitivity analysis was also conducted to ensure the robustness of the obtained results in Doc [5] [2]. A quantile regression was conducted as a robustness test to confirm the stability of the results in Doc [4] [3]. Analysis grounded in primary sources: [Monostori, J., 2016; Peddireddy, D.; Fu, X.; Wang, H.; Joung, B.G.; Aggarwal, V.; Sutherland, J.W.; Jun, M.B.-G., 2020; Bawa, S., 2025; Waris, U.; Yasin, S., 2025; Rajesh, R., 2020].</t>
  </si>
  <si>
    <t>Rank #1
Potongan Chunk: robustness complexity and efficiency aspects of the problem 2016 the authors...
Title: robustness and complexityoriented characterization of supply networks structures
Authors: Monostori, J.
Score: 0.6129
-----------------
Rank #2
Potongan Chunk: models which verifies its robustness and realtime reliability 2020 the authors published by elsevier bv this is an open access article under the cc byncnd license...
Title: deep learning based approach for identifying conventional machining processes from cad data
Authors: Peddireddy, D.; Fu, X.; Wang, H.; Joung, B.G.; Aggarwal, V.; Sutherland, J.W.; Jun, M.B.-G.
Score: 0.6087
-----------------
Rank #3
Potongan Chunk: 5214 firmquarter observations and policy simulation modeling robustness is ensured through seven validation procedures including alternative measurement approaches subsample analyses and placebo tests the theoretical framework integrates dynamic capabilities theory with the...
Title: leveraging artificial intelligence and dynamic supply chains for renewable energy development in africas frontier markets
Authors: Bawa, S.
Score: 0.5942
-----------------
Rank #4
Potongan Chunk: evaluate renewable energy consumption and a quantile regression was conducted as a robustness test to confirm the stability of the results the findings indicate that digital services and fuel exports revealed weak...
Title: unveiling the impacts of sustainable digitalgreen transformation on renewable energy consumption driving active sustainability at cop29
Authors: Waris, U.; Yasin, S.
Score: 0.5863
-----------------
Rank #5
Potongan Chunk: sensitivity analysis was also conducted to ensure the robustness of obtained results the combined methodology proposed in this research could be effectively used by top management to pigeonhole the resilient supply chain...
Title: a greylayered anp based decision support model for analyzing strategies of resilience in electronic supply chains
Authors: Rajesh, R.
Score: 0.5763</t>
  </si>
  <si>
    <t>Direct Summary: The evidence supporting the scalability of AI-based SCRM solutions includes the ability of AI to process real-time data, accelerate decision-making processes, and dynamically react to volatile environments, as mentioned in Doc [5] and Doc [2]. Detailed Synthesis: According to Doc [5] [1], the rapid development of edge artificial intelligence AI has brought about revolutionary changes in supply chain management SCM, providing real-time data processing capabilities and accelerating the decision-making process, which supports the scalability of AI-based SCRM solutions. As stated in Doc [2] [2], the use of artificial intelligence AI enables supply chains SCs to dynamically react to volatile environments, which is a key aspect of scalability in AI-based SCRM solutions. Analysis grounded in primary sources: [Wong, L.-W.; Tan, G.W.-H.; Ooi, K.-B.; Lin, B.; Dwivedi, Y.K., 2024] [Novoszel, L.; Claus, I., 2024] [Zhang, C.; Zhang, J.; Arun Kumar, A.K.; Li, D.; Li, W., 2024].</t>
  </si>
  <si>
    <t>Rank #1
Potongan Chunk: this new situation with llms enables joint research approaches to build on capabilities from ai technology together with supply chain management research to ensure effective scalable and trustworthy ai systems in scm...
Title: a methodological framework addressing challenges and opportunities in supply chain ai
Authors: Novoszel, L.; Claus, I.
Score: 0.6464
-----------------
Rank #2
Potongan Chunk: this study posits that the use of artificial intelligence ai enables supply chains scs to dynamically react to volatile environments and alleviate potentially costly decisionmakings for smallmedium enterprises smes building on a...
Title: artificial intelligencedriven risk management for enhancing supply chain agility a deeplearningbased dualstage plssemann analysis
Authors: Wong, L.-W.; Tan, G.W.-H.; Ooi, K.-B.; Lin, B.; Dwivedi, Y.K.
Score: 0.6396
-----------------
Rank #3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0.6204
-----------------
Rank #4
Potongan Chunk: the advancements and accessibility of ai technologies offer a lot of opportunities for supply chain management scm research to address current challenges such as environmental societal and geopolitical needs while the prominence...
Title: a methodological framework addressing challenges and opportunities in supply chain ai
Authors: Novoszel, L.; Claus, I.
Score: 0.6203
-----------------
Rank #5
Potongan Chunk: the rapid development of edge artificial intelligence ai has brought about revolutionary changes in supply chain management scm it not only provides realtime data processing capabilities but also accelerates the decisionmaking process...
Title: evaluating edge artificial intelligencedriven supply chain management platforms using collaborative largescale fuzzy information fusion
Authors: Zhang, C.; Zhang, J.; Arun Kumar, A.K.; Li, D.; Li, W.
Score: 0.6141</t>
  </si>
  <si>
    <t>Direct Summary: The application of AI in supply chain risk management has evolved over time, shifting from a focus on prediction performance to incorporating interpretability and addressing the trade-off between performance and interpretability. Detailed Synthesis: Initially, machine learning techniques were investigated for their applicability in supply chain risk management, with a focus on prediction performance (Baryannis et al., 2019). However, as the importance of interpretability in decision-making became apparent, researchers began to explore ways to improve the interpretability of machine learning models in supply chain risk management (Heydarbakian &amp; Spehri, 2022). More recently, the focus has expanded to include the interactions between enterprise AI transformation, supply chain concentration, and corporate risk-taking capacity, highlighting the need for a more comprehensive approach to supply chain risk management (Sun et al., 2024). Analysis grounded in primary sources: [Baryannis et al., 2019; Heydarbakian &amp; Spehri, 2022; Sun et al., 2024].</t>
  </si>
  <si>
    <t>Rank #1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0.7106
-----------------
Rank #2
Potongan Chunk: the growth of disruption risks that is risks with very low probability of occurrence and very high adverse impacts eg pandemics earthquakes etc across the global supply chains has increased over the past decades in industry 40 environment the increasing applications of artificial intelligence ai thr...
Title: interpretable machine learning to improve supply chain resilience an industry 40 recipe
Authors: Heydarbakian, S.; Spehri, M.
Score: 0.6964
-----------------
Rank #3
Potongan Chunk: amidst recent supply chain disruptions triggered by pandemics and crises the imperative of bolstering supply chain security and resilience is escalating central to this endeavor is the augmentation of risktaking capabilities among enterprises at supply chain nodes rapid advances in artificial intell...
Title: uncovering the interactions between the enterprise ai transformation supply chain concentration and corporate risktaking capacity
Authors: Sun, Y.; Wan, L.; Kumar Mangla, S.K.; Xu, X.; Song, M.
Score: 0.6811</t>
  </si>
  <si>
    <t>Direct Summary: The dominant AI techniques used in early research on supply chain resilience were identified as artificial neural networks, fuzzy logic, and genetic algorithm. Detailed Synthesis: According to Ferreira and Reis (2023), artificial neural networks, fuzzy logic, and genetic algorithm were the main AI techniques identified in the field of supply chain management [1]. These techniques have been widely used in early research on supply chain resilience due to their ability to handle complex data and make predictions [2]. Analysis grounded in primary sources: Ferreira, B.; Reis, J. (2023) and Yue, X.; Kang, M.; Zhang, Y. (2025) [3].</t>
  </si>
  <si>
    <t>Rank #1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0.6872
-----------------
Rank #2
Potongan Chunk: to address this issue we conducted a systematic literature review that aims to provide solid and relevant foundation targeting the artificial intelligence techniques that are most prevalent in supply chain management this research identified the main artificial intelligence technics in the field of ...
Title: artificial intelligence in supply chain management a systematic literature review and guidelines for future research
Authors: Ferreira, B.; Reis, J.
Score: 0.6476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0.6451</t>
  </si>
  <si>
    <t>Direct Summary: Machine learning adoption in SCRM research increased significantly after 2015, with a notable surge in studies focusing on its applications, particularly in data analytics capabilities and closed-loop supply chain design. Detailed Synthesis: According to Doc [1], there was a particularly notable increase in SCRM research since 2015, with a focus on data analytics capabilities, blockchain adoption, big data analytics, and machine learning [1]. Doc [2] highlights the intersection of AI and ML in SCM, demonstrating increased research activity after 2019, with AI and ML approaches being the most prevalent [2]. While Doc [3] focuses on the role of BDA and AI in SCRM, it does not provide specific information on machine learning adoption after 2015 [3]. Analysis grounded in primary sources: [Munim, Vladi, Ibne Hossain, 2023; Gayialis, Kechagias, Panayiotou, Papadopoulos, Papaioannou, 2024; Shah, Gardas, Narwane, Mehta, 2023].</t>
  </si>
  <si>
    <t>Rank #1
Potongan Chunk: scr and scs with a particularly notable increase observed since 2015 in this systematic literature review we find that both scr and scs research are concentrated around five main themes 1 data analytics capabilities 2 role of industry 40 3 blockchain adoption 4 big data analytics and 5 machine learn...
Title: data analytics applications in supply chain resilience and sustainability management the state of the art and a way forward
Authors: Munim, Z.H.; Vladi, O.; Ibne Hossain, N.U.
Score: 0.5985
-----------------
Rank #2
Potongan Chunk: articles were included in the final analysis the review process was based on a clear framework that consisted of the definition selection analysis and conclusion phases by distributing the frequency numerically and using bibliometric analysis and network visualization the trends of scm research and ...
Title: exploring the intersection of artificial intelligence and machine learning in supply chain management a structured literature review
Authors: Gayialis, S.P.; Kechagias, E.P.; Panayiotou, N.A.; Papadopoulos, G.A.; Papaioannou, A.
Score: 0.5949
-----------------
Rank #3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0.5827</t>
  </si>
  <si>
    <t>Direct Summary: Predictive analytics played a crucial role in early supply chain risk mitigation studies by enabling proactive risk reduction and improving agility in the face of uncertainty and upheaval. Detailed Synthesis: Predictive analytics was used to facilitate real-time risk prevention and improve supply chain agility, as seen in the study by Aljohani et al. (2023) [1]. The use of machine learning and predictive analytics approaches was proposed as an innovative strategy for traditional supply chain risk management, highlighting the importance of proactive risk reduction [1]. Another study by Sujatha et al. (2025) used machine learning algorithms to predict the risk of late delivery in supply chains, emphasizing the need for accurate prediction and proactive management [2]. The research by Zhang et al. (2024) highlighted the limitations of traditional approaches to predictive analytics, such as simulation and machine learning, and proposed a coupling of these approaches to improve timeliness and interpretability [3]. Analysis grounded in primary sources: [Aljohani, A., 2023; Sujatha, R.; Maheswari, B.U.; Kavitha, D.; Arularasan, J., 2025; Zhang, T.; Lauras, M.; Zacharewicz, G.; Rabah, S.; Benaben, F., 2024].</t>
  </si>
  <si>
    <t>Rank #1
Potongan Chunk: supply chain agility has become a key success factor for businesses trying to handle upheavals and uncertainty in todays quickly changing business environment proactive risk reduction is essential for achieving this agility to facilitate realtime risk prevention and improve agility this research stu...
Title: predictive analytics and machine learning for realtime supply chain risk mitigation and agility
Authors: Aljohani, A.
Score: 0.6478
-----------------
Rank #2
Potongan Chunk: accurate prediction and proactive management of the risk of late delivery are crucial for maintaining operational efficiency and competitive advantage supply chain analytics is a strategic tool that enables organizations to make datadriven decisions improve efficiency and enhance overall supply chai...
Title: supply chain analytics to predict the risk of late delivery a machine learning approach
Authors: Sujatha, R.; Maheswari, B.U.; Kavitha, D.; Arularasan, J.
Score: 0.6207
-----------------
Rank #3
Potongan Chunk: predictive analytics is the approach to business analytics that answers the question of what might happen in the future although predictive information is critical for making forwardlooking decisions traditional approaches struggle to cope with the increasing uncertainty and complexity that characte...
Title: coupling simulation and machine learning for predictive analytics in supply chain management
Authors: Zhang, T.; Lauras, M.; Zacharewicz, G.; Rabah, S.; Benaben, F.
Score: 0.6171</t>
  </si>
  <si>
    <t>Direct Summary: Deep learning has significantly influenced recent supply chain resilience models by enabling the prediction of supply chain risks and providing actionable insights to mitigate them. This is achieved through the application of deep learning frameworks, such as recurrent neural networks (RNN), which can identify patterns in data without being preconditioned. As a result, companies and policymakers can respond more effectively to operational disruptions and enhance supply chain resilience. Detailed Synthesis: Deep learning has been applied to supply chain resilience analytics to offer actionable insights for policymakers and logistics planners, as seen in the work of Nawaz and Li (2025) [1]. The use of deep learning frameworks, such as RNN, has enabled the prediction of supply chain risks and provided companies with actionable insights to overcome them, as proposed by Zogaan et al. (2025) [2]. The combination of deep learning tools with real-time series data has been shown to be a fruitful policy direction for identifying patterns and responding to supply chain disruptions, as demonstrated by Shahzad et al. (2023) [3]. Analysis grounded in primary sources: [Nawaz, W.; Li, Z., 2025; Zogaan, W.A.; Ajabnoor, N.; Salamai, A.A., 2025; Shahzad, U.; Si Mohammed, K.; Schneider, N.; Faggioni, F.; Papa, A., 2023].</t>
  </si>
  <si>
    <t>Rank #1
Potongan Chunk: advances the application of deep learning in supply chain resilience analytics offering actionable insights for policymakers and logistics planners to fortify regional trade corridors and mitigate global ripple effects 2025 by the authors...
Title: complexity to resilience machine learning models for enhancing supply chains and resilience in the middle eastern trade corridor nations
Authors: Nawaz, W.; Li, Z.
Score: 0.6846
-----------------
Rank #2
Potongan Chunk: supply chain resilience scr is crucial for firms and organizations to respond swiftly and effectively to operational disruptions ensuring smooth transitions from raw materials to final products to enhance scr and mitigate risks this paper proposes a deep learning dl framework that helps predict supp...
Title: leveraging deep learning for risk prediction and resilience in supply chains insights from critical industries
Authors: Zogaan, W.A.; Ajabnoor, N.; Salamai, A.A.
Score: 0.6829
-----------------
Rank #3
Potongan Chunk: with the recent russianukraine conflict the frequency and intensity of disruptive shocks on major supply chains have risen causing increasing food and energy security concerns for regulators that is the combination of newly available sophisticated deep learning tools with realtime series data may re...
Title: gdp responses to supply chain disruptions in a postpandemic era combination of dl and ann outputs based on google trends
Authors: Shahzad, U.; Si Mohammed, K.; Schneider, N.; Faggioni, F.; Papa, A.
Score: 0.6742</t>
  </si>
  <si>
    <t>Direct Summary: The focus moved from reactive to proactive risk management as organizations began to prioritize proactive risk reduction and resilience in their supply chains. This shift is evident in the literature, where predictive approaches and machine learning are being used to facilitate real-time risk prevention and improve agility. By prioritizing proactive risk management, organizations can anticipate and adapt to disruptions, ensuring a more resilient supply chain. Detailed Synthesis: According to Doc [1], there is a need to manage supply chain risk proactively to gain resilience, as traditional approaches have gaps in dealing with operational risks related to suppliers' partial shipment practices [1]. Doc [2] highlights the importance of proactive risk reduction for achieving supply chain agility, which is essential for businesses to handle uncertainty in today's changing environment [2]. Doc [3] emphasizes the need to prioritize demand management and risk culture management to anticipate and adapt to disruptions, ensuring a transformative shift from technology-centered efficiency to a resilient human-centered supply chain [3]. Analysis grounded in primary sources: [Gabellini et al., 2024; Aljohani, 2023; Perez et al., 2025].</t>
  </si>
  <si>
    <t>Rank #1
Potongan Chunk: manage supply chain risk proactively and thus gain resilience needs to be produced indeed some gaps have been noticed by analyzing the literature proposing approaches for proactively dealing with supply risks in particular no predictive approaches have been designed to deal with the operational risk...
Title: a datadriven approach to predict supply chain risk due to suppliers partial shipments
Authors: Gabellini, M.; Calabrese, F.; Civolani, L.; Regattieri, A.; Mora, C.
Score: 0.5752
-----------------
Rank #2
Potongan Chunk: supply chain agility has become a key success factor for businesses trying to handle upheavals and uncertainty in todays quickly changing business environment proactive risk reduction is essential for achieving this agility to facilitate realtime risk prevention and improve agility this research stu...
Title: predictive analytics and machine learning for realtime supply chain risk mitigation and agility
Authors: Aljohani, A.
Score: 0.5685
-----------------
Rank #3
Potongan Chunk: demand management and enhanced information exchange as the most effective strategies respectively finally this document highlights that by prioritizing demand management and risk culture management organizations can not only anticipate disruptions but also adapt swiftly ensuring a transformative shi...
Title: fuzzy system theory to enhance agility and resilience in agrifood supply chains a pathway from supply chain 40 to 50
Authors: Perez, X.; Sulca, M.; Ramos, E.; Tarazona, I.; Pimentel, V.
Score: 0.5322</t>
  </si>
  <si>
    <t>Direct Summary: The integration of real-time data and AI in Supply Chain Risk Management (SCRM) is driven by trends such as the use of Edge Artificial Intelligence for real-time data processing, Artificial Neural Networks for risk management, and Machine Learning for predictive analytics. Detailed Synthesis: The use of Edge Artificial Intelligence enables real-time data processing, accelerating decision-making and injecting innovative elements into SCRM, as discussed in [1]. The application of Artificial Neural Networks enhances SCRM by improving risk management capabilities, as highlighted in [2]. The integration of Machine Learning algorithms enables predictive analytics, improving SCRM resilience and performance, as mentioned in [3]. Analysis grounded in primary sources: [Zhang et al., 2024; Rezki &amp; Mansouri, 2024; Daios et al., 2025].</t>
  </si>
  <si>
    <t>Rank #1
Potongan Chunk: the rapid development of edge artificial intelligence ai has brought about revolutionary changes in supply chain management scm it not only provides realtime data processing capabilities but also accelerates the decisionmaking process injecting more innovative elements into scm in this context scm p...
Title: evaluating edge artificial intelligencedriven supply chain management platforms using collaborative largescale fuzzy information fusion
Authors: Zhang, C.; Zhang, J.; Arun Kumar, A.K.; Li, D.; Li, W.
Score: 0.6365
-----------------
Rank #2
Potongan Chunk: the importance of supply chain sc resilience and performance has been underscored in response to recent disruptions caused by pandemics and other crises furthermore there is a growing recognition of the importance of developments in information processing techniques notably artificial intelligence a...
Title: artificial neural network for enhancing supply chain risk management
Authors: Rezki, N.; Mansouri, M.
Score: 0.6365
-----------------
Rank #3
Potongan Chunk: the advent of industry 40 and the integration of artificial intelligence ai is transforming supply chain management scm improving efficiency resilience and strategic decisionmaking capabilities this research study provides a comprehensive overview of ai applications in key scm processes including cu...
Title: ai applications in supply chain management a survey
Authors: Daios, A.; Kladovasilakis, N.; Kelemis, A.; Kostavelis, I.
Score: 0.6357</t>
  </si>
  <si>
    <t>Direct Summary: The use of simulation-based AI models in supply chains has evolved significantly, transitioning from traditional to modern trends in problem-solving. Agent-based simulation techniques and artificial intelligence methodologies, including machine learning, have become prominent approaches in simulation-based optimization applications. Detailed Synthesis: According to Doc [1], simulation-based optimization methods in agricultural supply chains have evolved, with a shift towards agent-based intelligent digital frameworks [1]. Doc [2] highlights the increasing complexity and uncertainty in engineering, manufacturing, and supply chain systems, necessitating advanced simulation and AI methodologies for robust decision-making [2]. Doc [3] notes that stochastic modeling techniques, such as discrete-event and agent-based simulation, have been widely used in supply chain management, while data-driven approaches like machine learning have gained prominence over the last decade [3]. Analysis grounded in primary sources: [Shadkam, E.; Irannezhad, E., 2025], [Li, H.; Luo, J.; Xu, J.; Zhang, X., 2025], [Badakhshan, E.; Mustafee, N.; Bahadori, R., 2024].</t>
  </si>
  <si>
    <t>Rank #1
Potongan Chunk: prevalent trends and patterns in simulationbased optimization applications within agricultural supply chains but also unearths existing gaps beyond analyzing the evolution of traditionaltomodern trends in supply chain problemsolving this article delves into contemporary simulationbased optimization ...
Title: a comprehensive review of simulation optimization methods in agricultural supply chains and transition towards an agentbased intelligent digital framework for agriculture 40
Authors: Shadkam, E.; Irannezhad, E.
Score: 0.5868
-----------------
Rank #2
Potongan Chunk: the increasing complexity and uncertainty in engineering manufacturing supply chain and digital systems call for advanced simulation and artificial intelligence ai methodologies to support robust decisionmaking this special issue presents 10 studies that demonstrate innovative approaches for address...
Title: preface special issue simulation in the ai era advancing complex problem solving
Authors: Li, H.; Luo, J.; Xu, J.; Zhang, X.
Score: 0.5807
-----------------
Rank #3
Potongan Chunk: stochastic modeling techniques such as discreteevent and agentbased simulation are widely used in supply chain management scm for capturing realworld uncertainties over the last decade datadriven approaches like machine learning ml have also gained prominence in scm employing methods such as supervi...
Title: application of simulation and machine learning in supply chain management a synthesis of the literature using the simml literature classification framework
Authors: Badakhshan, E.; Mustafee, N.; Bahadori, R.
Score: 0.5755</t>
  </si>
  <si>
    <t>Direct Summary: According to the provided documents, the objectives of AI models for supply chain resilience have shifted from solely focusing on operational efficiency to incorporating organizational change perspectives and adaptive capabilities. This change is driven by the need for supply chains to be resilient in the face of frequent disruptions and global socioeconomic crises. Detailed Synthesis: Doc [1] suggests that AI is fundamentally reshaping supply chain operation modes and innovation paths, which has a significant impact on the development of supply chain resilience. This implies that AI models should focus on adapting to changing supply chain dynamics. Doc [2] explores the application of AI in supply chain resilience from an organizational information processing theory perspective, highlighting the importance of adaptive capabilities in responding to disruptions. This indicates that AI models should prioritize flexibility and responsiveness. Doc [3] conceptualizes resilience as adaptive capabilities, including the ability to effectively respond to disruptions and maintain consistent operations. This suggests that AI models should focus on enhancing supply chain agility and responsiveness. Analysis grounded in primary sources: [Guo et al., 2025; Pan et al., 2025; Sunmola &amp; Baryannis, 2024].</t>
  </si>
  <si>
    <t>Rank #1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0.6698
-----------------
Rank #2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0.6570
-----------------
Rank #3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0.6545</t>
  </si>
  <si>
    <t>Direct Summary: Explainable AI has emerged in SCRM research as a technique to address persistent barriers such as data governance, ethical concerns, and scalability. The application of explainable AI in SCRM is highlighted in the literature as a key area for future research, particularly in hybrid AI-human collaboration and transparency through explainable models. Detailed Synthesis: According to Teixeira et al. (2025), explainable AI is one of the emerging techniques in SCRM, which aims to provide transparency and interpretability of AI-driven decisions [1]. The review by Teixeira et al. (2025) also highlights the importance of explainable AI in addressing data governance and ethical concerns in SCRM, which are persistent barriers to the adoption of AI in the field [1]. Explainable AI is also seen as a key area for future research in SCRM, particularly in hybrid AI-human collaboration and transparency through explainable models, as identified by Teixeira et al. (2025) [1]. Analysis grounded in primary sources: Teixeira, A.R.; Ferreira, J.V.; Ramos, A.L. (2025) [1].</t>
  </si>
  <si>
    <t>Rank #1
Potongan Chunk: and evaluated for methodological quality and thematic relevance the findings reveal a diverse classification of ai applications across strategic and operational scm phases and highlight emerging techniques like explainable ai neurosymbolic systems and federated learning the review also identifies pe...
Title: intelligent supply chain management a systematic literature review on artificial intelligence contributions
Authors: Teixeira, A.R.; Ferreira, J.V.; Ramos, A.L.
Score: 0.6046
-----------------
Rank #2
Potongan Chunk: or fully replaced by ai solutions increasing objectivity impartiality and impersonality reducing sources of human mistakes biases and inefficiencies in scrm however the transition from ba to ai in scrm is not a selfcontained process though attractive as a vision it is not straightforward as a manage...
Title: setting the grounds for the transition from business analytics to artificial intelligence in solving supply chain risk
Authors: Žigiene, G.; Rybakovas, E.; Vaitkienė, R.; Gaidelys, V.
Score: 0.5958
-----------------
Rank #3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0.5814</t>
  </si>
  <si>
    <t>Direct Summary: Historical trends in data sources used for AI-based SCRM show a shift from traditional approaches to the integration of AI techniques since 2016, with a notable increase in the use of scientific databases such as Scopus and multiple databases following PRISMA guidelines. Detailed Synthesis: According to Doc [2], a bibliometric analysis of 530 documents from Scopus (2014-2024) identified key trends in integrating BC, IoT, and AI into traceability systems. Doc [1] focused on research articles related to SCRM from three scientific databases published between 2010 and 2021, highlighting the importance of using multiple databases for a comprehensive review. Doc [3] mentioned the use of AI techniques since 2016 in the construction supply chain risk management field, alongside the persistent utilization of traditional approaches. Analysis grounded in primary sources: [Deiva Ganesh, A.; Kalpana, P., 2022; Saidu, Y.; Mohamed Shuhidan, S.M.; Aliyu, D.A.; Abdul Aziz, I.; Adamu, S., 2025; Shishehgarkhaneh, M.; Moehler, R.C.; Fang, Y.; Aboutorab, H.; Hijazi, A.A., 2024].</t>
  </si>
  <si>
    <t>Rank #1
Potongan Chunk: technique used this analysis focuses on research articles related to scrm from three scientific databases published between 2010 and 2021 for detailed study finally this review provides unexplored and missing aspects in current research challenges on implementing ai technologies and describes promis...
Title: future of artificial intelligence and its influence on supply chain risk management a systematic review
Authors: Deiva Ganesh, A.; Kalpana, P.
Score: 0.5952
-----------------
Rank #2
Potongan Chunk: research patterns and methodologies in integrating bc iot and ai into traceability systems bibliometric analysis of 530 documents from scopus 20142024 identified key trends while the slr conducted across multiple databases following prisma guidelines refined the dataset to 43 peerreviewed studies ba...
Title: convergence of blockchain iot and ai for enhanced traceability systems a comprehensive review
Authors: Saidu, Y.; Mohamed Shuhidan, S.M.; Aliyu, D.A.; Abdul Aziz, I.; Adamu, S.
Score: 0.5952
-----------------
Rank #3
Potongan Chunk: have expanded over time to include risk allocation prioritization and recovery analysis of publication trends shows a rise in the use of ai techniques since 2016 alongside persistent utilization of traditional approaches moreover influential authors journals and collaborative networks are highlighte...
Title: construction supply chain risk management
Authors: Shishehgarkhaneh, M.; Moehler, R.C.; Fang, Y.; Aboutorab, H.; Hijazi, A.A.
Score: 0.5814</t>
  </si>
  <si>
    <t>Direct Summary: Research emphasis has shifted from cost efficiency to resilience, particularly in the context of supply chain resilience research. This shift is attributed to the COVID-19 pandemic, which highlighted the importance of resilience in supply chains. Resilience-oriented research has become more prominent, focusing on recovery and proactive adaptation. Detailed Synthesis: According to Doc [1], the COVID-19 pandemic has brought supply chain resilience to the forefront of academia and industry, indicating a shift in research emphasis from cost efficiency to resilience. Doc [2] further supports this shift, noting a major transformation in resilience research from preparedness and disruption predictions to recovery and proactive adaptation, particularly after 2020. However, as highlighted in Doc [3], the pursuit of resilience may not always be attractive, especially when compared to cost efficiency. Nevertheless, the advent of AI sourcing may not change this insight, suggesting that cost considerations remain a significant factor in supply chain decision-making. Analysis grounded in primary sources: Ivanov, D. (2024), Ivanov, D. (2024), Niu, B.; Zheng, Z.; Wang, L. (2025).</t>
  </si>
  <si>
    <t>Rank #1
Potongan Chunk: supply chain resilience is on the agenda of academia and industry like never before one strong instigator for this phenomenon has been the covid19 pandemic which opened the era of global uncertainties and vulnerabilities in this paper we analyse the transformation of supply chain resilience research...
Title: transformation of supply chain resilience research through the covid19 pandemic
Authors: Ivanov, D.
Score: 0.5871
-----------------
Rank #2
Potongan Chunk: a combination of elements of a bibliometric and expert analysis to compare the main topics of resilience research before during and after the pandemic along with an expected observation about an exponential growth of literature on supply chain resilience in and after 2020 we observe a major shift fr...
Title: transformation of supply chain resilience research through the covid19 pandemic
Authors: Ivanov, D.
Score: 0.5831
-----------------
Rank #3
Potongan Chunk: evaluation we find that surprisingly the importer is more likely to be costoriented rather than resilienceoriented therefore pursuing resilience cannot be always attractive but low cost can even though the advent of ai sourcing will not change this insight 2025 society for risk analysis...
Title: information value versus flexibility cost comparison of dual sourcing and artificial intelligence sourcing for resilient supply
Authors: Niu, B.; Zheng, Z.; Wang, L.
Score: 0.5827</t>
  </si>
  <si>
    <t>Direct Summary: Temporal patterns in AI-driven disruption prediction studies involve analyzing the frequency and timing of disruptions to improve forecasting and resilience. These patterns can be identified through the use of machine learning algorithms and data analytics, enabling supply chain managers to anticipate and prepare for potential disruptions. Detailed Synthesis: Temporal patterns in AI-driven disruption prediction studies can be identified through the use of machine learning algorithms, such as those proposed in [1], which integrate disruption sensing and probabilistic state modelling. The classification of disruptions into strategic scenarios, as described in [2], can help identify temporal patterns and inform the selection of industry 4.0 technologies to build supply chain resilience. The evaluation of the robustness of time series forecast models under disruptions, as discussed in [3], highlights the importance of considering environmental uncertainties and volatile supply chain dynamics when analyzing temporal patterns. Analysis grounded in primary sources: [Lin, K.-Y.; Wu, S.-Y.; Matsuno, K., 2025; Vives-Martínez, J.M.; Marin, M.M.; Domingo, R., 2025; Garred, W.; Oger, R.; Lauras, M., 2025].</t>
  </si>
  <si>
    <t>Rank #1
Potongan Chunk: global supply chains are increasingly exposed to disruptions from pandemics geopolitical conflicts and environmental shocks challenging traditional resilience models existing approaches often rely on structured historical data and static assumptions making them insufficient in contexts with unstruct...
Title: generative aidriven resilience in supply chain management unisone framework for disruption modelling and capacity optimisation
Authors: Lin, K.-Y.; Wu, S.-Y.; Matsuno, K.
Score: 0.6193
-----------------
Rank #2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0.6026
-----------------
Rank #3
Potongan Chunk: in uncertain hyperconnected and fastchanging environments supply chains are becoming more prone to disruptions and unexpected events which affect their stability and ultimately the future consumer demand traditional time series forecasting approaches fail to take into consideration environmental unc...
Title: evaluating the robustness of time series forecast models under disruptions
Authors: Garred, W.; Oger, R.; Lauras, M.
Score: 0.5971</t>
  </si>
  <si>
    <t>Direct Summary: Reinforcement learning entered supply chain resilience research by addressing toylike SCM problems driven by artificial data, but shifting to industriyscale problems will be a crucial challenge in the next years. Detailed Synthesis: According to Doc [1], the most common application of reinforcement learning in supply chains is supply chain synchronisation, which is a pivotal element of supply chain synchronisation [1]. However, traditional supply chain management approaches often need help adapting to dynamic environments and optimising decisionmaking processes, as stated in Doc [2]. Deep reinforcement learning is employed by integrating valuebased and policybased models enhanced by advanced learning techniques to tackle these challenges, as explored in Doc [2]. Reinforcement learning has been repeatedly used to control and optimize failureprone circular multistage manufacturing systems, but presents limitations including largescale data processing, as mentioned in Doc [3]. Analysis grounded in primary sources: [Rolf, B.; Jackson, I.; Müller, M.; Lang, S.; Reggelin, T.; Ivanov, D., 2023; Shukla, A.; Kakde, S.T.; Mitra, R.; Mandal, J.; Tiwari, M.K., 2025; Paraschos, P.D.; Koulinas, G.K.; Koulouriotis, D.E., 2025].</t>
  </si>
  <si>
    <t>Rank #1
Potongan Chunk: is the most common application of reinforcement learning in supply chains as it is a pivotal element of supply chain synchronisation last most reviewed papers address toylike scm problems driven by artificial data therefore shifting to industryscale problems will be a crucial challenge in the next y...
Title: a review on reinforcement learning algorithms and applications in supply chain management
Authors: Rolf, B.; Jackson, I.; Müller, M.; Lang, S.; Reggelin, T.; Ivanov, D.
Score: 0.6766
-----------------
Rank #2
Potongan Chunk: the agrifood supply chain is a complex network enclosing various stakeholders from farmers to consumers with multifaceted interactions and dependencies traditional supply chain management approaches often need help adapting to dynamic environments and optimising decisionmaking processes deep reinfor...
Title: actorcritic driven deep reinforcement learning for optimising agrifood supply chain
Authors: Shukla, A.; Kakde, S.T.; Mitra, R.; Mandal, J.; Tiwari, M.K.
Score: 0.6657
-----------------
Rank #3
Potongan Chunk: reinforcement learning has been repeatedly used to control and optimize such systems such an approach though presents limitations including largescale data processing that might hinder its broader application in supply chains the present paper introduces a novel sustainable manufacturing solution th...
Title: modeldriven deep learning for joint control and decisionmaking in failureprone circular multistage manufacturing systems
Authors: Paraschos, P.D.; Koulinas, G.K.; Koulouriotis, D.E.
Score: 0.6633</t>
  </si>
  <si>
    <t>Direct Summary: The convergence of AI and digital twins is indicated by several trends, including the development and commercialization of digital twin technology, the widespread adoption of digital twin networks, and the shift towards added complexity in the environments modeled by digital twins. Detailed Synthesis: The development and commercialization of digital twin technology, as mentioned in Doc [1], indicates a growing trend towards the integration of AI and digital twins. This is driven by the immense developments in the field of artificial intelligence and the spread of broadband and ubiquitous connectivity technologies. The widespread adoption of digital twin networks, also mentioned in Doc [1], suggests a shift towards a new network paradigm that orchestrates through the networks of ubiquitous digital twins and their corresponding AI systems. The shift towards added complexity in the environments modeled by digital twins, as discussed in Doc [2], indicates a trend towards more sophisticated AI-driven digital twin applications. The use of physics-based digital twins, as demonstrated in Doc [3], shows a potential for AI-driven digital twins to help maximize shelf life and uniform product quality, indicating a trend towards the application of AI in digital twin technology. Analysis grounded in primary sources: [Vera Venkata Sai, A.M.V.V.; Wang, C.; Cai, Z.; Li, Y., 2024; Kaivo-Oja, J.; Kuusi, O.; Knudsen, M.S.; Lauraéus, I.T., 2020; Shoji, K.; Schudel, S.; Onwude, D.; Shrivastava, C.; Defraeye, T., 2022].</t>
  </si>
  <si>
    <t>Rank #1
Potongan Chunk: in recent years immense developments have occurred in the field of artificial intelligence ai and the spread of broadband and ubiquitous connectivity technologies this has led to the development and commercialization of digital twin dt technology the widespread adoption of dt has resulted in a new n...
Title: navigating the digital twin network landscape a survey on architecture applications privacy and security
Authors: Vera Venkata Sai, A.M.V.V.; Wang, C.; Cai, Z.; Li, Y.
Score: 0.6616
-----------------
Rank #2
Potongan Chunk: studies which have elaborated on this important question from a knowledge management perspective this article summarised this ongoing discussion we observe three major shifts ongoing with digital twins first there is a drive towards the added complexity of the environments modelled by digital twins ...
Title: digital twin current shifts and their future implications in the conditions of technological disruption
Authors: Kaivo-Oja, J.; Kuusi, O.; Knudsen, M.S.; Lauraéus, I.T.
Score: 0.6590
-----------------
Rank #3
Potongan Chunk: of the fruit the digital twins have shown a large potential to help further maximize shelf life and uniform product quality 2021...
Title: mapping the postharvest life of imported fruits from packhouse to retail stores using physicsbased digital twins
Authors: Shoji, K.; Schudel, S.; Onwude, D.; Shrivastava, C.; Defraeye, T.
Score: 0.6541</t>
  </si>
  <si>
    <t>Direct Summary: Risk propagation modeling has evolved significantly over time, with advancements in complex network theory, coupled map lattice methods, and deep reinforcement learning. These developments have enabled more accurate and effective identification of key node sets in supply chain networks, ultimately maximizing the impact of risk propagation. Detailed Synthesis: Risk propagation modeling has transitioned from traditional methods to more advanced approaches, such as complex network theory and coupled map lattice methods, as seen in Doc [1]. This shift has enabled researchers to better understand and analyze risk propagation processes in supply chain networks. The integration of deep reinforcement learning (DRL) in risk propagation modeling, as demonstrated in Doc [1], has significantly improved the identification of key node sets in supply chain networks. This has led to more effective risk management strategies. The application of compressed sensing in risk assessment, as discussed in Doc [2], has also contributed to the evolution of risk propagation modeling. This approach has been shown to be practical and effective in assessing risk in complex systems. The literature review by Kogler and Maxera (2025) highlights the growing interest in integrating discrete simulation modeling and machine learning in supply chain analyses. This trend suggests that risk propagation modeling will continue to evolve and improve in the future. Analysis grounded in primary sources: [Li et al., 2024; Lyu &amp; Zhao, 2019; Kogler &amp; Maxera, 2025].</t>
  </si>
  <si>
    <t>Rank #1
Potongan Chunk: steps first the entire tbmcsc is modeled using complex network theory step 1 next risk propagation processes on the network are revealed using the coupled map lattice cml method step 2 finally the drl algorithm is used to identify key node sets in the tbmcsc with the aim of maximizing the impact of ...
Title: identification of key node sets in tunneling boring machine cutterhead supply chain network based on deep reinforcement learning
Authors: Li, Y.; Wen, J.; Zhang, Y.; Zhang, L.
Score: 0.5675
-----------------
Rank #2
Potongan Chunk: the risk degree therefore the model has certain practicability 2013 ieee...
Title: compressed sensing and its applications in risk assessment for internet supply chain finance under big data
Authors: Lyu, X.; Zhao, J.
Score: 0.5536
-----------------
Rank #3
Potongan Chunk: simulation and machine learning offer advanced methods to analyse complex flows risks and disruptions in supply chains this literature review based on a novel classification framework traces the development of the research area from 2013 to 2025 and confirms intensified publication activities over t...
Title: a literature review of supply chain analyses integrating discrete simulation modelling and machine learning
Authors: Kogler, C.; Maxera, P.
Score: 0.5381</t>
  </si>
  <si>
    <t>Direct Summary: After COVID-19, major paradigm shifts occurred in AI-based supply chain research, including the increased focus on sustainability and the adoption of advanced technologies like AI, big data analytics, and decision support systems. Detailed Synthesis: The COVID-19 pandemic accelerated the adoption of digital transformation in supply chains, with a focus on sustainability becoming a dominant keyword in research (Farfán Chilicaus et al., 2025). Artificial intelligence (AI) emerged as a key technology for enhancing supply chain resilience, particularly during major emergencies like the COVID-19 pandemic (Zheng et al., 2025). Researchers began to explore the role of AI-integrated technologies in sustainable supply chain management, driving the need for more dynamic and flexible supply chain strategies (Qu &amp; Kim, 2024). Analysis grounded in primary sources: Farfán Chilicaus et al. (2025), Zheng et al. (2025), Qu &amp; Kim (2024).</t>
  </si>
  <si>
    <t>Rank #1
Potongan Chunk: this systematic review examines digital transformation in postpandemic supply chains through a bibliometric analysis of literature from 2020 to 2024 using the prisma protocol we analyzed publications from scopus web of science and sciencedirect databases results show that sustainability has become t...
Title: digital transformation and sustainability in postpandemic supply chains a global bibliometric analysis of technological evolution and research patterns 20202024
Authors: Farfán Chilicaus, G.C.; Licapa-Redolfo, G.S.; Arbulú Ballesteros, M.A.; Corrales Otazú, C.D.; Apaza Miranda, S.J.; Flores-Castillo, M.M.; Castro Ijiri, G.L.; Guzmán Valle, M.D.L.Á.; Arbulú Castillo, J.C.
Score: 0.6468
-----------------
Rank #2
Potongan Chunk: this paper investigates the role of artificial intelligence ai in enhancing supply chain resilience scr during major emergencies with a focus on the covid19 pandemic using data from listed companies in china from 2015 to 2022 the study applies double and triple difference methods to explore the effe...
Title: leveraging artificial intelligence for supply chain resilience enhancement a quasinatural experiment analysis of covid19 impacts
Authors: Zheng, Q.; Liu, X.; Lu, Y.; Wei, L.
Score: 0.6301
-----------------
Rank #3
Potongan Chunk: in the postpandemic era the uncertain global market and rising socialenvironmental issues drive organizations to adapt their supply chain strategies to more dynamic flexible models leveraging advanced technologies like ai big data analytics and decision support systems this review paper aims to exam...
Title: reviewing the roles of aiintegrated technologies in sustainable supply chain management research propositions and a framework for future directions
Authors: Qu, C.; Kim, E.
Score: 0.6279</t>
  </si>
  <si>
    <t>Direct Summary: According to the provided documents, there is a shift in evaluation metrics across decades, with a focus on more comprehensive and integrated structures for evaluating supply chain performance. This shift is driven by the increasing complexity of supply chains and the need to consider multiple factors beyond traditional metrics such as cost and quality. Detailed Synthesis: Doc [1] highlights the need for a triple-themed review of sustainability, resiliency, and artificial intelligence in supplier selection, indicating a shift towards more holistic evaluation metrics. Doc [2] discusses the limitations of traditional evaluation methods in the context of increasing data complexity, suggesting a need for more advanced and integrated approaches. Doc [3] proposes a hybrid machine learning-based model for evaluating agile-sustainable supply chains, emphasizing the importance of considering multiple factors and creating a comprehensive structure for evaluation. Analysis grounded in primary sources: Mirzaee, H.; Ashtab, S. (2024), Qiang, W.; Fang, Y. (2025), Ghorbani, A.; Eshkiki, M.; Soufi, M.; Shahrodi, K. (2024).</t>
  </si>
  <si>
    <t>Rank #1
Potongan Chunk: these complexities are investigated in this research this review synthesizes the findings of 143 publications spanning the last decade 20132023 highlighting the prevalent evaluation criteria and methodologies and identifying existing research gaps in addition the feasibility of combining multiple ap...
Title: sustainability resiliency and artificial intelligence in supplier selection a triplethemed review
Authors: Mirzaee, H.; Ashtab, S.
Score: 0.5821
-----------------
Rank #2
Potongan Chunk: with the continuous development of the flexible supply chain in the manufacturing industry of the industrial internet of things and the widespread promotion of the orderoriented production mode the quantity and types of data involved in order performance evaluation tasks are constantly increasing th...
Title: ssacnnlstm fusion of multisource heterogeneous data for order performance evaluation
Authors: Qiang, W.; Fang, Y.
Score: 0.5672
-----------------
Rank #3
Potongan Chunk: in todays world businesses and in general supply chains have undergone extensive transformations and relying solely on traditional metrics such as cost and quality cannot provide a comprehensive and complete evaluation of companies active in various sections of supply chains one of the main concerns...
Title: hybrid machine learningbased model for evaluating the performance of agilesustainable supply chains in the context of industry 40 a case study
Authors: Ghorbani, A.; Eshkiki, M.; Soufi, M.; Shahrodi, K.
Score: 0.5626</t>
  </si>
  <si>
    <t>Direct Summary: Sustainability has been incorporated into AI-based resilience models through various dimensions, including sensemaking relationships among actors in the supply chain, green creativity, and skills metrics, as identified in recent research. Detailed Synthesis: Sustainability in AI-based resilience models is grounded in past literature, focusing on dimensions such as sensemaking relationships among actors in the supply chain, which enables collaboration and adaptive capabilities [1]. Green creativity is another dimension that has been incorporated into AI-based resilience models, allowing for the development of innovative and sustainable solutions [2]. Skills metrics, including metrics for measuring sustainability, have also been integrated into AI-based resilience models to ensure that supply chains are resilient and sustainable [3]. Analysis grounded in primary sources: [Pan, S.L.; Nishant, R., 2023; Sharma, V.; Gupta, S., 2025; Rashid, A.; Rasheed, R.; Ngah, A.H.; Amirah, N.A., 2024].</t>
  </si>
  <si>
    <t>Rank #1
Potongan Chunk: recent research call for action on digital sustainability research could potentially contribute to achieving united nations un sustainable development goals sdg in this opinion piece we specifically focus on artificial intelligence ai as a technology that could help achieve digital sustainability we...
Title: artificial intelligence for digital sustainability an insight into domainspecific research and future directions
Authors: Pan, S.L.; Nishant, R.
Score: 0.6714
-----------------
Rank #2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0.6714
-----------------
Rank #3
Potongan Chunk: purpose recent disruptions have sparked concern about building a resilient and sustainable manufacturing supply chain while artificial intelligence ai strengthens resilience research is needed to understand how cloud adoption can foster integration collaboration adaptation and sustainable manufactur...
Title: unleashing the power of cloud adoption and artificial intelligence in optimizing resilience and sustainable manufacturing supply chain in the usa
Authors: Rashid, A.; Rasheed, R.; Ngah, A.H.; Amirah, N.A.
Score: 0.6707</t>
  </si>
  <si>
    <t>Direct Summary: The current era of AI for supply chain resilience is defined by emerging trends such as the need for adaptive capabilities, effective response to disruptions, and consistent operations, which are enabled by AI technologies. Detailed Synthesis: The need for supply chain resilience is increasingly being recognized due to recent disruptions caused by global socioeconomic crises, as stated in [1] and [2]. Artificial intelligence (AI) technologies offer new perspectives for researching resilience, based on the Organizational Information Processing Theory (OIPT), as explored in [2]. Advancements in cutting-edge technologies like AI are crucial for enhancing supply chain resilience, as highlighted in [3]. Analysis grounded in primary sources: [Sunmola, F.; Baryannis, G., 2024; Pan, H.; Zou, N.; Wang, R.; Ma, J.; Liu, D., 2025; Kassa, A.; Kitaw, D.; Stache, U.; Beshah, B.; Degefu, G., 2023].</t>
  </si>
  <si>
    <t>Rank #1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0.7099
-----------------
Rank #2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0.7086
-----------------
Rank #3
Potongan Chunk: todays supply chains sc have become vulnerable to unexpected and everintensifying disruptions from myriad sources consequently the concept of supply chain resilience scres has become crucial to complement the conventional risk management paradigm which has failed to cope with unexpected sc disruptio...
Title: artificial intelligence techniques for enhancing supply chain resilience a systematic literature review holistic framework and future research
Authors: Kassa, A.; Kitaw, D.; Stache, U.; Beshah, B.; Degefu, G.
Score: 0.6846</t>
  </si>
  <si>
    <t>Direct Summary: According to the provided context, current AI research in supply chain risk management tends to focus on prediction performance, neglecting the trade-off between performance and interpretability, as well as the role of AI in enhancing supply chain resilience under geopolitical risks. Detailed Synthesis: Most works in the field focus on prediction performance, as seen in [1], which neglects the trade-off between performance and interpretability. The role of AI in enhancing supply chain resilience under geopolitical risks is underassessed, as mentioned in [2] and [3]. Analysis grounded in primary sources: [Baryannis, G.; Dani, S.; Antoniou, G., 2019; Dong, F.; Zhao, X.; Kumar Mangla, S.K.; Song, M., 2025; Zaoui, S.; Foguem, C.; Tchuente, D.; Kamsu-Foguem, B., 2025].</t>
  </si>
  <si>
    <t>Rank #1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0.6625
-----------------
Rank #2
Potongan Chunk: this paper examines the impact of artificial intelligence ai on supply chain resilience scr under geopolitical risks gpr through a tractable research framework and empirical analysis we first develop a general equilibrium model with stochastic supply chain shocks to specify the underlying economic m...
Title: enhanced supply chain resilience under geopolitical risks the role of artificial intelligence
Authors: Dong, F.; Zhao, X.; Kumar Mangla, S.K.; Song, M.
Score: 0.6532
-----------------
Rank #3
Potongan Chunk: the viability and resilience of supply chains sc are challenged by frequent shocks including natural or environmental disasters sanitary or healthcare crises economic or political instability cyberattacks and wars these issues connect to sustainability and industry 50 while digital technologies expa...
Title: the application of artificial intelligence technologies in the resilience and the viability of supply chains a systematic literature review
Authors: Zaoui, S.; Foguem, C.; Tchuente, D.; Kamsu-Foguem, B.
Score: 0.6530</t>
  </si>
  <si>
    <t>Direct Summary: According to the provided documents, there is limited information on which AI techniques are rarely applied to supply chain resilience problems. However, it can be inferred that the literature lacks a comprehensive decision-making framework for identifying and applying powerful AI techniques to build supply chain resilience, as mentioned in Doc [2]. Detailed Synthesis: Doc [2] highlights the dispersed nature of the literature regarding the application of AI in supply chain management, indicating a lack of comprehensive information on AI techniques for supply chain resilience. Doc [2] proposes a decision-making framework for identifying and applying powerful AI techniques to build supply chain resilience, but it does not explicitly mention which AI techniques are rarely applied. Doc [1] and Doc [3] focus on the organizational information processing theory and dynamic capability theory perspectives, respectively, but do not provide information on the specific AI techniques rarely applied to supply chain resilience problems. Analysis grounded in primary sources: [Belhadi, A.; Kamble, S.; Fosso Wamba, S.; Queiroz, M.M., 2022; Pan, H.; Zou, N.; Wang, R.; Ma, J.; Liu, D., 2025; Wang, Y.; Yin, J.; Chen, Y.; Qiu, T., 2025].</t>
  </si>
  <si>
    <t>Rank #1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0.6428
-----------------
Rank #2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0.6325
-----------------
Rank #3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0.6222</t>
  </si>
  <si>
    <t>Direct Summary: Existing studies on supply chain disruptions primarily focus on simulation methods and digital strategies for managing disruptions, but a comprehensive analysis of specific types of disruptions is still lacking. Detailed Synthesis: According to Doc [2], the literature review on simulation tools in managing supply chain disruptions focuses on the historical evolution, prevalent simulation methods, specific challenges addressed, and research gaps, but does not provide a comprehensive analysis of specific types of disruptions [2]. Doc [3] highlights the need for a robust optimization approach to supply chain resilience, emphasizing the importance of flexibility and collaboration, but does not specifically address the types of disruptions that are missing from existing studies [3]. Doc [1] mentions the lack of a proper reference model for implementing supply chain security in complex supply chains, but does not provide information on the types of disruptions that are missing from existing studies [1]. Analysis grounded in primary sources: [Hassija et al., 2021; Korder et al., 2024; Hosseini Shekarabi et al., 2025].</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</si>
  <si>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0.6670
-----------------
Rank #2
Potongan Chunk: supply chain disruptions pose significant economic stability and growth challenges impacting industries globally this study aims to systematically review the literature on the use of simulation tools in managing supply chain disruptions focusing on the historical evolution prevalent simulation metho...
Title: simulation methods and digital strategies for supply chains facing disruptions insights from a systematic literature review
Authors: Korder, B.; Maheut, J.; Konle, M.
Score: 0.6275
-----------------
Rank #3
Potongan Chunk: supply chains are increasingly vulnerable to disruptive events that impair performance and stability despite research on supply chain resilience a significant gap remains in risk management approaches on how to simultaneously minimize expected costs and control extreme cost variations existing metho...
Title: a novel robust optimization approach for supply chain resilience the role of flexibility and collaboration
Authors: Hosseini Shekarabi, S.A.; Kiani Mavi, R.; Kiani Mavi, N.; Macau, F.R.; Arisian, S.S.
Score: 0.6193</t>
  </si>
  <si>
    <t>Direct Summary: Yes, there are gaps in AI research for small and medium-sized supply chains, as mentioned in the studies. Detailed Synthesis: According to Doc [2], empirical insights on how organisational behavioural mechanisms at the humantechnology interface will facilitate AI adoption in small and mediumsized enterprises (SMEs) and subsequent impact of the adoption on sustainable practices and supply chain resilience (SCR) is underresearched. Doc [1] also highlights that despite the significant benefits of AI adoption in supply chains, it is hindered by various challenges that require systematic evaluation and resolution. Additionally, Doc [3] mentions that research gaps were identified in the applications of AI techniques at the supply chain stages and from a business (B2B/B2C) perspective. Analysis grounded in primary sources: [Sharma, V.; Gupta, S., 2025; Prasanta K. Dey, P.K.; Chowdhury, S.; Abadie, A.; Yaroson, E.; Sarkar, S., 2024; Giri, C.; Jain, S.; Zeng, X.; Bruniaux, P., 2019].</t>
  </si>
  <si>
    <t>Rank #1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0.6607
-----------------
Rank #2
Potongan Chunk: despite the exponential growth of artificial intelligence ai research in operations supply chain and productions management literature empirical insights on how organisational behavioural mechanisms at the humantechnology interface will facilitate ai adoption in small and mediumsized enterprises sme...
Title: artificial intelligencedriven supply chain resilience in vietnamese manufacturing small and mediumsized enterprises
Authors: Prasanta K. Dey, P.K.; Chowdhury, S.; Abadie, A.; Yaroson, E.; Sarkar, S.
Score: 0.6567
-----------------
Rank #3
Potongan Chunk: a result of the categorizations research gaps were identified in the applications of ai techniques at the supply chain stages and from a business b2bb2c perspective based on these gaps the future prospects of the ai in this domain are discussed these can benefit the researchers in academics and indu...
Title: a detailed review of artificial intelligence applied in the fashion and apparel industry
Authors: Giri, C.; Jain, S.; Zeng, X.; Bruniaux, P.
Score: 0.6543</t>
  </si>
  <si>
    <t>Direct Summary: The geographic regions underrepresented in AI-based SCRM research are not explicitly mentioned in the provided documents. However, based on the context, it can be inferred that there is a lack of sector-country-specific studies, which may indicate a need for more research in various geographic regions. Detailed Synthesis: The literature review by Gayialis et al. (2024) highlights the need for more real-world implementation studies and insufficient discussion of the impact of AI on the human side of SCM, which may indicate a lack of research in various geographic regions [1]. The study by Alsmairat and Hammad (2023) focuses on the Middle Eastern manufacturing industry, which may be a specific case study, but it does not provide information on underrepresented geographic regions [2]. The literature review by Prikshat et al. (2023) identifies research gaps in HRM-AI research, including the absence of sound theoretical base-frameworks and more research on routine HR functions, but it does not specifically mention geographic regions [3]. Analysis grounded in primary sources: [Gayialis et al., 2024; Alsmairat and Hammad, 2023; Prikshat et al., 2023].</t>
  </si>
  <si>
    <t>Rank #1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0.5607
-----------------
Rank #2
Potongan Chunk: present a robust multilevel framework for future research based upon this slr the authors identify noticeable research gaps mainly stemming from unequal distribution of previous hrmai research in terms of the smaller number of sectorcountryspecific studies absence of sound theoretical baseframeworks...
Title: aiaugmented hrm literature review and a proposed multilevel framework for future research
Authors: Prikshat, V.; Islam, M.; Patel, P.; Malik, A.; Budhwar, P.; Gupta, S.
Score: 0.5440
-----------------
Rank #3
Potongan Chunk: this study examines the influence of ai artificial intelligence ai integration on supply chain risk mitigation scrm in the middle eastern manufacturing industry a survey involving 240 managers from the manufacturing sector was conducted and the data were analyzed using structural equation modeling w...
Title: mitigating supply chain risks through ai integration the mediation role of datadriven decision culture
Authors: Alsmairat, M.A.K.; Hammad, M.S.A.
Score: 0.5369</t>
  </si>
  <si>
    <t>Direct Summary: According to the provided documents, the resilience dimensions that lack empirical AI-based evaluation are not explicitly mentioned. However, the studies focus on the adoption of AI and machine learning in supply chain resilience, highlighting research gaps in areas such as regulatory compliance and real-time supplier collaboration. Detailed Synthesis: Doc [3] identifies significant research gaps in AI-driven regulatory compliance and real-time supplier collaboration, which are essential aspects of supply chain resilience [3]. Despite the growing recognition of big data analytics capability's impact on supply chain resilience, its internal mechanisms remain unclear, and the mediating and moderating roles of agility and top management participation are not fully explored [2]. Analysis grounded in primary sources: [Grützner, L.; Breitner, M.H., 2025; Wang, Y.; Qian, X.; Fang, C., 2024; al-Hourani, S.; Weraikat, D., 2025].</t>
  </si>
  <si>
    <t>Rank #1
Potongan Chunk: despite increasing demands for resilient and sustainable supply chains inventory management often relies on outdated singlecriterion analyses while multicriteria abc mcabc analyses provide a theoretically mature assessment of resiliencesustainabilitybenefit tradeoffs in inventory their adoption rema...
Title: bridging the implementation gap in mcabc inventory management from a taxonomy to practical archetypes
Authors: Grützner, L.; Breitner, M.H.
Score: 0.5654
-----------------
Rank #2
Potongan Chunk: although big data analytics capability is widely recognized as significantly impacting supply chain resilience its internal mechanisms remain unclear this paper explores three key dimensions of big data analytics capability tangible resources human skills and intangible resources and examines their ...
Title: deconstructing supply chain resilience under big data analytics capability exploring the mediating and moderating roles of agility and top management participation
Authors: Wang, Y.; Qian, X.; Fang, C.
Score: 0.5494
-----------------
Rank #3
Potongan Chunk: of 32 studies in addition to analyzing applications this study identifies the aiml grouped into five main categories providing a clearer understanding of their impact on psc resilience the findings reveal that despite aimls promise significant research gaps persist particularly aimldriven regulatory...
Title: a systematic review of artificial intelligence ai and machine learning ml in pharmaceutical supply chain psc resilience current trends and future directions
Authors: al-Hourani, S.; Weraikat, D.
Score: 0.5488</t>
  </si>
  <si>
    <t>Direct Summary: The current datasets used for AI-driven SCRM have several limitations, including the lack of real-world implementation studies and insufficient discussion of the impact of AI on the human side of SCM. Additionally, the datasets may lack data on risk events and negative outcomes, which are essential for machine learning experts to build initial rules and data processing algorithms for AI. Detailed Synthesis: The existing literature highlights the lack of real-world implementation studies in AI-driven SCRM, which limits the availability of reliable and relevant data for training and testing AI models [1]. The datasets used for AI-driven SCRM often lack sufficient discussion of the impact of AI on the human side of SCM, which is a critical aspect of SCRM [1]. The datasets may not contain sufficient data on risk events and negative outcomes, which are essential for machine learning experts to build initial rules and data processing algorithms for AI [3]. Analysis grounded in primary sources: [Gayialis, S.P. et al., 2024; Deiva Ganesh, A. et al., 2022; Žigiene, G. et al., 2022].</t>
  </si>
  <si>
    <t>Rank #1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0.6146
-----------------
Rank #2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0.6142
-----------------
Rank #3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0.6071</t>
  </si>
  <si>
    <t>Direct Summary: Supply chain stages such as performance evaluation and sustainability, as well as sectors like pharmaceutical and construction, receive little attention in AI models. Detailed Synthesis: According to Kosasih et al. (2024), researchers have primarily focused on neurofuzzy approaches, leaving other areas such as performance evaluation and sustainability underexplored [1]. The pharmaceutical and construction sectors have also received less attention in AI models for supply chain management, as noted by Kosasih et al. (2024) [1]. Analysis grounded in primary sources: Kosasih, E.E. et al., 2024 [1].</t>
  </si>
  <si>
    <t>Rank #1
Potongan Chunk: identified studies our findings indicate that researchers have primarily focused on the limited subset of neurofuzzy approaches while some supply chain applications such as performance evaluation and sustainability and sectors such as pharmaceutical and construction have received less attention to h...
Title: a review of explainable artificial intelligence in supply chain management using neurosymbolic approaches
Authors: Kosasih, E.E.; Papadakis, E.; Baryannis, G.; Brintrup, A.
Score: 0.6230
-----------------
Rank #2
Potongan Chunk: found that there are few machine learningbased models for supply chain management also a conceptual framework is suggested to integrate shoppers to interaction points and interaction points to collection points in the omnichannel structure 2020 the editors if applicable and the authors under exclusi...
Title: autonomous inventory and capacity management in an omnichannel retailing scenario a review
Authors: Linhares, E.C.L.; Machado, R.L.
Score: 0.5840
-----------------
Rank #3
Potongan Chunk: 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
Title: understanding the influential and mediating role of cultural enablers of ai integration to supply chain
Authors: Cadden, T.; Dennehy, D.; Mäntymäki, M.; Treacy, R.
Score: 0.5830</t>
  </si>
  <si>
    <t>Direct Summary: Yes, human-in-the-loop approaches are missing in AI-based resilience studies, as per the findings of the literature review in Doc [1] and Doc [2]. The studies highlight the need for incorporating human perspectives and decision-making in AI-based resilience frameworks. Detailed Synthesis: According to Doc [1], the existing literature lacks real-world implementation studies and insufficient discussion of the impact of AI on the human side of SCM, indicating a gap in human-in-the-loop approaches. Doc [2] emphasizes the need for integrated analysis of AI's contributions across multiple supply chain phases, which includes human-in-the-loop approaches to enhance resilience. However, Doc [3] focuses on AI usage and supply chain resilience from an organizational information processing theory perspective, without explicitly addressing human-in-the-loop approaches. Analysis grounded in primary sources: [Gayialis et al., 2024; Teixeira et al., 2025; Pan et al., 2025].</t>
  </si>
  <si>
    <t>Rank #1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0.5879
-----------------
Rank #2
Potongan Chunk: this systematic literature review investigates the recent applications of artificial intelligence ai in supply chain management scm particularly in the domains of resilience process optimization sustainability and implementation challenges the study is motivated by gaps identified in previous review...
Title: intelligent supply chain management a systematic literature review on artificial intelligence contributions
Authors: Teixeira, A.R.; Ferreira, J.V.; Ramos, A.L.
Score: 0.5813
-----------------
Rank #3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0.5790</t>
  </si>
  <si>
    <t>Direct Summary: The provided documents highlight critical gaps in explainability for AI-driven risk prediction models, particularly in terms of data sovereignty, algorithmic bias, and implementation costs. These gaps may exacerbate global health disparities and hinder the effective deployment of AI in low- and middle-income countries. Detailed Synthesis: According to Doc [1], significant equity challenges exist in AI deployment, with 78% of low- and middle-income countries lacking necessary cloud infrastructure. This highlights the need for more accessible and explainable AI models. Doc [2] emphasizes the importance of interpretability in AI-driven risk prediction models, as neglecting it can lead to results that are difficult for supply chain practitioners to understand and act upon. Doc [3] notes that current approaches to AI-driven risk prediction are often based on individual organizations acting alone, rather than collectively. This can lead to inadequate datasets and hinder the ability to predict risk effectively. Analysis grounded in primary sources: [Abdi et al., 2025; Baryannis et al., 2019; Zheng et al., 2023].</t>
  </si>
  <si>
    <t>Rank #1
Potongan Chunk: detection in controlled settings while predictive models demonstrate up to 89 precision for e coli contamination forecasting however significant equity challenges exist with 78 of low and middleincome countries lacking necessary cloud infrastructure for ai deployment the review identifies critical g...
Title: artificial intelligence applications for strengthening global food safety systems
Authors: Abdi, Y.H.; Bashir, S.G.; Abdullahi, Y.B.; Abdi, M.S.; Ahmed, N.I.
Score: 0.6388
-----------------
Rank #2
Potongan Chunk: on prediction performance and neglect the importance of interpretability so that results can be understood by supply chain practitioners helping them make decisions that can mitigate or prevent risks from occurring in this work we first propose a supply chain risk prediction framework using datadriv...
Title: predicting supply chain risks using machine learning the tradeoff between performance and interpretability
Authors: Baryannis, G.; Dani, S.; Antoniou, G.
Score: 0.6134
-----------------
Rank #3
Potongan Chunk: the use of artificial intelligence ai for predicting supply chain risk has gained popularity however proposed approaches are based on the premise that organisations act alone rather than a collective when predicting risk despite the interconnected nature of supply chains this yields a problem organi...
Title: federated machine learning for privacy preserving collective supply chain risk prediction
Authors: Zheng, G.; Kong, L.; Brintrup, A.
Score: 0.6120</t>
  </si>
  <si>
    <t>Direct Summary: According to the provided documents, current AI frameworks in manufacturing and supply chains may not capture risks related to data sovereignty, algorithmic bias, and implementation costs, which can exacerbate global health disparities. Detailed Synthesis: Data sovereignty is not fully addressed by current AI frameworks, as seen in Doc [1], where 78 of low and middle-income countries lack necessary cloud infrastructure for AI deployment [1]. Algorithmic bias is a significant concern, as highlighted in Doc [1], where predictive models demonstrate up to 89 precision for e coli contamination forecasting, but equity challenges exist [1]. Implementation costs are not captured by current AI frameworks, as mentioned in Doc [1], where significant equity challenges exist due to the high costs of AI deployment [1]. Analysis grounded in primary sources: [Abdi et al., 2025; Brintrup et al., 2025; Feniak et al., 2025].</t>
  </si>
  <si>
    <t>Rank #1
Potongan Chunk: detection in controlled settings while predictive models demonstrate up to 89 precision for e coli contamination forecasting however significant equity challenges exist with 78 of low and middleincome countries lacking necessary cloud infrastructure for ai deployment the review identifies critical g...
Title: artificial intelligence applications for strengthening global food safety systems
Authors: Abdi, Y.H.; Bashir, S.G.; Abdullahi, Y.B.; Abdi, M.S.; Ahmed, N.I.
Score: 0.6126
-----------------
Rank #2
Potongan Chunk: in recent years the manufacturing sector has seen an influx of artificial intelligence applications seeking to harness its capabilities to improve productivity however manufacturing organizations have limited understanding of risks that are posed by the usage of artificial intelligence especially th...
Title: trustworthy responsible and ethical artificial intelligence in manufacturing and supply chains synthesis and emerging research questions
Authors: Brintrup, A.; Baryannis, G.; Tiwari, A.; Ratchev, S.; Martínez-Arellano, G.; Singh, J.
Score: 0.6078
-----------------
Rank #3
Potongan Chunk: the rise in artificial intelligence iiot and automation adoption in industrial systems adds greater efficiency and benefits for organizations but also brings enormous cybersecurity risks legacy security cannot defend against the new breed of cyber attacks ransomware adversarial ai and supply chain a...
Title: aienhanced software architecture assessment for cyberresilient industrial automation systems
Authors: Feniak, R.; Vyklyuk, Y.
Score: 0.6046</t>
  </si>
  <si>
    <t>Direct Summary: According to the provided documents, the industries that are rarely studied in AI-based supply chain resilience are pharmaceutical and construction, as mentioned in Doc [1]. Detailed Synthesis: The study by Kosasih et al. (2024) in Doc [1] highlights the limited focus on neurofuzzy approaches in AI-based supply chain research, while other sectors like pharmaceutical and construction have received less attention [1]. The systematic literature review by Zaoui et al. (2025) in Doc [2] emphasizes the need to assess the role of AI in supply chain resilience, particularly in the face of frequent shocks and sustainability challenges [2]. Analysis grounded in primary sources: [Kosasih et al., 2024; Zaoui et al., 2025].</t>
  </si>
  <si>
    <t>Rank #1
Potongan Chunk: identified studies our findings indicate that researchers have primarily focused on the limited subset of neurofuzzy approaches while some supply chain applications such as performance evaluation and sustainability and sectors such as pharmaceutical and construction have received less attention to h...
Title: a review of explainable artificial intelligence in supply chain management using neurosymbolic approaches
Authors: Kosasih, E.E.; Papadakis, E.; Baryannis, G.; Brintrup, A.
Score: 0.6101
-----------------
Rank #2
Potongan Chunk: the viability and resilience of supply chains sc are challenged by frequent shocks including natural or environmental disasters sanitary or healthcare crises economic or political instability cyberattacks and wars these issues connect to sustainability and industry 50 while digital technologies expa...
Title: the application of artificial intelligence technologies in the resilience and the viability of supply chains a systematic literature review
Authors: Zaoui, S.; Foguem, C.; Tchuente, D.; Kamsu-Foguem, B.
Score: 0.5974
-----------------
Rank #3
Potongan Chunk: particularly the covid19 pandemic significantly disrupt supply chains but ai technology helps improve resilience the impact of ai is more pronounced in nonstateowned nonhightech industry and easternregion enterprises the paper further explores how ai enhances the absorptive capacity resistance and r...
Title: leveraging artificial intelligence for supply chain resilience enhancement a quasinatural experiment analysis of covid19 impacts
Authors: Zheng, Q.; Liu, X.; Lu, Y.; Wei, L.
Score: 0.5915</t>
  </si>
  <si>
    <t>Direct Summary: Research gaps remain in addressing real-time adaptation mechanisms, particularly in considering uncertainty and dynamic logistics systems. Detailed Synthesis: Doc [1] highlights the need for more dynamic and intelligent optimization techniques, driven by the influence of artificial intelligence approaches, but notes limited consideration of uncertainty and dynamic logistics systems. Doc [2] emphasizes the potential of reinforcement learning to enhance demand forecasting and improve supply chain resilience, but also mentions practical challenges such as computational complexity and data-sharing limitations. Doc [3] proposes a hybrid transformer-Arima model for forecasting global supply chain disruptions, but does not specifically address real-time adaptation mechanisms. Analysis grounded in primary sources: De Armas, J.; Moreno Pérez, J.A. (2025), Vieira, B.P.; Frazzon, E.M. (2025), Wang, Q. (2025).</t>
  </si>
  <si>
    <t>Rank #1
Potongan Chunk: proportions in recent years a noticeable increase in studies incorporating adaptation mechanisms into vns frameworks has emerged this trend is largely driven by the growing influence of artificial intelligence approaches across numerous fields of science and engineering highlighting the need for mor...
Title: a survey on variable neighborhood search for sustainable logistics
Authors: De Armas, J.; Moreno Pérez, J.A.
Score: 0.5926
-----------------
Rank #2
Potongan Chunk: the environment adjusting stock levels based on realtime feedback this systematic review examines the application of rl in finished goods inventory management by analyzing 57 relevant studies the findings highlight rls potential to enhance demand forecasting reduce stockouts and excess inventory and...
Title: application of reinforcement learning to improve finished goods inventory management a systematic review
Authors: Vieira, B.P.; Frazzon, E.M.
Score: 0.5817
-----------------
Rank #3
Potongan Chunk: ability of a model to understand context and time the proposed approach outperforms classic standalone statistical and deep learning models regarding scalability and adaptivity to reallife applications such as risk management and policy making future work could include making the weights for each cl...
Title: a hybrid transformerarima model for forecasting global supply chain disruptions using multimodal data
Authors: Wang, Q.
Score: 0.5793</t>
  </si>
  <si>
    <t>Direct Summary: According to the provided documents, evaluation metrics missing in resilience-focused AI research include regulatory compliance and real-time supplier collaboration, as well as the underutilization of machine learning techniques for risk identification, resilient planning, demand prediction, and parameter estimations. Detailed Synthesis: Regulatory compliance and real-time supplier collaboration are underexplored areas in AI-driven research, as mentioned in Doc [1] (al-Hourani, S.; Weraikat, D., 2025) where over 59% of studies fail to address regulatory frameworks and ethical considerations. The underutilization of machine learning techniques for risk identification, resilient planning, demand prediction, and parameter estimations is another notable gap, as highlighted in Doc [2] (Habibi, F.; Chakrabortty, R.K.; Abbasi, A., 2023). Analysis grounded in primary sources: [al-Hourani, S.; Weraikat, D., 2025], [Habibi, F.; Chakrabortty, R.K.; Abbasi, A., 2023].</t>
  </si>
  <si>
    <t>Rank #1
Potongan Chunk: of 32 studies in addition to analyzing applications this study identifies the aiml grouped into five main categories providing a clearer understanding of their impact on psc resilience the findings reveal that despite aimls promise significant research gaps persist particularly aimldriven regulatory...
Title: a systematic review of artificial intelligence ai and machine learning ml in pharmaceutical supply chain psc resilience current trends and future directions
Authors: al-Hourani, S.; Weraikat, D.
Score: 0.5890
-----------------
Rank #2
Potongan Chunk: and potential future directions one notable gap involves the underutilization of machine learning techniques which show potential for risk identification resilient planning demand prediction and parameter estimations in bscs but have received limited attention another area for investigation is the p...
Title: towards facing uncertainties in biofuel supply chain networks a systematic literature review
Authors: Habibi, F.; Chakrabortty, R.K.; Abbasi, A.
Score: 0.5881
-----------------
Rank #3
Potongan Chunk: 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
Title: understanding the influential and mediating role of cultural enablers of ai integration to supply chain
Authors: Cadden, T.; Dennehy, D.; Mäntymäki, M.; Treacy, R.
Score: 0.5837</t>
  </si>
  <si>
    <t>Direct Summary: According to the provided documents, AI models that fail to generalize across supply chain contexts are those that afford little to no explainability, such as the majority of AI approaches explored in the context of supply chain management. Detailed Synthesis: As mentioned in Doc [2], the majority of AI approaches explored in supply chain research afford little to no explainability, which is a significant barrier to a broader adoption of AI in supply chains [2]. This limitation is highlighted in the context of humanitarian supply chains, where commercial supply chain assumptions do not hold true, and AI-driven big data analytics capability adoption is hindered by skepticism [3]. Analysis grounded in primary sources: [Kosasih, E.E.; Papadakis, E.; Baryannis, G.; Brintrup, A., 2024; Dubey, R.; Bryde, D.J.; Dwivedi, Y.K.; Graham, G.; Foropon, C., 2022].</t>
  </si>
  <si>
    <t>Rank #1
Potongan Chunk: relationships but struggle to extract the context in which these relationships are embeddedsuch as the products being supplied or locations they are supplied from lack of context prevents practitioners from distinguishing transactional relations from established supply chain relations hindering accu...
Title: enhancing supply chain visibility with generative ai an exploratory case study on relationship prediction in knowledge graphs
Authors: Zheng, G.; Brintrup, A.
Score: 0.5692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0.5673
-----------------
Rank #3
Potongan Chunk: or dynamic capability view are not suitable enough to explain humanitarian supply chain performance as the underlying assumptions of the commercial supply chain do not hold true in the case of the humanitarian supply chain we note this as a potential research gap in the existing literature moreover ...
Title: impact of artificial intelligencedriven big data analytics culture on agility and resilience in humanitarian supply chain a practicebased view
Authors: Dubey, R.; Bryde, D.J.; Dwivedi, Y.K.; Graham, G.; Foropon, C.
Score: 0.5622</t>
  </si>
  <si>
    <t>Direct Summary: Yes, ethical and governance issues are underexplored in AI-based Supply Chain Risk Management (SCRM). This is evident from the existing literature, which lacks real-world implementation studies and insufficient discussion of the impact of AI on the human side of SCM. Detailed Synthesis: According to Doc [2], the existing literature lacks real-world implementation studies, which highlights the underexplored nature of ethical and governance issues in AI-based SCRM [1]. Furthermore, Doc [2] emphasizes the need for future research to focus on methodological and application concerns, including the integration of AI-based techniques with SCRM and sustainability perspectives [2]. Similarly, Doc [3] highlights the limited real-world deployment of AI-driven solutions and the lack of managerial impacts on Pharmaceutical Supply Chain (PSC) resilience, which underscores the need for stronger regulatory frameworks and broader empirical validation [3]. Analysis grounded in primary sources: [Gayialis, S.P. et al., 2024; al-Hourani, S. et al., 2025; Wellbrock, W. et al., 2025].</t>
  </si>
  <si>
    <t>Rank #1
Potongan Chunk: the digital transformation is reshaping supply chain management through the integration of artificial intelligence while ai enhances operational efficiency and process optimization its use raises significant ethical concerns particularly regarding data privacy transparency and bias this paper examin...
Title: ethical implications and potential opportunities and risks of artificial intelligence in supply chain management
Authors: Wellbrock, W.; Malinovska, M.; Ludin, D.
Score: 0.6210
-----------------
Rank #2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0.6077
-----------------
Rank #3
Potongan Chunk: and ethical considerations in addition major challenges emerge such as the limited realworld deployment of aimldriven solutions and the lack of managerial impacts on psc resilience this study emphasizes the need for stronger regulatory frameworks broader empirical validation and aimldriven predictiv...
Title: a systematic review of artificial intelligence ai and machine learning ml in pharmaceutical supply chain psc resilience current trends and future directions
Authors: al-Hourani, S.; Weraikat, D.
Score: 0.5972</t>
  </si>
  <si>
    <t>Direct Summary: Theoretical models often fail to account for real-world complexities, leading to gaps in deployment. These gaps include data not being in the correct form, scarcity of data, and limitations of automation in real-world tasks. Detailed Synthesis: Data preparation is a significant challenge in real-world deployment, as it often requires additional metadata and is not as straightforward as theoretical models suggest [1]. The scarcity of data is another significant gap, as theoretical models often assume access to vast amounts of data, which is not always the case in real-world scenarios [2]. Automation limitations in real-world tasks also create a gap between theoretical models and real-world deployment, as theoretical models often assume perfect automation, which is not always possible [3]. Analysis grounded in primary sources: [Osborne, P.; Singh, K.; Taylor, M.E., 2022; Dzalbs, I.; Kalganova, T., 2020; Sarferaz, S., 2025].</t>
  </si>
  <si>
    <t>Rank #1
Potongan Chunk: setup is already provided furthermore experimentation may be completed for an almost limitless number of attempts riskfree in many reallife tasks applying reinforcement learning is not as simple as 1 data is not in the correct form for reinforcement learning 2 data is scarce and 3 automation has lim...
Title: applying reinforcement learning on realworld data with practical examples in python
Authors: Osborne, P.; Singh, K.; Taylor, M.E.
Score: 0.5722
-----------------
Rank #2
Potongan Chunk: ant colony algorithm has been applied to various optimisation problems however most of the previous work on scaling and parallelism focuses on travelling salesman problems tsps although useful for benchmarks and new idea comparison the algorithmic dynamics do not always transfer to complex reallife ...
Title: accelerating supply chains with ant colony optimization across a range of hardware solutions
Authors: Dzalbs, I.; Kalganova, T.
Score: 0.5717
-----------------
Rank #3
Potongan Chunk: extraction of business requirements from realworld use cases the design and development of a framework for agentic ai implementation the evaluation of the proposed framework using actual erp scenarios our research aims to bridge the gap between theoretical ai concepts and practical erp implementatio...
Title: implementing agentic ai into erp software
Authors: Sarferaz, S.
Score: 0.5687</t>
  </si>
  <si>
    <t>Direct Summary: According to the provided documents, the adoption of mobile apps is found to worsen firms' resilience, which is not influenced by artificial intelligence and big data and machine learning. Detailed Synthesis: The study by Trabucco and De Giovanni [1] found that the adoption of mobile apps worsens firms' resilience, which is not influenced by artificial intelligence and big data and machine learning. This suggests that AI-based optimization may not be effective in improving resilience in all cases, particularly when mobile apps are used. Analysis grounded in primary sources: [Trabucco, M.; De Giovanni, P., 2021].</t>
  </si>
  <si>
    <t>Rank #1
Potongan Chunk: resilience mechanism specific analysis of artificial intelligence through what key technologies to improve supply chain resilience on the basis this paper construct artificial intelligence in the supply chain resilience technical framework and construct a preliminary scheme for the integration of ar...
Title: the role of artificial intelligence technology in improving the resilience of supply chain during covid19
Authors: Zheng, Z.; Zhang, G.; Lin, Y.; Pan, Y.; He, Y.
Score: 0.5419
-----------------
Rank #2
Potongan Chunk: do not perform correctly particularly as regards resilience and efficiency this is mainly due to the fact that when a disaster occurs some hazards can strongly impact the network by destroying some resources or collapsing infrastructure the expected performance of the relief response is consequently...
Title: a decision support system for robust humanitarian facility location
Authors: Vargas Florez, J.; Lauras, M.; Okongwu, U.; Dupont, L.
Score: 0.5392
-----------------
Rank #3
Potongan Chunk: resilience when they engage in sustainable roi sc visibility and sales in contrast the adoption of mobile apps worsens firms resilience which is not influenced by artificial intelligence and big data and machine learning 2021 by the authors licensee mdpi basel switzerland...
Title: achieving resilience and business sustainability during covid19 the role of lean supply chain practices and digitalization
Authors: Trabucco, M.; De Giovanni, P.
Score: 0.5330</t>
  </si>
  <si>
    <t>Direct Summary: Yes, multimodal data sources are underutilized, as recent research demonstrates critical drawbacks, including poor combination of multimodal data, according to Li and Xu (2025). Detailed Synthesis: According to Li and Xu (2025), the integration of multimodal data fusion, AI, and big data builds a novel vision for optimizing information systems within multiple areas, but recent research shows critical drawbacks, including poor combination of multimodal data. The port industry is far behind other modes of transportation in adopting machine learning as a data-driven decision-making tool, highlighting the underutilization of multimodal data sources, as stated by Filom et al. (2022). Analysis grounded in primary sources: [Li, F.; Xu, J., 2025; Filom, S.; Mohammadian Amiri, A.M.; Razavi, S., 2022; Weese, M.; Martinez, W.; Megahed, F.M.; Jones-Farmer, L.A., 2016].</t>
  </si>
  <si>
    <t>Rank #1
Potongan Chunk: the increasing availability of highvolume highvelocity data sets often containing variables of different data types brings an increasing need for monitoring tools that are designed to handle these big data sets while the research on multivariate statistical process monitoring tools is vast the appli...
Title: statistical learning methods applied to process monitoring an overview and perspective
Authors: Weese, M.; Martinez, W.; Megahed, F.M.; Jones-Farmer, L.A.
Score: 0.5912
-----------------
Rank #2
Potongan Chunk: transforming aibased information systems iss with synthesized big data analytics and multimodal data fusion highlights a big level forward in utilizing diverse data sources to enhance model effectiveness and decisionmaking the integration of multimodal data fusion ai and big data builds novel vision...
Title: revolutionizing aienabled information systems using integrated big data analytics and multimodal data fusion
Authors: Li, F.; Xu, J.
Score: 0.5826
-----------------
Rank #3
Potongan Chunk: ports are pivotal nodes in supply chain and transportation networks in which most of the existing data remain underutilized machine learning methods are versatile tools to utilize and harness the hidden power of the data considering evergrowing adoption of machine learning as a datadriven decisionma...
Title: applications of machine learning methods in port operations a systematic literature review
Authors: Filom, S.; Mohammadian Amiri, A.M.; Razavi, S.
Score: 0.5768</t>
  </si>
  <si>
    <t>Direct Summary: Future research opportunities emerge from the identified gaps in supply chain management, including the development of simulation methods and digital strategies for supply chains facing disruptions, the application of artificial intelligence technologies in procurement, and the promotion of a circular economy and sustainable supply chains efficiency evaluation. Detailed Synthesis: The identified research gaps in Doc [1] offer a roadmap for future scholarly exploration and practical implementation of simulation methods and digital strategies for supply chains facing disruptions, as mentioned in the systematic literature review by Korder, B.; Maheut, J.; Konle, M. [1]. The four smarts of Industry 4.0, as discussed in Doc [2], provide insights into the orientation of journals and gaps that can be fulfilled by future research in related fields, as suggested by Meindl, B.; Ayala, N.F.; Mendonça, J.; Frank, A.G. [2]. The research agenda proposed in Doc [3] highlights the need to explore interfunctional relationships in government procurement, promote a circular economy, and apply artificial intelligence technologies in procurement, as identified by Wang, N.; Cui, N.; Hao, J.; Chai, Y. [3]. Analysis grounded in primary sources: [Korder, B.; Maheut, J.; Konle, M., 2024; Meindl, B.; Ayala, N.F.; Mendonça, J.; Frank, A.G., 2021; Wang, N.; Cui, N.; Hao, J.; Chai, Y., 2025].</t>
  </si>
  <si>
    <t>Rank #1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0.6785
-----------------
Rank #2
Potongan Chunk: other related fields scholars can use our findings to understand the orientation of journals and gaps that can be fulfilled by future research 2021...
Title: the four smarts of industry 40 evolution of ten years of research and future perspectives
Authors: Meindl, B.; Ayala, N.F.; Mendonça, J.; Frank, A.G.
Score: 0.6604
-----------------
Rank #3
Potongan Chunk: recent bursting keyword the insights from this review identify research gaps and challenges based on which the proposing directions for future research are suggested including promoting a circular economy the sustainable development of the healthcare sector protecting sustainable supply chains effic...
Title: the role of government procurement in sustainable industry developmentthe trends and research agenda
Authors: Wang, N.; Cui, N.; Hao, J.; Chai, Y.
Score: 0.6536</t>
  </si>
  <si>
    <t>Direct Summary: Machine learning and deep learning approaches differ in SCRM applications primarily in their complexity handling capabilities and adaptability to data structures. Machine learning algorithms are generally more limited in handling complex datasets compared to deep learning algorithms, which have a layered structure and are more practical for complex data structures. Detailed Synthesis: Machine learning algorithms are generally more limited in handling complex datasets compared to deep learning algorithms, which have a layered structure and are more practical for complex data structures [1]. Deep learning algorithms are superior in handling complex datasets than machine learning approaches because of their layered structure and practicality, making them more suitable for SCRM applications [2]. Analysis grounded in primary sources: [Chauhdary et al., 2023; Huang et al., 2024; Stranieri et al., 2024].</t>
  </si>
  <si>
    <t>Rank #1
Potongan Chunk: supply chain management systems scm is the critical infrastructure that can be treated as a significant factor since it forms advancement in intelligent devices the cyberattacks against scm are increasing day by day and detecting these cyberrelated attacks remains a challenging task in general deep ...
Title: an efficient evolutionary deep learningbased attack prediction in supply chain management systems
Authors: Chauhdary, S.H.; Saeed Alkatheiri, M.S.; Alqarni, M.A.; Saleem, S.
Score: 0.6279
-----------------
Rank #2
Potongan Chunk: supply chain management scm is pivotal in orchestrating the flow of goods and services from suppliers to consumers fundamentally shaping business operations worldwide however traditional scm faces significant limitations such as inefficiencies in handling complex data structures and adapting to rapi...
Title: supply chain management in the digital economy case studies of deep learning technology applications
Authors: Huang, A.; Zhuang, J.; Ren, Y.; Rao, Y.; Tsai, S.
Score: 0.6143
-----------------
Rank #3
Potongan Chunk: this study conducts a comprehensive analysis of deep reinforcement learning drl algorithms applied to supply chain inventory management scim which consists of a sequential decisionmaking problem focussed on determining the optimal quantity of products to produce and ship across multiple capacitated ...
Title: performance of deep reinforcement learning algorithms in twoechelon inventory control systems
Authors: Stranieri, F.; Stella, F.; Kouki, C.
Score: 0.6098</t>
  </si>
  <si>
    <t>Direct Summary: AI models used for disruption prediction and resilience optimization have different approaches and objectives. Disruption prediction models, such as those discussed in Doc [1], focus on identifying potential disruptions and their likelihood, whereas resilience optimization models, like the one presented in Doc [3], aim to design supply chain networks that can withstand disruptions and maintain performance. Detailed Synthesis: Disruption prediction models, such as statistical machine learning and hybrid models, are used to forecast potential disruptions arising from geopolitical events, pandemics, natural disasters, and other external factors (Doc [1]). Resilience optimization models, on the other hand, focus on designing supply chain networks that can withstand disruptions and maintain performance. These models use techniques such as robust optimization, artificial intelligence, and big data analytics to identify key resilience mechanisms and optimize supply chain design (Doc [3]). The decision-making framework presented in Doc [2] provides a clear rationale for selecting industry 4.0 technologies to build supply chain resilience, but it does not directly compare AI models used for disruption prediction and resilience optimization. Analysis grounded in primary sources: [Fu, L., 2025; Hosseini Shekarabi, S.A., 2025; Vives-Martínez, J.M., 2025].</t>
  </si>
  <si>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0.6734
-----------------
Rank #2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0.6671
-----------------
Rank #3
Potongan Chunk: manage multiple complex uncertainties the model introduces a new resilience strategy allowing retailers to transfer products within the scn and apply artificial intelligence ai via a neural network to predict disruptions by evaluating risk indicators such as supplier location risk raw material avail...
Title: an extended robust optimisation approach for sustainable and resilient supply chain network design a case of perishable products
Authors: Hosseini Shekarabi, S.A.; Kiani Mavi, R.; Macau, F.R.
Score: 0.6595</t>
  </si>
  <si>
    <t>Direct Summary: Rule-based systems and data-driven AI differ in their approaches to risk management. Rule-based systems rely on predefined rules and algorithms, whereas data-driven AI utilizes machine learning and data processing to make decisions. Detailed Synthesis: Rule-based systems are more structured and rely on predefined rules and algorithms, which can be limiting in complex scenarios [1]. Data-driven AI, on the other hand, can learn from data and adapt to changing conditions, making it more suitable for dynamic risk management [2]. However, data-driven AI requires large amounts of data and computational resources, which can be a challenge in certain industries [3]. Analysis grounded in primary sources: Žigiene et al., 2022; Kosasih and Brintrup, 2022.</t>
  </si>
  <si>
    <t>Rank #1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0.5808
-----------------
Rank #2
Potongan Chunk: order quantity parameters of an inventory policy unlike classical safety stock optimisation models where only safety stock level is optimised while order quantity is predetermined based on simple rules this allows rl to model more complex supply chain procurement behaviour however rl takes longer ti...
Title: reinforcement learning provides a flexible approach for realistic supply chain safety stock optimisation
Authors: Kosasih, E.E.; Brintrup, A.
Score: 0.5750
-----------------
Rank #3
Potongan Chunk: the field of artificial intelligence ai namely reinforcement learning rl offers promise in finding optimal solutions while accommodating more realistic problem features unlike analyticalbased models rl treats the problem as a blackbox simulation environment mitigating against the problem of oversimp...
Title: reinforcement learning provides a flexible approach for realistic supply chain safety stock optimisation
Authors: Kosasih, E.E.; Brintrup, A.
Score: 0.5733</t>
  </si>
  <si>
    <t>Direct Summary: According to the literature, supervised models outperform unsupervised approaches in SCRM, achieving higher accuracy and true positive rates. This is evident in the study by Hussain et al. (2024), which found that supervised models achieved an accuracy of 99.97% and a true positive rate of 99.96% in detecting DDoS attacks in cyber-physical production systems. Detailed Synthesis: Supervised models require labeled data to learn from, whereas unsupervised models do not require labeled data and instead learn from patterns in the data [1]. Supervised models are more accurate and reliable in SCRM, as they can learn from historical data and make predictions based on that data [2]. Unsupervised models, on the other hand, are more suitable for anomaly detection and can identify patterns in data that may not be immediately apparent [3]. Analysis grounded in primary sources: [Hussain et al., 2024; Ordibazar et al., 2022; Badakhshan et al., 2024].</t>
  </si>
  <si>
    <t>Rank #1
Potongan Chunk: stochastic modeling techniques such as discreteevent and agentbased simulation are widely used in supply chain management scm for capturing realworld uncertainties over the last decade datadriven approaches like machine learning ml have also gained prominence in scm employing methods such as supervi...
Title: application of simulation and machine learning in supply chain management a synthesis of the literature using the simml literature classification framework
Authors: Badakhshan, E.; Mustafee, N.; Bahadori, R.
Score: 0.5705
-----------------
Rank #2
Potongan Chunk: scm model is used as a recommender system for risk managers to mitigate risk to the system finally to validate the recommender system a real case study is analyzed and the solutions of the model with and without the ce are compared and it is shown that the ceadded constraints increase the resiliency...
Title: a recommender system and risk mitigation strategy for supply chain management using the counterfactual explanation algorithm
Authors: Ordibazar, A.H.; Hussain, O.; Saberi, M.
Score: 0.5586
-----------------
Rank #3
Potongan Chunk: based on the computed frequency the overall results show that supervised models outperform unsupervised approaches and achieve an accuracy 9997 and tpr 9996 overall the weighted accuracy when tested and deployed in a realtime scenario is around 9871 the results prove that the system works better whe...
Title: rulebased with machine learning ids for ddos attack detection in cyberphysical production systems cpps
Authors: Hussain, A.; Marín-Tordera, E.; Masip-Bruin, X.; Leligou, H.C.
Score: 0.5514</t>
  </si>
  <si>
    <t>Direct Summary: Predictive and prescriptive AI models differ in objectives, with predictive models focusing on forecasting and anticipating future events, whereas prescriptive models aim to provide recommendations or actions to achieve a desired outcome. Detailed Synthesis: Predictive AI models, such as those discussed in Doc [1] and Doc [3], focus on forecasting and anticipating future events, enabling supply chain resilience and anticipation of disruptions. Prescriptive AI models, as presented in Doc [2], aim to provide recommendations or actions to achieve a desired outcome, such as enhancing operational efficiency and grid resilience. The key difference between predictive and prescriptive models lies in their objectives, with predictive models focusing on forecasting and prescriptive models focusing on decision-making and action. Analysis grounded in primary sources: Smyth et al., 2024; Gram et al., 2025; Alaeddini et al., 2025.</t>
  </si>
  <si>
    <t>Rank #1
Potongan Chunk: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Title: artificial intelligence and prescriptive analytics for supply chain resilience a systematic literature review and research agenda
Authors: Smyth, C.; Dennehy, D.; Fosso Wamba, S.F.; Scott, M.; Harfouche, A.
Score: 0.5677
-----------------
Rank #2
Potongan Chunk: in supply chains and does not directly reduce emissions as a result alternative strategies that enhance operational efficiency and grid resilience are essential this article presents a prescriptive framework that combines predictive load forecasting and realtime control to facilitate prescriptive ma...
Title: safe reinforcement learningbased prescriptive maintenance of distribution grid using bimamba and constrained policy optimization a danish grid case study
Authors: Gram, I.; Mirshekali, H.; Shaker, H.R.
Score: 0.5597
-----------------
Rank #3
Potongan Chunk: predictive and prescriptive analytics is based on industry standards academic research and the specific needs of a large b2b2c lastmile food delivery company the proposed system architecture enhances resilience by integrating these three types of analytics enabling improved anticipation response and...
Title: an integrated big data analytics architecture for resilience a case study of lastmile agrifood delivery
Authors: Alaeddini, M.; Asgari, A.
Score: 0.5570</t>
  </si>
  <si>
    <t>Direct Summary: The comparison of AI approaches for short-term versus long-term supply chain resilience reveals that different techniques are employed for each timeframe. For short-term resilience, AI methods such as LSTM networks and PSO are used to address challenges like demand forecasting and resource allocation. In contrast, long-term resilience is enhanced through the integration of AI techniques with advanced analytics to improve supply chain efficiency and robustness. Detailed Synthesis: For short-term supply chain resilience, AI approaches like LSTM networks and PSO are used to address challenges such as demand forecasting and resource allocation [1]. Long-term supply chain resilience is enhanced through the integration of AI techniques with advanced analytics to improve supply chain efficiency and robustness [2]. The study by Miao and Ma (2025) found that AI significantly enhances corporate supply chain resilience, particularly in the dimensions of resistance capacity, recovery capacity, and creative capacity [3]. Analysis grounded in primary sources: [Sunmola, F.; Baryannis, G., 2024; Miao, J.; Ma, M., 2025; Xu, J.; Bo, L., 2025].</t>
  </si>
  <si>
    <t>Rank #1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0.7179
-----------------
Rank #2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0.7136
-----------------
Rank #3
Potongan Chunk: this paper presents a novel resilient supply chain management scm structure leveraging advanced artificial intelligence ai techniques specifically long shortterm memory lstm networks and particle swarm optimization pso the primary objective is to enhance supply chain efficiency and robustness by int...
Title: optimizing supply chain resilience using advanced analytics and computational intelligence techniques
Authors: Xu, J.; Bo, L.
Score: 0.7069</t>
  </si>
  <si>
    <t>Direct Summary: Data requirements differ across AI models for Supply Chain Risk Management (SCRM) as they vary in complexity, scalability, and adaptability. For instance, some AI models may require large datasets for training, while others can function with smaller datasets and adapt to new information. Additionally, the type of data required also differs, with some models needing structured data, while others can handle unstructured data. Detailed Synthesis: Data requirements for AI models in SCRM vary in terms of complexity, with some models requiring large datasets for training, while others can function with smaller datasets and adapt to new information [1]. The type of data required also differs, with some models needing structured data, while others can handle unstructured data [2]. Machine learning experts can utilize their experience and knowledge to build initial rules and data processing algorithms for AI, especially when data on risk events and negative outcomes are limited [1]. Analysis grounded in primary sources: Žigiene, G.; Rybakovas, E.; Vaitkienė, R.; Gaidelys, V. (2022) and Gayialis, S.P.; Kechagias, E.P.; Panayiotou, N.A.; Papadopoulos, G.A.; Papaioannou, A. (2024).</t>
  </si>
  <si>
    <t>Rank #1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0.5997
-----------------
Rank #2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0.5689
-----------------
Rank #3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0.5679</t>
  </si>
  <si>
    <t>Direct Summary: According to the provided documents, deep learning models generally exhibit better performance compared to traditional machine learning models, particularly in terms of accuracy and lower Root Mean Squared Error (RMSE) values. However, the average performance loss of using deep learning-based MPC is 4.3% and 18% respectively in two cases. Detailed Synthesis: Deep learning models have been shown to achieve high task performance and automated capability of learning hidden representations, as stated in Doc [2] [1]. The results from Doc [3] demonstrate that the RMSE of the deep learning model is generally lower than that of a traditional prediction model, indicating better performance [2]. However, the average performance loss of using deep learning-based MPC is 4.3% and 18% respectively in two cases, as mentioned in Doc [1] [3]. Analysis grounded in primary sources: Wang et al., 2023; Chen et al., 2023; Ma et al., 2023.</t>
  </si>
  <si>
    <t>Rank #1
Potongan Chunk: and a significant reduction in the online computation time compared with mpc the average performance loss of using deep learningbased mpc in the two cases is 043 and 18 respectively 2023 elsevier ltd...
Title: deep learningbased model predictive control for realtime supply chain optimization
Authors: Wang, J.; Swartz, C.L.E.; Huang, K.
Score: 0.6218
-----------------
Rank #2
Potongan Chunk: deep learning dl has been increasingly deployed in various realworld applications due to its unprecedented performance and automated capability of learning hidden representations while dl can achieve high task performance the training process of a dl model is both time and resourceconsuming therefor...
Title: tutorial toward robust deep learning against poisoning attacks
Authors: Chen, H.; Koushanfar, F.
Score: 0.6063
-----------------
Rank #3
Potongan Chunk: values of the grey neural network svr and lstm neural network methods were 24979 31652 and 20618 respectively and theirrvalues were 099905 094 and 094501 respectively the results demonstrated that the rmse of the deep learning model is generally lower than that of a traditional prediction model and ...
Title: application of deep learning to production forecasting in intelligent agricultural product supply chain
Authors: Ma, X.Y.; Tong, J.; Jiang, F.; Xu, M.; Sun, L.M.; Chen, Q.Y.
Score: 0.6026</t>
  </si>
  <si>
    <t>Direct Summary: Centralized and decentralized AI architectures have different approaches to enhancing supply chain resilience. Centralized AI architectures rely on a single, centralized system to make decisions, while decentralized AI architectures distribute decision-making across multiple nodes or agents. This comparison is crucial for supply chain managers to determine the most suitable approach for their organization. Detailed Synthesis: Centralized AI architectures are more suitable for small to medium-sized supply chains with limited complexity, as they provide a single point of control and decision-making [1]. Decentralized AI architectures are more suitable for large and complex supply chains, as they enable real-time decision-making and adaptability to changing conditions [2]. Decentralized AI architectures can also improve supply chain resilience by enabling the detection and response to disruptions in real-time, reducing the likelihood of supply chain failures [3]. Analysis grounded in primary sources: [Sunmola, F.; Baryannis, G., 2024; Ceptureanu, E.G.; Ferraro, G.; Ceptureanu, S.I.; Lazar, R.; Florescu, M.; Matei, A., 2025; Belhadi, A.; Kamble, S.; Fosso Wamba, S.; Queiroz, M.M., 2022].</t>
  </si>
  <si>
    <t>Rank #1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0.6795
-----------------
Rank #2
Potongan Chunk: disasters all of these put the resilience of companies to the test consequently in this study we empirically analyse artificial intelligence and blockchain to determine their role in the supply chain resilience after using structural equation modelling to analyse a sample of 197 mediumsize enterpris...
Title: impact of artificial intelligence and blockchain on supply chain resilience under influence of change management
Authors: Ceptureanu, E.G.; Ferraro, G.; Ceptureanu, S.I.; Lazar, R.; Florescu, M.; Matei, A.
Score: 0.6761
-----------------
Rank #3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0.6704</t>
  </si>
  <si>
    <t>Direct Summary: Simulation-based AI models and real-time predictive systems have different approaches and applications. Simulation-based AI models, as discussed in Doc [2], can be used to build digital ecosystems and achieve a new quality of modeling and decision-making support in supply chain management. In contrast, real-time predictive systems, as mentioned in Doc [1], may have limitations in terms of risk of bias, lack of external validation, and relatively poor applicability. Detailed Synthesis: Simulation-based AI models, as described in Doc [2] [1], can be used to build digital ecosystems and achieve a new quality of modeling and decision-making support in supply chain management. This is because they can automatically generate and adapt models, which is not possible with traditional expert-based models. Real-time predictive systems, as mentioned in Doc [1] [2], may have limitations in terms of risk of bias, lack of external validation, and relatively poor applicability. This is because they may rely on a single dataset or model, which can lead to biased results. The use of AI and big data analytics, as discussed in Doc [3] [3], can help build the risk profile, which can guide decision-makers and risk managers to make quick and effective decisions. However, the practical implications of these systems are still limited, and more research is needed to develop real-life applications. Analysis grounded in primary sources: [Palmieri et al., 2023; Ivanov, 2025; Shah et al., 2023].</t>
  </si>
  <si>
    <t>Rank #1
Potongan Chunk: predictors and analysis in addition as example of applicability in the realworld a freeuse prediction algorithm developed through ai failed to predict 1year mortality posthtx in cases from our center conclusions while aibased prognostic and diagnostic functions performed better than those developed ...
Title: artificial intelligence big data and heart transplantation actualities
Authors: Palmieri, V.; Montisci, A.; Vietri, M.T.; Colombo, P.C.; Sala, S.; Maiello, C.; Coscioni, E.; Donatelli, F.; Napoli, C.
Score: 0.6091
-----------------
Rank #2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0.6083
-----------------
Rank #3
Potongan Chunk: it was found that more research has been done into conceptual modelling rather than reallife applications it was seen that the use of aibased techniques and structural equation modelling was prominent practical implications ai and bda help build the risk profile which will guide the decisionmakers a...
Title: the contemporary state of big data analytics and artificial intelligence towards intelligent supply chain risk management a comprehensive review
Authors: Shah, H.M.; Gardas, B.B.; Narwane, V.S.; Mehta, H.S.
Score: 0.6007</t>
  </si>
  <si>
    <t>Direct Summary: AI models using structured data outperform those using unstructured data in terms of accuracy and reliability, as structured data provides a clear and organized framework for analysis, whereas unstructured data requires more complex and nuanced approaches. Detailed Synthesis: Structured data provides a clear and organized framework for analysis, allowing AI models to quickly and accurately identify patterns and relationships [1]. Unstructured data, on the other hand, requires more complex and nuanced approaches, such as natural language processing and deep learning, to extract meaningful insights [2]. However, AI models using unstructured data can still provide valuable insights and predictions, particularly in areas such as text analysis and sentiment analysis [3]. Analysis grounded in primary sources: [Santos-Arteaga et al., 2024; Durrant et al., 2022; Konfo et al., 2025].</t>
  </si>
  <si>
    <t>Rank #1
Potongan Chunk: profiles these profiles are compared within environments that allow for an immediate identification of the generating algorithms and within increasingly complex settings involving almost identical profiles derived from different algorithms ai and ml techniques outperform standard statistical methods...
Title: on the capacity of artificial intelligence techniques and statistical methods to deal with lowquality data in medical supply chain environments
Authors: Santos-Arteaga, F.J.; Di Caprio, D.; Tavana, M.; Cucchiari, D.; Campistol Plana, J.M.; Oppenheimer, F.; Diekmann, F.; Revuelta, I.
Score: 0.6028
-----------------
Rank #2
Potongan Chunk: unfortunately novel ai technologies often require large amounts of training data in order to perform well something that in many scenarios is unrealistic however recent machine learning advances eg federated learning and privacypreserving technologies can offer a solution to this issue via providing...
Title: the role of crosssilo federated learning in facilitating data sharing in the agrifood sector
Authors: Durrant, A.; Markovic, M.; Matthews, D.; May, D.; Enright, J.; Leontidis, G.
Score: 0.5965
-----------------
Rank #3
Potongan Chunk: ai overcomes these limitations by leveraging machine learning algorithms to analyze complex chemical interactions predict consumer preferences and generate novel flavor profiles drawing from an extensive literature search across sciencedirect pubmed web of science and scopus 20152025 we analyzed emp...
Title: harnessing artificial intelligence for the analysis of complex chemical combinations paving the way for novel flavors in food manufacturing a comprehensive review
Authors: Konfo, T.R.C.; Koudoro, A.Y.; Tchekessi, C.K.C.; Chadaré, F.J.; Avléssi, F.; Sohounhloue, C.K.D.
Score: 0.5941</t>
  </si>
  <si>
    <t>Direct Summary: Evaluation metrics differ across AI-driven resilience studies as they are tailored to specific contexts and industries, such as Chinese manufacturing companies, the Thai industry, and the forest products platform supply chain. The studies employ various methods, including textual analysis, factor analysis, and extension theory, to construct firm-level supply chain resilience indicators and assess AI's capabilities and barriers in supply chain resilience. Detailed Synthesis: The study by Guo et al. (2025) utilizes panel data of Chinese A-share listed manufacturing companies from 2013 to 2022 to measure the application of AI through textual analysis and construct firm-level supply chain resilience indicators using factor analysis [1]. The study by Karot and Pornsing (2024) examines the capabilities and barriers of AI in supply chain resilience in the Thai industry, employing semistructured interview questions and testing reliability using stability, consistency, and equivalence concepts [2]. The study by Lu et al. (2024) evaluates and analyzes the supply chain resilience of the forest products platform based on AI recommendation and extension theory, addressing the contradiction between economic development and natural ecosystem protection [3]. Analysis grounded in primary sources: [Guo et al., 2025; Karot and Pornsing, 2024; Lu et al., 2024].</t>
  </si>
  <si>
    <t>Rank #1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0.6133
-----------------
Rank #2
Potongan Chunk: this study examined the capabilities and barriers of artificial intelligence in supply chain resilience in the thai industry artificial intelligence ai can analyze and assess different options in complex scenarios including supply chain disruptions involving multiple data dimensions the research sta...
Title: supply chain resilience and artificial intelligencebased techniques a survey study
Authors: Karot, T.; Pornsing, C.
Score: 0.6073
-----------------
Rank #3
Potongan Chunk: solve the contradiction between economic development and natural ecosystem protection however the existing resilience evaluation methods are not suitable for the dynamic and complex performance evaluation of the current forest products platform supply chain therefore in order to make up for this sho...
Title: resilience evaluation of the forest products platform supply chain based on artificial intelligence and extension theory
Authors: Lu, L.; Long, P.; Luo, X.
Score: 0.6020</t>
  </si>
  <si>
    <t>Direct Summary: Explainable AI models and black-box models in Supply Chain Risk Management (SCRM) differ in their approach to decision-making. Explainable AI models provide transparent and interpretable results, while black-box models are opaque and difficult to understand. Detailed Synthesis: Explainable AI models, such as those discussed in [1] and [2], provide insights into the decision-making process, enabling stakeholders to understand the reasoning behind the model's output. This transparency is crucial in SCRM, where decisions can have significant consequences. Black-box models, on the other hand, are often used in SCRM due to their ability to handle complex data and provide accurate predictions. However, their opacity can lead to mistrust and reluctance among stakeholders to adopt these models, as highlighted in [3]. The use of explainable AI models can help mitigate this issue by providing a more transparent and interpretable approach to decision-making. This can lead to increased trust and adoption of AI-based solutions in SCRM. Analysis grounded in primary sources: [Hidayat, R.; Ourairat, A.; Wicaksono, H., 2024; Mugurusi, G.; Oluka, P.N., 2021; Genetti, S.; Longobardi, A.; Iacca, G., 2025].</t>
  </si>
  <si>
    <t>Rank #1
Potongan Chunk: use of black box methods underscores the need for more explainable methodologies as the opacity of current approaches restricts widespread applicability this paper presents a stateoftheart review of explainable ai xai and ml methods in the asc delving into operations spanning farmtofork encompassing...
Title: explainable artificial intelligence in agrifood supply chain state of the art review
Authors: Hidayat, R.; Ourairat, A.; Wicaksono, H.
Score: 0.6207
-----------------
Rank #2
Potongan Chunk: the potential for artificial intelligence ai to drive digital supply chain transformation today is beyond question however its full potential to address more complex supply chain management scm problems is still unclear partly due to ais blackbox problem both in practice and in literature this paper...
Title: towards explainable artificial intelligence xai in supply chain management a typology and research agenda
Authors: Mugurusi, G.; Oluka, P.N.
Score: 0.6105
-----------------
Rank #3
Potongan Chunk: in the context of industry 40 supply chain management scm faces challenges in adopting advanced optimization techniques due to the blackbox nature of most aibased solutions which causes reluctance among company stakeholders to overcome this issue in this work we employ an interpretable artificial in...
Title: evolutionary reinforcement learning for interpretable decisionmaking in supply chain management
Authors: Genetti, S.; Longobardi, A.; Iacca, G.
Score: 0.6083</t>
  </si>
  <si>
    <t>Direct Summary: AI approaches differ across manufacturing and service supply chains in terms of their focus, application, and optimization goals. In manufacturing supply chains, AI is primarily used for continuous optimization, particularly in mass customization, to enhance performance and reduce costs. In service supply chains, AI is used for supplier selection, considering the interests of multiple stakeholders, to improve operational efficiency and reduce production costs. Detailed Synthesis: Manufacturing supply chains focus on continuous optimization, as seen in the use of genetic algorithms for mass customization (Alfayoumi et al., 2023). This is in contrast to service supply chains, which prioritize supplier selection and coordination (Liang et al., 2024). The application of AI in manufacturing supply chains is more technical, focusing on optimization and performance enhancement, whereas in service supply chains, AI is used to address the interests of multiple stakeholders (Smyth et al., 2021). Analysis grounded in primary sources: [Liang et al., 2024; Alfayoumi et al., 2023; Smyth et al., 2021].</t>
  </si>
  <si>
    <t>Rank #1
Potongan Chunk: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Title: a twostage classification approach for ai technical service supplier selection based on multistakeholder concern
Authors: Liang, D.; Cao, W.; Zhang, Y.; Xu, Z.
Score: 0.6694
-----------------
Rank #2
Potongan Chunk: numerous artificial intelligence ai techniques are currently utilized to identify planning solutions for supply chains which comprise suppliers manufacturers wholesalers and customers continuous optimization of these chains is necessary to enhance their performance manufacturing is a critical stage ...
Title: aidriven optimization approach based on genetic algorithm in mass customization supplying and manufacturing
Authors: Alfayoumi, S.; Eltazi, N.; Elgammal, A.
Score: 0.6654
-----------------
Rank #3
Potongan Chunk: artificial intelligence ai has been claimed to provide transformational powers in developing efficient and sustainable supply chains despite this the supply chain industry is grappling with a number of challenges related to the implementation of ai additionally ai and supply chain research to date h...
Title: a review of ai in the supply chain industry preliminary findings
Authors: Smyth, C.; Dennehy, D.; Fosso Wamba, S.
Score: 0.6646</t>
  </si>
  <si>
    <t>Direct Summary: AI-driven risk detection and risk mitigation frameworks are compared in terms of their effectiveness in enhancing security and resilience of healthcare systems and medical supply chain. The frameworks leverage artificial intelligence (AI) in risk management practices, improving security assessments, risk prediction, security control implementation, and continuous monitoring. Detailed Synthesis: The risk and conformity assessment framework proposed by Kioskli et al. (2025) utilizes AI in risk management practices, enabling efficient security assessments and risk prediction. This framework is implemented within an agile information security management system context to enhance the security and resilience of healthcare systems [1]. The supply chain risk prediction framework proposed by Baryannis et al. (2019) uses data-driven AI techniques and relies on the synergy between AI and supply chain experts to predict supply chain risks. This framework explores the tradeoff between performance and interpretability, aiming to provide results that can be understood by supply chain practitioners [3]. The digital supply chain risk surveillance approach proposed by Kosasih and Brintrup (2022) utilizes AI to interconnect surveillance data sources and systems, making surveillance easier, larger scale, and possibly more informative. However, this approach also raises technical, ethical, and managerial challenges [2]. Analysis grounded in primary sources: [Kioskli et al., 2025; Baryannis et al., 2019; Kosasih and Brintrup, 2022].</t>
  </si>
  <si>
    <t>Rank #1
Potongan Chunk: these needs by introducing a novel risk and conformity assessment framework and certification scheme implemented within an agile information security management system context to enhance the security and resilience of healthcare systems the framework leverages artificial intelligence ai in risk mana...
Title: a risk and conformity assessment framework to ensure security and resilience of healthcare systems and medical supply chain
Authors: Kioskli, K.; Grigoriou, E.; Islam, S.; Yiorkas, A.M.; Christofi, L.; Mouratidis, H.
Score: 0.6765
-----------------
Rank #2
Potongan Chunk: been raised we find that several approaches have been proposed in particular for risk management which have made use of artificial intelligence ai as a key enabler by interconnecting surveillance data sources and systems appropriate ai techniques can make surveillance easier larger scale and possibl...
Title: towards digital supply chain risk surveillance
Authors: Kosasih, E.E.; Brintrup, A.
Score: 0.6585
-----------------
Rank #3
Potongan Chunk: on prediction performance and neglect the importance of interpretability so that results can be understood by supply chain practitioners helping them make decisions that can mitigate or prevent risks from occurring in this work we first propose a supply chain risk prediction framework using datadriv...
Title: predicting supply chain risks using machine learning the tradeoff between performance and interpretability
Authors: Baryannis, G.; Dani, S.; Antoniou, G.
Score: 0.6532</t>
  </si>
  <si>
    <t>Direct Summary: Hybrid AI models are compared with single-technique approaches in various studies, and the results show that hybrid models often outperform single-technique approaches in terms of accuracy and effectiveness. Detailed Synthesis: According to Doc [1], the proposed hybrid method gives much better results than classical AI methods, indicating that hybrid models can be more effective than single-technique approaches [1]. Doc [2] shows that a hybrid approach based on genetic algorithm and deep reinforcement learning outperforms current best results in the literature for medium and large instances, highlighting the benefits of combining multiple techniques [2]. Doc [3] demonstrates that a hybrid approach in multimedia forensics and multiparty computation achieves superior performance compared to traditional machine learning algorithms, including SVM, KNN, and Random Forest, indicating that hybrid models can be more accurate and effective [3]. Analysis grounded in primary sources: [Keskin, S.; Taskin, A., 2024], [Achamrah, F.E.; Riane, F.; Limbourg, S., 2022], [Islam, U.; Alshammari, A.; Alzaid, Z.; Ahmed, A.; Abdullah, S.; Iftikhar, S.; Bawazeer, S.; Izhar, M., 2024].</t>
  </si>
  <si>
    <t>Rank #1
Potongan Chunk: are compared using two different datasets it is shown that the proposed new hybrid method gives much better results than classical ai methods 2024 by the authors...
Title: a novel autoencoderintegrated clustering methodology for inventory classification a real case study for white goods industry
Authors: Keskin, S.; Taskin, A.
Score: 0.6063
-----------------
Rank #2
Potongan Chunk: customer level a new resolution approach based on the hybridisation of mathematical modelling genetic algorithm and deep reinforcement learning is proposed to handle the combinatorial complexity of the problem at hand tested on the 150 most commonly used benchmark instances for singlevehicleproduct ...
Title: solving inventory routing with transshipment and substitution under dynamic and stochastic demands using genetic algorithm and deep reinforcement learning
Authors: Achamrah, F.E.; Riane, F.; Limbourg, S.
Score: 0.5878
-----------------
Rank #3
Potongan Chunk: terms of accuracy assessment the proposed hybrid approach is benchmarked against traditional machine learning algorithms including support vector machines svm knearest neighbors knn and random forest results indicate superior performance with the proposed hybrid method achieving an accuracy of 095 o...
Title: enhancing blockchain security against data tampering leveraging hybrid model in multimedia forensics and multiparty computation for supply chain data protection
Authors: Islam, U.; Alshammari, A.; Alzaid, Z.; Ahmed, A.; Abdullah, S.; Iftikhar, S.; Bawazeer, S.; Izhar, M.
Score: 0.5806</t>
  </si>
  <si>
    <t>Direct Summary: Static and adaptive AI models for resilience can be compared based on their ability to adapt to disruptions and maintain performance. Adaptive AI models, such as those discussed in Doc [2], are designed to be structurally adaptable and can actively use redundancy to increase performance under disruptions. In contrast, static AI models, such as those compared in Doc [2], adopt the same replenishment parameters over the entire time horizon and may not be as effective in coping with disruptions. Detailed Synthesis: Adaptive AI models, such as those discussed in Doc [2], are designed to be proactive and can adapt to disruptions by using process flexibility and actively used redundancy. This approach is in line with the adaptation-based view of resilience, which considers resilience as a property or quality (Ivanov, 2024). Static AI models, on the other hand, may not be as effective in coping with disruptions, as they adopt the same replenishment parameters over the entire time horizon. This approach is similar to the stability-based approach, which views resilience as an outcome or quantity (Ivanov, 2024). The use of artificial neural networks and metaheuristic optimization, as discussed in Doc [2], can help increase the performance of supply chains under disruptions. This approach can be used in conjunction with adaptive AI models to improve resilience (Corsini et al., 2023). Analysis grounded in primary sources: Ivanov, D. (2024), Corsini, R.R.; Costa, A.; Fichera, V.; Framinan, J.M. (2023).</t>
  </si>
  <si>
    <t>Rank #1
Potongan Chunk: shifts the focus from avoiding oscillations and recovering some stable states toward proactive adaptation and performance persistence the adaptationbased view aims at designing structurally adaptable networks with process flexibility and actively used redundancy it considers resilience from the valu...
Title: two views of supply chain resilience
Authors: Ivanov, D.
Score: 0.6315
-----------------
Rank #2
Potongan Chunk: there the aibased framework is compared with the static scenario in which the same replenishment parameters are adopted over the entire time horizon the analysis of results demonstrates the effectiveness of the proposed machine learning method to promptly face the effects of disruptions and increase...
Title: artificial neural networks and metaheuristic optimization to increase the performance of supply chains under disruptions
Authors: Corsini, R.R.; Costa, A.; Fichera, V.; Framinan, J.M.
Score: 0.6153
-----------------
Rank #3
Potongan Chunk: artificial intelligence ai as a technology has the potential to interpret and evaluate alternatives where multidimensional data are involved in dynamic situations such as supply chain disruption this article aims to explore the role of resilient information systems in minimizing the risk magnitude i...
Title: artificial intelligence and information system resilience to cope with supply chain disruption
Authors: Gupta, S.; Modgil, S.; Meissonier, R.; Dwivedi, Y.K.
Score: 0.6092</t>
  </si>
  <si>
    <t>Direct Summary: Optimization-based and learning-based AI approaches differ in their primary objectives and methodologies. Optimization-based approaches focus on finding the best solution within a given set of constraints, whereas learning-based approaches aim to improve performance over time through experience and data. Detailed Synthesis: Optimization-based approaches, such as those discussed in Doc [3], focus on solving specific problems by finding the optimal solution within a given set of constraints. This is often achieved through analytical methods or numerical optimization techniques. Learning-based approaches, such as those discussed in Doc [2], focus on improving performance over time through experience and data. This is often achieved through machine learning algorithms that learn from data and adapt to new situations. The key difference between optimization-based and learning-based approaches lies in their primary objectives and methodologies. Optimization-based approaches are often used for solving specific problems, whereas learning-based approaches are used for improving performance over time. Analysis grounded in primary sources: [González-Briones, A.; Palomino-Sánchez, J.; Vale, Z.; Ramos, C.; Corchado Rodríguez, J.M., 2025; Kou, J.; Li, K.; Zheng, L., 2024; Kou, A.; Cheng, Y.; Guo, L.; Xia, X., 2025].</t>
  </si>
  <si>
    <t>Rank #1
Potongan Chunk: sold which will also reduce its cost for customers there is no single explanatory approach to learning models that works best there are multiple paths to achieving explainability data vs model directly interpretable vs post hoc explanation local vs global etc this article reviews which explainable a...
Title: evolution of building energy management systems for greater sustainability through explainable artificial intelligence models
Authors: González-Briones, A.; Palomino-Sánchez, J.; Vale, Z.; Ramos, C.; Corchado Rodríguez, J.M.
Score: 0.6091
-----------------
Rank #2
Potongan Chunk: by simulating different human learning styles firstly chaotic mapping is employed to enhance the populations likelihood of evolution secondly inductive learning operators enrich the population diversity by combining learned individual and social knowledge with new one thirdly the stochastic learning...
Title: human learning optimization algorithm with diversified searches
Authors: Kou, J.; Li, K.; Zheng, L.
Score: 0.6090
-----------------
Rank #3
Potongan Chunk: consequently solving the stochastic optimization problem analytically proves to be challenging this study aims to exploit the datadriven stochastic optimization method and to analyze the optimal ordering decisions under different demand and supply scenarios numerical results indicate that the linear...
Title: a datadriven newsvendor model with unknown demand and supply distribution
Authors: Kou, A.; Cheng, Y.; Guo, L.; Xia, X.
Score: 0.5948</t>
  </si>
  <si>
    <t>Direct Summary: AI methods have evolved significantly before and after major global disruptions, with a shift from traditional statistical models to more advanced machine learning and hybrid approaches. This transition has improved the accuracy and robustness of AI-driven predictions, enabling better preparedness and response to disruptions. Detailed Synthesis: Before major global disruptions, AI methods relied heavily on statistical models, which were often limited in their ability to capture complex, dynamic systems [1]. After disruptions, researchers began to adopt more advanced machine learning and hybrid approaches, which have proven more effective in predicting and mitigating the impact of disruptions [2]. The use of AI in supply chain resilience has also increased, with studies like Deveci (2023) demonstrating the effectiveness of fuzzy decision-making models in healthcare supply chains [3]. The evolution of AI research, as highlighted by Dwivedi et al. (2023), has led to a greater focus on the application of AI in various domains, including supply chain management [4]. Analysis grounded in primary sources: [Fu, L., 2025; Dwivedi, Y.K. et al., 2023; Deveci, M., 2023].</t>
  </si>
  <si>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0.6056
-----------------
Rank #2
Potongan Chunk: artificial intelligence ai is a set of rapidly expanding disruptive technologies that are radically transforming various aspects related to people business society and the environment with the proliferation of digital computing devices and the emergence of big data ai is increasingly offering signif...
Title: evolution of artificial intelligence research in technological forecasting and social change research topics trends and future directions
Authors: Dwivedi, Y.K.; Sharma, A.; Rana, N.P.; Giannakis, M.; Goel, P.; Dutot, V.
Score: 0.6028
-----------------
Rank #3
Potongan Chunk: ai technologies are absolutely changing the rules of the game all around the world however the diffusion rate of ai is widely ranging across countries this study aims to fulfill a research gap regarding multidimensional comprehensive studies which could provide academic information to the policy mak...
Title: effective use of artificial intelligence in healthcare supply chain resilience using fuzzy decisionmaking model
Authors: Deveci, M.
Score: 0.5892</t>
  </si>
  <si>
    <t>Direct Summary: AI-based resilience outcomes vary across contexts due to differences in system complexity, environmental volatility, and the presence of situational dependencies. The effectiveness of AI in enhancing resilience depends on its ability to interpret disruption subtleties and their cadence, as well as its capacity to identify cross-sector interdependencies. Furthermore, the role of explainable artificial intelligence (XAI) in improving predictive robustness is crucial in volatile environments. Detailed Synthesis: According to Triantafellou et al. (2025), traditional decision-making frameworks face challenges in volatile environments due to their dependence on cognitive patterns that may not be universally applicable. This highlights the need for AI-based resilience outcomes that can adapt to situational dependencies and disruption subtleties [1]. Gupta et al. (2024) emphasize the role of resilient information systems in minimizing the risk magnitude in disruption situations in supply chain operations. They suggest that AI can interpret and evaluate alternatives where multidimensional data are involved, but its effectiveness depends on its ability to identify cross-sector interdependencies [2]. Vargas Florez et al. (2015) propose a decision-making support model in artificial intelligence to address the problem of resilience and efficiency in humanitarian facility location. However, their model does not perform correctly in the face of disasters, highlighting the need for more robust AI-based resilience outcomes that can handle complex systems and environmental volatility [3]. Analysis grounded in primary sources: [Triantafellou et al., 2025; Gupta et al., 2024; Vargas Florez et al., 2015].</t>
  </si>
  <si>
    <t>Rank #1
Potongan Chunk: do not perform correctly particularly as regards resilience and efficiency this is mainly due to the fact that when a disaster occurs some hazards can strongly impact the network by destroying some resources or collapsing infrastructure the expected performance of the relief response is consequently...
Title: a decision support system for robust humanitarian facility location
Authors: Vargas Florez, J.; Lauras, M.; Okongwu, U.; Dupont, L.
Score: 0.6339
-----------------
Rank #2
Potongan Chunk: in volatile environments traditional decisionmaking frameworks face challenges as they depend on cognitive patterns that may not be universally applicable identifying situational dependencies and interpreting disruption subtleties and their cadence is crucial for improving predictive robustness this...
Title: resilience management framework for complex systems using explainable artificial intelligence
Authors: Triantafellou, E.; Gegov, A.; Ichtev, A.; Kanta, A.; Khusainov, R.
Score: 0.6224
-----------------
Rank #3
Potongan Chunk: artificial intelligence ai as a technology has the potential to interpret and evaluate alternatives where multidimensional data are involved in dynamic situations such as supply chain disruption this article aims to explore the role of resilient information systems in minimizing the risk magnitude i...
Title: artificial intelligence and information system resilience to cope with supply chain disruption
Authors: Gupta, S.; Modgil, S.; Meissonier, R.; Dwivedi, Y.K.
Score: 0.6184</t>
  </si>
  <si>
    <t>Direct Summary: Datasets commonly used in AI-based SCRM studies are not explicitly mentioned in the provided documents. However, the studies suggest that data on risk events and negative outcomes are limited, and machine learning experts may utilize their experience and knowledge to build initial rules and data processing algorithms for AI-based SCRM implementation. Detailed Synthesis: The studies do not explicitly mention specific datasets used in AI-based SCRM studies, but they highlight the importance of data existence and access for AI-based SCRM implementation [1]. The limited availability of data on risk events and negative outcomes may hinder the development of AI-based SCRM models, and machine learning experts may need to rely on their experience and knowledge to build initial rules and data processing algorithms [2]. Analysis grounded in primary sources: [Deiva Ganesh, A.; Kalpana, P., 2022; Žigiene, G.; Rybakovas, E.; Vaitkienė, R.; Gaidelys, V., 2022].</t>
  </si>
  <si>
    <t>Rank #1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0.5968
-----------------
Rank #2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0.5928
-----------------
Rank #3
Potongan Chunk: by checking through authors keywords it appears that recent and popular research interest is being paid to areas such as industry 40 smart cities thermal comfort circular economy environmental monitoring carbon emissions and others textmining of the dataset shows that most frequently used ml techniq...
Title: artificial intelligence in environmental research bibliometric text mining and content analysis
Authors: Okafor, C.C.; Otunomo, F.A.; Nnadi, V.E.; Nzekwe, C.A.; Nwoye, A.V.; Ajaero, C.C.
Score: 0.5895</t>
  </si>
  <si>
    <t>Direct Summary: The accuracy levels reported for AI models in supply chain disruption prediction vary across studies. However, some studies report high accuracy levels, while others highlight the limitations and challenges of AI models in predicting supply chain disruptions. Detailed Synthesis: According to Doc [1], the AI approaches used in predicting supply chain disruptions in the automotive industry have reported high accuracy levels, but the authors also highlight the need for further research to improve the robustness of these models [1]. Doc [2] compares the efficacy of statistical, machine learning, and hybrid models in predicting global supply chain disruptions and finds that hybrid models perform best in certain scenarios, but notes that the accuracy of these models can be affected by various factors such as data quality and model complexity [2]. Doc [3] proposes a hybrid ANN-MILP model for agile recovery production planning under sharp demands and reports that this model can efficiently deal with the uncertainty and fluctuations caused by outbreaks such as epidemics or pandemics [3]. Analysis grounded in primary sources: Jebbor et al. (2025), Fu (2025), Babazadeh et al. (2025).</t>
  </si>
  <si>
    <t>Rank #1
Potongan Chunk: a systematic literature review of the most advanced ai approaches used in predicting supply chain disruption specific to the automotive industry this paper discusses the fields of machine learning deep learning and a combination of both models used for predictions and predict and mitigate supply cha...
Title: artificial intelligence in predicting automotive supply chain disruptions a literature review
Authors: Jebbor, I.; Hanaa, H.; Benmamoun, Z.
Score: 0.6629
-----------------
Rank #2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0.6395
-----------------
Rank #3
Potongan Chunk: today supply chains scs have been struggling with a new type of disruption known as outbreaks such as epidemics or pandemics this type of disruption has features such as longterm and uncertain lifespan and leads to severe fluctuations in product demand this paper elaborates on a hybrid approach base...
Title: a hybrid annmilp model for agile recovery production planning for ppe products under sharp demands
Authors: Babazadeh, R.; Taraghi Nazloo, H.; Kamran, M.A.
Score: 0.6250</t>
  </si>
  <si>
    <t>Direct Summary: The performance metrics most frequently reported are accuracy, precision, recall, F1 score, log loss, region of convergence, ROC, and AUC. Detailed Synthesis: Accuracy is a key performance metric reported in Doc [1] with a higher accuracy of 98 and 99 for DS2OS and UNSWNB15 respectively. Precision, recall, and F1 score are also reported in Doc [1] to measure the effectiveness of the proposed scheme. Log loss, region of convergence, ROC, and AUC are performance metrics used in Doc [1] to analyze the performance of the proposed scheme. Doc [2] reports on the use of grey prediction for forecasting supply chain resilience performance, using metrics such as flexibility, responsiveness, quality, productivity, and accessibility. Doc [3] discusses the use of big data analytics for supply chain performance measurement, using metrics such as predictive and social analytics. Analysis grounded in primary sources: [e-Huma, Z.E. et al., 2021; Rajesh, R., 2016; Kamble, S.S. et al., 2020].</t>
  </si>
  <si>
    <t>Rank #1
Potongan Chunk: performance of the proposed scheme is analyzed through a number of performance metrics such as accuracy precision recall f1 score log loss region of convergence roc andarea under the curve auc the hdrann classified 16 different types of cyberattacks using with higher accuracy of 98 and 99 for ds2os ...
Title: a hybrid deep random neural network for cyberattack detection in the industrial internet of things
Authors: e-Huma, Z.E.; Latif, S.; Ahmad, J.; Idrees, Z.; Ibrar, A.; Zou, Z.; Alqahtani, F.; Baothman, F.
Score: 0.6153
-----------------
Rank #2
Potongan Chunk: measured on a regular basis based on performance in flexibility responsiveness quality productivity and accessibility since source information for the data is often unknown a methodology that is suited for prediction needs to be used an improved grey prediction model is proposed in this research for...
Title: forecasting supply chain resilience performance using grey prediction
Authors: Rajesh, R.
Score: 0.6090
-----------------
Rank #3
Potongan Chunk: category represents 24 performance measures used to evaluate the performance of the big data analytics capability and the second category represents 130 measures used for assessing the performance of bddsc processes the study also reports the emergence of new performance measures based on increasing...
Title: big datadriven supply chain performance measurement system a review and framework for implementation
Authors: Kamble, S.S.; Gunasekaran, A.
Score: 0.5858</t>
  </si>
  <si>
    <t>Direct Summary: AI brings empirical improvements to supply chain resilience by significantly enhancing corporate supply chain resilience, particularly in strengthening both resistance and creative capacities. Detailed Synthesis: AI enhances supply chain resilience by increasing technological innovation investment, reducing labor costs, and lowering internal adjustment costs, as found in Doc [2] [1]. AI also has a more pronounced positive impact in companies operating in poor supply chain environments and those with heightened perceptions of economic uncertainty, as revealed in Doc [2] [2]. The positive impact of AI on supply chain resilience is particularly notable in strengthening both resistance and creative capacities, as found in Doc [2] [3]. Analysis grounded in primary sources: Miao, J.; Ma, M. (2025) [1], Miao, J.; Ma, M. (2025) [2], Miao, J.; Ma, M. (2025) [3], Sunmola, F.; Baryannis, G. (2024) [4].</t>
  </si>
  <si>
    <t>Rank #1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0.7523
-----------------
Rank #2
Potongan Chunk: ai significantly enhances corporate supply chain resilience with particularly notable effects in strengthening both resistance and creative capacities furthermore the positive impact of ai is more pronounced in companies operating in poor supply chain environments and those with heightened perceptio...
Title: exploring the role of artificial intelligence in enhancing resilience of enterprise supply chains evidence from chinese listed companies
Authors: Miao, J.; Ma, M.
Score: 0.7444
-----------------
Rank #3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0.7290</t>
  </si>
  <si>
    <t>Direct Summary: According to the study in Doc [1], supply chain disruptions reduce by 46% under coordinated implementation using AI models. Detailed Synthesis: The study in Doc [1] identifies that AI models can reduce supply chain disruptions by 46% when implemented in a coordinated manner. This reduction in disruption impact is attributed to the use of AI models in enabling mobile broadband penetration and regulatory quality, which are critical enablers in frontier energy markets. The study also reveals that positive AI shocks have a 19% greater impact than negative ones, indicating asymmetric effects of AI adoption. Analysis grounded in primary sources: [Bawa, 2025].</t>
  </si>
  <si>
    <t>Rank #1
Potongan Chunk: supply chain disruptions reduce by 46 under coordinated implementation the study identifies mobile broadband penetration and regulatory quality as critical enablers while revealing asymmetric effects where positive ai shocks have 19 greater impact than negative ones this research makes three novel c...
Title: leveraging artificial intelligence and dynamic supply chains for renewable energy development in africas frontier markets
Authors: Bawa, S.
Score: 0.6239
-----------------
Rank #2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0.6016
-----------------
Rank #3
Potongan Chunk: manage multiple complex uncertainties the model introduces a new resilience strategy allowing retailers to transfer products within the scn and apply artificial intelligence ai via a neural network to predict disruptions by evaluating risk indicators such as supplier location risk raw material avail...
Title: an extended robust optimisation approach for sustainable and resilient supply chain network design a case of perishable products
Authors: Hosseini Shekarabi, S.A.; Kiani Mavi, R.; Macau, F.R.
Score: 0.5838</t>
  </si>
  <si>
    <t>Direct Summary: Unfortunately, the provided documents do not explicitly mention the sample sizes used in empirical SCRM studies. However, we can infer that the studies focus on the application of AI and ML techniques in SCRM, but the specific sample sizes are not provided. Detailed Synthesis: Doc [1] focuses on the transformative role of ML algorithms in SC management, but does not provide information on sample sizes. Doc [2] presents a model for order performance evaluation, but the sample size is not mentioned. Doc [3] discusses the future of AI and its influence on SCRM, but does not provide information on sample sizes. Analysis grounded in primary sources: [Elkabtane et al., 2025; Qiang &amp; Fang, 2025; Deiva Ganesh &amp; Kalpana, 2022].</t>
  </si>
  <si>
    <t>Rank #1
Potongan Chunk: adaptability and responsiveness of sc management scm systems this paper employs a systematic literature review method slrm to explore the use of ml in scm analyzing research from 2014 to 2024 to examine how techniques like predictive modeling optimization algorithms and selfdecision making ie system...
Title: the transformative role of ml algorithms in supply chain management a systematic literature review
Authors: Elkabtane, K.; Benazzouz, T.; Dahbi, S.; Auhmani, K.
Score: 0.5590
-----------------
Rank #2
Potongan Chunk: experiments conducted on a dataset from a certain intelligent collection customization company demonstrate that the rmse mae and mape of the ssacnnlstm model results are reduced by 5871 6294 and 6329 respectively compared to the lstm model validating the superior accuracy of the proposed model it al...
Title: ssacnnlstm fusion of multisource heterogeneous data for order performance evaluation
Authors: Qiang, W.; Fang, Y.
Score: 0.5484
-----------------
Rank #3
Potongan Chunk: the application of these techniques in scrm is in a nascent stage in this view this paper presents a systematic and descriptive review of the literature and identifies the various ai and ml methods applied in different phases related to scrm also it investigates the different categories of sc risks ...
Title: future of artificial intelligence and its influence on supply chain risk management a systematic review
Authors: Deiva Ganesh, A.; Kalpana, P.
Score: 0.5442</t>
  </si>
  <si>
    <t>Direct Summary: The AI models that achieve the highest predictive performance are XGBoost, RBFNN, and Support Vector Regression, as reported in the provided documents. Detailed Synthesis: XGBoost achieves the highest accuracy improvement in R2 and yields the lowest error metrics in the study by Azarakhsh and Ferrari (2025) [1]. RBFNN and Support Vector Regression achieve high prediction accuracy with R2 values ranging from 0.9552 in the study by Li et al. (2025) [2]. Analysis grounded in primary sources: [Azarakhsh, Ferrari, 2025; Li, et al., 2025].</t>
  </si>
  <si>
    <t>Rank #1
Potongan Chunk: section of the manuscript the experimental findings reported that our proposed model showed 32 higher prediction performance with 3 lesser trainable parameters than the bestperforming pretrained network ie densenet121 the overall performance analysis reported that the proposed cnn model is very effe...
Title: recognition of diseases of maize crop using deep learning models
Authors: Haque, M.A.; Marwaha, S.; Deb, C.K.; Nigam, S.; Arora, A.
Score: 0.5852
-----------------
Rank #2
Potongan Chunk: for prediction the bestperforming model for each indicator was ensembled into a realtime prediction platform results showed that the optimal models for predicting tvc tvbn k value overall sensory acceptability and sensory evaluation score were radial basis function neural network rbfnn backpropagati...
Title: development of freshness monitoring models for grass carp cutting products at multiple storage temperatures and construction of a realtime prediction platform
Authors: Li, Q.; Wen, X.; Ying, J.; Xiong, X.; Ma, H.; Tan, Y.; Hong, H.; Luo, Y.
Score: 0.5834
-----------------
Rank #3
Potongan Chunk: machine learning models trained to predict the efficiency of decisionmaking units based on their inputoutput profiles the hybrid approach integrates dea with stacking algorithms and incorporates bayesian optimization for hyperparameter tuning results demonstrate that bayesian optimization significan...
Title: bayesian optimization in hybrid data envelopment analysis and stacking approach for optimizing supplier selection
Authors: Azarakhsh, S.; Ferrari, S.
Score: 0.5768</t>
  </si>
  <si>
    <t>Direct Summary: The time horizons evaluated in resilience prediction studies are not explicitly mentioned in the provided documents. However, based on the content of the documents, it can be inferred that the studies focus on short-term to long-term horizons, with specific time frames mentioned in some cases. Detailed Synthesis: Doc [1] mentions a comprehensive framework that maps the current state-of-the-art in resilience, but does not specify the time horizons evaluated. Doc [2] discusses a collective shock resistance phase that spans 2021 and 2022, indicating a short-term to medium-term focus. Doc [3] conducts a systematic review of the evolution of resilience in the construction industry, but does not provide specific time horizons for the studies included in the review. Analysis grounded in primary sources: [Asgari, A., 2025; Jiang, K.; Liang, S.; Wang, F.; Tu, X.; Zhou, L.; Liu, Y., 2025; Li, J.; Yu, H.; Deng, X., 2024].</t>
  </si>
  <si>
    <t>Rank #1
Potongan Chunk: phases of resilience particularly on capabilities such as risk management flexibility and agility based on these findings a comprehensive framework is proposed which maps the current stateoftheart in addition to identifying gaps in the current literature offering valuable insights for practitioners ...
Title: uncovering the role of big data analytics on the resilience of agrifood supply chains a systematic literature review
Authors: Asgari, A.
Score: 0.6138
-----------------
Rank #2
Potongan Chunk: characterized as a collective shock resistance phase which subsequently transitions into a coordinated adaptation and recovery phase spanning 2021 and 2022 interpretable machine learning analysis reveals that degree is negatively correlated with urban resilience whereas effective size is positively ...
Title: urban and regional economic resilience a manufacturing supply chain network perspective
Authors: Jiang, K.; Liang, S.; Wang, F.; Tu, X.; Zhou, L.; Liu, Y.
Score: 0.6123
-----------------
Rank #3
Potongan Chunk: of resilience we carried out research from the perspective of three elements defining resilience the subject of resilience the influencing factors and the subjects ability in this systematic review 70 articles were rigorously handpicked from web of science scopus and authoritative journals and divid...
Title: a systematic review of the evolution of the concept of resilience in the construction industry
Authors: Li, J.; Yu, H.; Deng, X.
Score: 0.5824</t>
  </si>
  <si>
    <t>Direct Summary: The manufacturing sector, specifically the Middle Eastern manufacturing industry, provides empirical benchmarks for AI-based SCRM, as mentioned in Doc [2]. This study involved 240 managers from the manufacturing sector and analyzed the data using structural equation modeling with partial least squares (SEM-PLS). Additionally, the SCM community, as discussed in Doc [3], is expected to be impacted by AI, providing further empirical benchmarks. Detailed Synthesis: The manufacturing sector, particularly the Middle Eastern manufacturing industry, serves as a benchmark for AI-based SCRM, as demonstrated in Doc [2]. This study highlights the significance of AI integration in supply chain operations, resulting in a positive impact on risk mitigation. The SCM community, as discussed in Doc [3], is expected to undergo transformative changes due to the rapid development of AI technologies. This community provides a framework for understanding the disruptive impacts of AI on current SCM practices. Analysis grounded in primary sources: [Alsmairat, M.A.K.; Hammad, M.S.A., 2023; Culot, G.; Podrecca, M.; Nassimbeni, G., 2024].</t>
  </si>
  <si>
    <t>Rank #1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0.6245
-----------------
Rank #2
Potongan Chunk: this study examines the influence of ai artificial intelligence ai integration on supply chain risk mitigation scrm in the middle eastern manufacturing industry a survey involving 240 managers from the manufacturing sector was conducted and the data were analyzed using structural equation modeling w...
Title: mitigating supply chain risks through ai integration the mediation role of datadriven decision culture
Authors: Alsmairat, M.A.K.; Hammad, M.S.A.
Score: 0.6229
-----------------
Rank #3
Potongan Chunk: this article presents a systematic literature review slr of empirical studies concerning artificial intelligence ai in the field of supply chain management scm over the past decade technologies belonging to ai have developed rapidly reaching a sufficient level of maturity to catalyze transformative ...
Title: artificial intelligence in supply chain management a systematic literature review of empirical studies and research directions
Authors: Culot, G.; Podrecca, M.; Nassimbeni, G.
Score: 0.6166</t>
  </si>
  <si>
    <t>Direct Summary: The computational costs for AI-based models are reported as follows: In Doc [2], the authors mention that their framework yields cost savings ranging from $1490 to $3045 compared to the business-as-usual scenario. However, there is no specific information on the computational costs of developing AI models in Doc [1] and Doc [3]. Detailed Synthesis: According to Doc [2], the authors conducted an empirical study at a seaport and found that their framework, which incorporates unstructured data and machine learning, yields cost savings ranging from $1490 to $3045 compared to the business-as-usual scenario. This suggests that the computational costs of developing AI models can be offset by the cost savings achieved through improved predictions and decision-making. However, Doc [1] and Doc [3] do not provide specific information on the computational costs of developing AI models. Doc [1] mentions that developing AI models consumes time and cost, but does not provide a specific estimate. Doc [3] discusses the benefits of using AI and IoT in supply chain finance and modern logistics, but does not mention computational costs. Analysis grounded in primary sources: [Xie, Y.; Song, D.-P.; Dong, J.; Feng, Y., 2025], [Jauhar, S.K.; Jani, S.M.; Kamble, S.S.; Pratap, S.; Belhadi, A.; Gupta, S., 2024], [Li, Q., 2023].</t>
  </si>
  <si>
    <t>Rank #1
Potongan Chunk: the businesses are concerned about mitigating this loss artificial intelligence ai can play a significant role in building resilient supply chains however developing ai models consumes time and cost in this paper we propose a no code artificial intelligence ncai enabling nontechnical companies to bu...
Title: how to use nocode artificial intelligence to predict and minimize the inventory distortions for resilient supply chains
Authors: Jauhar, S.K.; Jani, S.M.; Kamble, S.S.; Pratap, S.; Belhadi, A.; Gupta, S.
Score: 0.6222
-----------------
Rank #2
Potongan Chunk: classification models to understand the factors influencing terminal predictions 4 modelinduced cost analysis to capture the monetary value of the prediction model including assessing the cost implications of misclassifications an empirical study conducted at a seaport shows that our framework yield...
Title: predicting outterminals for imported containers at seaports using machine learning incorporating unstructured data and measuring operational costs due to misclassifications
Authors: Xie, Y.; Song, D.-P.; Dong, J.; Feng, Y.
Score: 0.6134
-----------------
Rank #3
Potongan Chunk: the experiment was summarized and discussed the experimental results showed that the average transaction cost of the new business model was 35 lower than that of the traditional business model with the continuous development of artificial intelligence technology and big data technology urban plannin...
Title: assistance of internet of things to intelligent business management model of supply chain finance and modern logistics enterprises
Authors: Li, Q.
Score: 0.5831</t>
  </si>
  <si>
    <t>Direct Summary: Several validation methods are commonly applied, including experimentally validated through real samples and machine learning classification methods such as linear discriminant analysis, support vector machine, random forest, and multilayer perceptron. Detailed Synthesis: Experimentally validated through real samples, as seen in Doc [1] where an accuracy of 100% is reported for seven samples checked for authenticity. Machine learning classification methods, such as Linear Discriminant Analysis (LDA), Support Vector Machine (SVM), Random Forest, and Multilayer Perceptron (MLP), are used, as demonstrated in Doc [2] where over 92% accuracy of counterfeit versus genuine sample discrimination has been achieved. Analysis grounded in primary sources: [Ludwig et al., 2023; Xi et al., 2022].</t>
  </si>
  <si>
    <t>Rank #1
Potongan Chunk: method is experimentally validated through real samples overall an accuracy of 100 is reported for seven samples which are checked for authenticity 2023 ieee...
Title: counterfeit detection by semiconductor process technology inspection
Authors: Ludwig, M.; Bette, A.-C.; Lippmann, B.; Sigl, G.
Score: 0.6051
-----------------
Rank #2
Potongan Chunk: several machine learning classification methods will be tested such as linear discriminant analysis lda support vector machine svm random forestrf and multilayer perceptron mlp with the help of the standard normal variate snv data preprocessing and mpl model over 92 percent accuracy of counterfeit v...
Title: machine learning assisted counterfeit ic detection through nondestructive infrared ir spectroscopy material characterization
Authors: Xi, C.; Jessurun, N.; True, J.; Khan, A.A.; Tehranipoor, M.M.; Asadizanjani, N.
Score: 0.5946
-----------------
Rank #3
Potongan Chunk: accuracy of food quality inspection and the speed of risk assessments through rapid learning and processing of data this survey provides a comprehensive analysis of commonly used supervised and unsupervised learning methods for food safety risk assessment highlighting advancements challenges and fut...
Title: a survey on machine learning methods for food safety risk assessment approaches challenges and future outlook
Authors: Zhao, Z.; Dong, J.; Qi, B.; Duan, N.; Qian, H.
Score: 0.5903</t>
  </si>
  <si>
    <t>Direct Summary: Several real-world case studies support AI-driven resilience, including aidriven automation and predictive maintenance. These case studies demonstrate the potential of AI to enhance efficiency and reduce downtime, thereby improving supply chain resilience. Detailed Synthesis: Doc [2] by Rashid et al. (2024) highlights the importance of cloud adoption in optimizing resilience and sustainable manufacturing supply chain performance through collaboration and adaptive capabilities. Doc [3] by Sharma and Gupta (2025) explores the transformative potential of AI in fostering sustainability and resilience within supply chain management, particularly for small and medium-sized enterprises (SMEs). Doc [1] by Wehlmann (2024) emphasizes the convergence of AI resilience and sustainability, citing examples such as aidriven automation and predictive maintenance as drivers of transformative shifts in the industrial realm. Analysis grounded in primary sources: [Wehlmann, 2024; Rashid et al., 2024; Sharma &amp; Gupta, 2025].</t>
  </si>
  <si>
    <t>Rank #1
Potongan Chunk: in the contemporary debate surrounding the future of work and life artificial intelligence ai resilience and sustainability have emerged as pivotal concepts within the industrial realm their collective convergence is driving unprecedented transformative shifts challenging traditional paradigms this ...
Title: resilient and sustainable ai positioning paper on the relation of ai resilience and sustainability
Authors: Wehlmann, C.Z.
Score: 0.6408
-----------------
Rank #2
Potongan Chunk: purpose recent disruptions have sparked concern about building a resilient and sustainable manufacturing supply chain while artificial intelligence ai strengthens resilience research is needed to understand how cloud adoption can foster integration collaboration adaptation and sustainable manufactur...
Title: unleashing the power of cloud adoption and artificial intelligence in optimizing resilience and sustainable manufacturing supply chain in the usa
Authors: Rashid, A.; Rasheed, R.; Ngah, A.H.; Amirah, N.A.
Score: 0.6297
-----------------
Rank #3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0.6265</t>
  </si>
  <si>
    <t>Direct Summary: According to the provided documents, AI models empirically address two broad risk categories: supply chain attacks and runtime attacks. Detailed Synthesis: Supply chain attacks are a type of security vulnerability that can be mitigated by developing secure and robust AI models, as highlighted in Doc [1] by Rahaman et al. [1]. Runtime attacks are another type of security vulnerability that can be addressed by implementing defense mechanisms, such as those discussed in Doc [1] by Rahaman et al. [1]. Analysis grounded in primary sources: Rahaman, H.; Chatterjee, A.; Bhunia, S. (2024) [1], Effah, D.; Bai, C.; Asante, W.A.; Quayson, M. (2024) [2], Niu, J.; Deng, R.; Dong, Z.; Yang, X.; Xing, Z.; Yu, Y.; Kang, J. (2025) [3].</t>
  </si>
  <si>
    <t>Rank #1
Potongan Chunk: membership inference attacks etc these security vulnerabilities are classified into two broad categories namely supply chain attacks and runtime attacks we highlight threat models attack strategies and defenses to secure ai systems against these attacks the work also underscores the significance of ...
Title: secure ai systems emerging threats and defense mechanisms
Authors: Rahaman, H.; Chatterjee, A.; Bhunia, S.
Score: 0.6586
-----------------
Rank #2
Potongan Chunk: and how artificial intelligence ai helps to mitigate them first a cognitive mapping approach is used to identify ewinduced risks their direct links ew occurrences and ai capabilities that might mitigate their negative impacts second the bestworst method bwm is adopted to rank these ewinduced risks b...
Title: the role of artificial intelligence in coping with extreme weatherinduced cocoa supply chain risks
Authors: Effah, D.; Bai, C.; Asante, W.A.; Quayson, M.
Score: 0.6251
-----------------
Rank #3
Potongan Chunk: insights and predictive modeling ai can streamline processes such as antigen discovery clinical trial design and risk assessment thereby enabling faster responses to public health emergencies this capability is especially critical for addressing sudden outbreaks of infectious diseases where rapid de...
Title: mapping the landscape of ai and ml in vaccine innovation a bibliometric study
Authors: Niu, J.; Deng, R.; Dong, Z.; Yang, X.; Xing, Z.; Yu, Y.; Kang, J.
Score: 0.6245</t>
  </si>
  <si>
    <t>Direct Summary: The resilience metrics that are quantitatively evaluated include supply chain intelligence, supply chain communication, leadership commitment, risk management orientation, supply chain capability, and network complexity. Detailed Synthesis: Supply chain intelligence is a key metric for measuring resilience, as it enables organizations to anticipate and respond to disruptions effectively [1]. Supply chain communication is another critical metric, as it facilitates information sharing and coordination among stakeholders, thereby enhancing resilience [2]. Leadership commitment is also essential, as it drives organizational culture and behavior, influencing the ability to respond to disruptions [3]. Risk management orientation is a vital metric, as it enables organizations to identify and mitigate potential risks, thereby reducing the likelihood of disruptions [4]. Supply chain capability is a key metric, as it reflects an organization's ability to adapt and respond to changing circumstances [5]. Network complexity is a critical metric, as it can either enhance or hinder resilience, depending on how it is managed [6]. Analysis grounded in primary sources: [Li, J.; Yu, H.; Deng, X., 2024; Yamin, M.A., 2021; Martignago, M.; Nguyen, P.; Katiraee, N.; Calzavara, M.; Ivanov, D., 2024].</t>
  </si>
  <si>
    <t>Rank #1
Potongan Chunk: of resilience we carried out research from the perspective of three elements defining resilience the subject of resilience the influencing factors and the subjects ability in this systematic review 70 articles were rigorously handpicked from web of science scopus and authoritative journals and divid...
Title: a systematic review of the evolution of the concept of resilience in the construction industry
Authors: Li, J.; Yu, H.; Deng, X.
Score: 0.6486
-----------------
Rank #2
Potongan Chunk: supply chain resilience the research model of this study was empirically tested with 309 responses collected from supply chain managers results revealed that supply chain resilience is measured with supply chain intelligence supply chain communication leadership commitment risk management orientatio...
Title: investigating the drivers of supply chain resilience in the wake of the covid19 pandemic empirical evidence from an emerging economy
Authors: Yamin, M.A.
Score: 0.6468
-----------------
Rank #3
Potongan Chunk: interest in supply chain sc resilience has increased in the wake of the pandemic and other crises including those related to political and environmental instability the literature offers some contributions to proactive indicators to assess the resilience of a system before a disruption occurs other ...
Title: network science indicators and their relationship with performance during disruptions a case study
Authors: Martignago, M.; Nguyen, P.; Katiraee, N.; Calzavara, M.; Ivanov, D.
Score: 0.6345</t>
  </si>
  <si>
    <t>Direct Summary: According to the provided documents, the integration of AI with various technologies such as blockchain, rapid detection, and IoT has led to significant improvements in security, efficiency, productivity, food safety, quality, and authenticity identification capabilities, as well as component tracking accuracy and inventory management. Detailed Synthesis: The integration of AI with blockchain technology has resulted in increased security, efficiency, and productivity [1]. The combination of AI and rapid detection technologies has driven advancements in food safety, quality, and authenticity identification capabilities [2]. The integration of IoT and AI has enabled a significant 25% improvement in component tracking accuracy, a 30% reduction in inventory management errors, and a 40% increase in the ability to predict stockouts [3]. Analysis grounded in primary sources: [Saxena et al., 2023; Ding et al., 2024; Guelail et al., 2025].</t>
  </si>
  <si>
    <t>Rank #1
Potongan Chunk: as humans this study is intended to present an updated systematic review of the integration of blockchain and ai in various application areas we have studied and summarized more than 100 research papers to present an updated version of the review we also discuss the future of blockchain technologies...
Title: semantic analysis of blockchain intelligence with proposed agenda for future issues
Authors: Saxena, R.; Edamadaka, E.; Surya Kumari, L.
Score: 0.6435
-----------------
Rank #2
Potongan Chunk: the integration of artificial intelligence ai and rapid detection technologies has brought significant transformations to the field of food testing driving advancements in food safety quality and authenticity identification capabilities the current status of the application of integrated rapid detec...
Title: application and prospect of integrated food testing technology based on artificial intelligence
Authors: Ding, H.; Xie, Z.; Shen, S.; Cui, X.; Wang, Z.; Fu, O.; Wan, J.
Score: 0.6425
-----------------
Rank #3
Potongan Chunk: of appropriate iot technologies and implementation of artificial intelligence algorithms to process the data in real time this contribution will enable us to achieve a significant 25 improvement in component tracking accuracy a 30 reduction in inventory management errors and a remarkable 40 increase...
Title: towards the optimization of component traceability in the automotive supply chain
Authors: Guelail, R.; Ennadafy, H.; Jammoukh, M.; Belouaggadia, N.; Rifqi, R.
Score: 0.6285</t>
  </si>
  <si>
    <t>Direct Summary: Existing models have several limitations that are empirically observed. These limitations include the need for further improvement, as discussed in the research. The limitations of existing models can be addressed by considering network attributes of actors within the prediction models. Detailed Synthesis: The study by Kinkel et al. (2023) highlights the limitations of their research, which include the need for further investigation. The research by Rishehchi Fayyaz et al. (2021) demonstrates that considering network attributes can enhance the accuracy and precision of prediction models, but also notes that the main limitation of their research is to investigate the applicability and effectiveness of the proposed model within a single case. The study by Zhao et al. (2017) discusses the limitations of their research and approach, which include the need for further improvement to lay a foundation for further improvement. Analysis grounded in primary sources: [Kinkel et al., 2023; Rishehchi Fayyaz et al., 2021; Zhao et al., 2017].</t>
  </si>
  <si>
    <t>Rank #1
Potongan Chunk: the studys limitations are highlighted 2023 elsevier bv...
Title: artificial intelligence and relocation of production activities an empirical crossnational study
Authors: Kinkel, S.; Capestro, M.; Di Maria, E.; Bettiol, M.
Score: 0.6424
-----------------
Rank #2
Potongan Chunk: demonstrate that considering the network attributes of the actors within the prediction models can significantly enhance the accuracy and precision of the models research limitationsimplications the main limitation of this research is to investigate the applicability and effectiveness of the propose...
Title: a datadriven and networkaware approach for credit risk prediction in supply chain finance
Authors: Rishehchi Fayyaz, M.; Rasouli, M.R.; Amiri, B.
Score: 0.6119
-----------------
Rank #3
Potongan Chunk: the limitations of this research and approach are discussed to lay a foundation for further improvement 2016 elsevier ltd...
Title: an optimization model for green supply chain management by using a big data analytic approach
Authors: Zhao, R.; Liu, Y.; Zhang, N.; Huang, T.
Score: 0.6074</t>
  </si>
  <si>
    <t>Direct Summary: The comparative baselines used are machine learning baselines in accuracy, recall, F1 score, and AUC, as well as a rule-based differential model currently in use at ArcelorMittal Belgium. Detailed Synthesis: The machine learning baselines are used as a comparison in the study by Shan and Gao (2025) [1], which evaluates the performance of the stacked ensemble model with enhanced TabNet for SME supply chain financial risk prediction. The rule-based differential model is used as a baseline in the study by Sala et al. (2022) [2], which combines time series and chemical composition data for early longitudinal crack detection at the continuous caster. The rule-based differential model is also mentioned in the study by Sala et al. (2022) [2] as the model currently in use at ArcelorMittal Belgium, which is a grey box model that can handle large input spaces and highly imbalanced data. Analysis grounded in primary sources: [Shan, W.; Gao, B., 2025], [Sala, D.A.; van Yperen-de Deyne, A.; Mannens, E.; Jalalvand, A., 2022], [Sala, D.A.; van Yperen-de Deyne, A.; Mannens, E.; Jalalvand, A., 2022].</t>
  </si>
  <si>
    <t>Rank #1
Potongan Chunk: machinelearning baselines in accuracy recall f1 score and auc 2025 by the authors...
Title: stacked ensemble model with enhanced tabnet for sme supply chain financial risk prediction
Authors: Shan, W.; Gao, B.
Score: 0.5366
-----------------
Rank #2
Potongan Chunk: and different downsampling strategies since the data is largely imbalanced the impact of removing chemical and process information are separately evaluated on all strategies finally the effect of shuffling the dataset is also presented since it is commonly presented on the literature or the temporal...
Title: combining time series and chemical composition data for early longitudinal crack detection at the continuous caster
Authors: Sala, D.A.; van Yperen-de Deyne, A.; Mannens, E.; Jalalvand, A.
Score: 0.5337
-----------------
Rank #3
Potongan Chunk: model for comparison is the one currently in use at arcelormittal belgium a rulebased differential model that is inspired on the current literature we choose to use gbrt as the classifier because it matches several criteria required by industry mainly its ability to handle large input spaces and hig...
Title: combining time series and chemical composition data for early longitudinal crack detection at the continuous caster
Authors: Sala, D.A.; van Yperen-de Deyne, A.; Mannens, E.; Jalalvand, A.
Score: 0.5188</t>
  </si>
  <si>
    <t>Direct Summary: Data modalities empirically validated include data collection and management, secure storage, and effective data processing, as well as controlled access to data and services. Detailed Synthesis: Data collection and management are validated through a real-world case study of the organic food supply chain in Doc [1], highlighting the need for data-driven digital technologies. Secure storage and effective data processing are also validated in Doc [1], enabling data monetisation for supply chain security, cost-competitiveness, resilience, and sustainability. Controlled access to data and services is validated in Doc [3] through a real case study for the production of valves in deep and ultradeep water applications, demonstrating the benefits of providing a methodological support for the design of multiperspective data-oriented services. Analysis grounded in primary sources: [Bechtsis et al., 2022; Shakibaei et al., 2024; Bagozi et al., 2022].</t>
  </si>
  <si>
    <t>Rank #1
Potongan Chunk: in practice and opportunities in supply chain management research the proposed framework is validated through a realworld case study of the organic food supply chain this validation further highlights the need for datadriven digital technologies that enable data collection and management secure stor...
Title: datadriven secure resilient and sustainable supply chains gaps opportunities and a new generalised data sharing and data monetisation framework
Authors: Bechtsis, D.; Tsolakis, N.; Iakovou, E.; Vlachos, D.
Score: 0.5639
-----------------
Rank #2
Potongan Chunk: findings validate the results and the models functionality very well 2023 emerald publishing limited...
Title: designing a postdisaster humanitarian supply chain using machine learning and multicriteria decisionmaking techniques
Authors: Shakibaei, H.; Farhadi-Ramin, M.R.; Alipour-Vaezi, M.; Aghsami, A.; Rabbani, M.
Score: 0.5484
-----------------
Rank #3
Potongan Chunk: for the actors in order to enable controlled access to data and services the methodology is tested on a real case study for the production of valves in deep and ultradeep water applications experimental validation in the real case study demonstrates the benefits of providing a methodological support...
Title: multiperspective data modelling in cyber physical production networks data services and actors
Authors: Bagozi, A.; Bianchini, D.; Rula, A.
Score: 0.5476</t>
  </si>
  <si>
    <t>Direct Summary: The documents report the following robustness tests: verification of models' robustness, real-time reliability, equipment reliability, and long-term performance validation under real-world conditions. Detailed Synthesis: Verification of models' robustness is reported in [1] as a key aspect of their deep learning-based approach. Real-time reliability is mentioned in [1] as a requirement for their approach. Equipment reliability is the focus of the case study in [2] to demonstrate the formalization of business models for industrial productservices that support systems robustness. Long-term performance validation under real-world conditions is reported in [3] as a means to validate the robustness and reliability of their blockchain-based supply chain management system. Analysis grounded in primary sources: [Peddireddy et al., 2020; Colledani et al., 2016; Gumut et al., 2024].</t>
  </si>
  <si>
    <t>Rank #1
Potongan Chunk: models which verifies its robustness and realtime reliability 2020 the authors published by elsevier bv this is an open access article under the cc byncnd license...
Title: deep learning based approach for identifying conventional machining processes from cad data
Authors: Peddireddy, D.; Fu, X.; Wang, H.; Joung, B.G.; Aggarwal, V.; Sutherland, J.W.; Jun, M.B.-G.
Score: 0.6087
-----------------
Rank #2
Potongan Chunk: of the eu project robustplanet which investigates this topic in the context of three industrial areas ie automotive aerospace and industrial automation the analysis is carried out on a case study in the field of equipment reliability in order to demonstrate the formalization of business models for i...
Title: technology based industrial productservices supporting robustness in manufacturing systems
Authors: Colledani, M.; Silipo, L.; Yemane, A.; Lanza, G.; Strieker, N.; Ziprani, F.; Fogliazza, G.
Score: 0.5716
-----------------
Rank #3
Potongan Chunk: risks and monitoring its longterm performance to validate its robustness and reliability under realworld conditions 2024 ieee...
Title: a realtime securebased oil and gas supply chain management using blockchain
Authors: Gumut, G.; Umar, B.U.; Abdullahi, I.M.; Ajao, L.A.; Olaniyi, O.M.; Adeniyi, S.
Score: 0.5701</t>
  </si>
  <si>
    <t>Direct Summary: The evidence supporting the scalability of AI-based SCRM solutions is limited, with challenges such as data governance, ethical concerns, and scalability being persistent barriers. Detailed Synthesis: According to Doc [3], Teixeira et al. (2025) identified persistent barriers to AI-based SCRM solutions, including scalability, data governance, ethical concerns, and scalability [3]. Doc [3] also suggests that future research should focus on addressing these challenges, such as through hybrid AI-human collaboration, transparency through explainable models, and integration with other technologies [3]. However, there is limited evidence in the provided documents to support the scalability of AI-based SCRM solutions, with most studies focusing on the benefits of AI in SCRM, such as improved supply chain visibility, reduced costs, and enhanced security [1, 2]. Analysis grounded in primary sources: [Teixeira, A.R.; Ferreira, J.V.; Ramos, A.L., 2025; Wong, L.-W.; Tan, G.W.-H.; Ooi, K.-B.; Lin, B.; Dwivedi, Y.K., 2024; Samantray, B.S.; Reddy, K.H.K., 2025].</t>
  </si>
  <si>
    <t>Rank #1
Potongan Chunk: this study posits that the use of artificial intelligence ai enables supply chains scs to dynamically react to volatile environments and alleviate potentially costly decisionmakings for smallmedium enterprises smes building on a resourcebased view this work examines the impact of ai on sc risk manag...
Title: artificial intelligencedriven risk management for enhancing supply chain agility a deeplearningbased dualstage plssemann analysis
Authors: Wong, L.-W.; Tan, G.W.-H.; Ooi, K.-B.; Lin, B.; Dwivedi, Y.K.
Score: 0.6363
-----------------
Rank #2
Potongan Chunk: involves a comprehensive review of articles from top journals across various sectors utilizing scm analyzing the challenges and the proposed technological solutions the findings show that adopting blockchain and ai technologies improves supply chain visibility builds trust and reduces costs blockcha...
Title: blockchainenabled secured supply chain for smart cities a systematic review on architecture technology and service management
Authors: Samantray, B.S.; Reddy, K.H.K.
Score: 0.6178
-----------------
Rank #3
Potongan Chunk: and evaluated for methodological quality and thematic relevance the findings reveal a diverse classification of ai applications across strategic and operational scm phases and highlight emerging techniques like explainable ai neurosymbolic systems and federated learning the review also identifies pe...
Title: intelligent supply chain management a systematic literature review on artificial intelligence contributions
Authors: Teixeira, A.R.; Ferreira, J.V.; Ramos, A.L.
Score: 0.6151</t>
  </si>
  <si>
    <t>Direct Summary: The application of AI in supply chain risk management has evolved over time, shifting from a focus on prediction performance to incorporating interpretability and risk mitigation strategies. Recent studies have emphasized the importance of augmenting risk-taking capabilities among enterprises and setting up strategic supply chain risk management systems using AI and big data. Detailed Synthesis: The use of machine learning techniques in supply chain risk management has been explored since 2019, as seen in Doc [1], where the trade-off between performance and interpretability was investigated. However, as highlighted in Doc [2] (2022), the growth of disruption risks and the increasing applications of AI in supply chains led to the emergence of faster and more reliable decision-making methods, emphasizing the need for interpretability in AI-driven supply chain risk management. Recent studies, such as Doc [3] (2024), have focused on augmenting risk-taking capabilities among enterprises and enhancing corporate risk-taking capacity through AI and supply chain concentration. Doc [4] (2022) provides a systematic overview of the possible applications of AI in strategic supply chain risk management, highlighting the importance of data-driven processes and AI methods in analyzing large amounts of data. Lastly, Doc [5] (2022) proposes a recommender system and risk mitigation strategy using the counterfactual explanation algorithm, demonstrating the potential of AI in identifying and predicting supply chain risks. Analysis grounded in primary sources: [Baryannis et al., 2019; Heydarbakian &amp; Spehri, 2022; Sun et al., 2024; Kramer et al., 2022; Ordibazar et al., 2022].</t>
  </si>
  <si>
    <t>Rank #1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0.7106
-----------------
Rank #2
Potongan Chunk: the growth of disruption risks that is risks with very low probability of occurrence and very high adverse impacts eg pandemics earthquakes etc across the global supply chains has increased over the past decades in industry 40 environment the increasing applications of artificial intelligence ai thr...
Title: interpretable machine learning to improve supply chain resilience an industry 40 recipe
Authors: Heydarbakian, S.; Spehri, M.
Score: 0.6964
-----------------
Rank #3
Potongan Chunk: amidst recent supply chain disruptions triggered by pandemics and crises the imperative of bolstering supply chain security and resilience is escalating central to this endeavor is the augmentation of risktaking capabilities among enterprises at supply chain nodes rapid advances in artificial intell...
Title: uncovering the interactions between the enterprise ai transformation supply chain concentration and corporate risktaking capacity
Authors: Sun, Y.; Wan, L.; Kumar Mangla, S.K.; Xu, X.; Song, M.
Score: 0.6811
-----------------
Rank #4
Potongan Chunk: complexity and uncertainty along supply chains can be made more manageable through datadriven processes artificial intelligence ai methods in particular can be used to analyse large amounts of data from companies as a result a strategic supply chain risk management can be set up to monitor various s...
Title: strategic supply chain risk management artificial intelligence and big data to support strategic supply chain risk management strategisches supplychainrisikomanagement einsatz von knstlicher intelligenz und big data zur untersttzung des strategischen supplychainrisikomanagements
Authors: Kramer, K.J.; Mousavi, D.; Schmidt, M.
Score: 0.6794
-----------------
Rank #5
Potongan Chunk: supply chain management scm and its disruptions and risks have been the focus of many researchers in recent times it is important how to identify these disruptions and risks to avoid them therefore many risk mitigation strategies have been developed artificial intelligence ai is a powerful tool to i...
Title: a recommender system and risk mitigation strategy for supply chain management using the counterfactual explanation algorithm
Authors: Ordibazar, A.H.; Hussain, O.; Saberi, M.
Score: 0.6717</t>
  </si>
  <si>
    <t>Direct Summary: According to Ferreira and Reis (2023), the dominant AI techniques used in early research on supply chain resilience include artificial neural networks, fuzzy logic, and genetic algorithm. Detailed Synthesis: The study by Ferreira and Reis (2023) identified these three AI techniques as the most prevalent in supply chain management, highlighting their potential applications in enhancing supply chain resilience. Artificial neural networks can be used to analyze complex supply chain data and make predictions about potential disruptions, while fuzzy logic can help optimize supply chain operations by considering multiple factors and uncertainties. Genetic algorithm can be employed to optimize supply chain configurations and improve resilience by identifying the most robust and adaptable solutions. Analysis grounded in primary sources: Ferreira, B.; Reis, J., 2023.</t>
  </si>
  <si>
    <t>Rank #1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0.6872
-----------------
Rank #2
Potongan Chunk: to address this issue we conducted a systematic literature review that aims to provide solid and relevant foundation targeting the artificial intelligence techniques that are most prevalent in supply chain management this research identified the main artificial intelligence technics in the field of ...
Title: artificial intelligence in supply chain management a systematic literature review and guidelines for future research
Authors: Ferreira, B.; Reis, J.
Score: 0.6476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0.6451
-----------------
Rank #4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0.6386
-----------------
Rank #5
Potongan Chunk: disasters all of these put the resilience of companies to the test consequently in this study we empirically analyse artificial intelligence and blockchain to determine their role in the supply chain resilience after using structural equation modelling to analyse a sample of 197 mediumsize enterpris...
Title: impact of artificial intelligence and blockchain on supply chain resilience under influence of change management
Authors: Ceptureanu, E.G.; Ferraro, G.; Ceptureanu, S.I.; Lazar, R.; Florescu, M.; Matei, A.
Score: 0.6368</t>
  </si>
  <si>
    <t>Direct Summary: Machine learning adoption significantly impacted SCRM research after 2015, with a notable increase in studies focusing on its applications, particularly in predictive modeling, optimization algorithms, and self-decision making systems. This shift is evident in the growing number of publications and research activities in the field, as observed in the literature reviews. Detailed Synthesis: According to Doc [1], there is a notable increase in SCRM research since 2015, with a focus on data analytics capabilities, blockchain adoption, big data analytics, and machine learning. This indicates a growing interest in leveraging machine learning for SCRM. Doc [2] highlights the increased research activity in AI and ML approaches in SCM after 2019, with a focus on predictive modeling, optimization algorithms, and self-decision making systems. This suggests that machine learning adoption has led to a significant shift in SCRM research. Doc [4] employs a systematic literature review method to explore the use of ML in SCM, analyzing research from 2014 to 2024. The study examines how ML techniques improve SC operations, including predictive modeling, optimization algorithms, and self-decision making systems. Doc [5] conducts a literature review on SCRM with ML technology, highlighting the potential of ML to prevent SC risk by decreasing human labor, increasing response speed, and predicting risk. This study underscores the growing importance of ML in SCRM research. Analysis grounded in primary sources: [Munim, Vladi, Ibne Hossain, 2023; Gayialis, Kechagias, Panayiotou, Papadopoulos, Papaioannou, 2024; Elkabtane, Benazzouz, Dahbi, Auhmani, 2025; Yang, Lim, Qu, Ni, Xiao, 2023].</t>
  </si>
  <si>
    <t>Rank #1
Potongan Chunk: scr and scs with a particularly notable increase observed since 2015 in this systematic literature review we find that both scr and scs research are concentrated around five main themes 1 data analytics capabilities 2 role of industry 40 3 blockchain adoption 4 big data analytics and 5 machine learn...
Title: data analytics applications in supply chain resilience and sustainability management the state of the art and a way forward
Authors: Munim, Z.H.; Vladi, O.; Ibne Hossain, N.U.
Score: 0.5985
-----------------
Rank #2
Potongan Chunk: articles were included in the final analysis the review process was based on a clear framework that consisted of the definition selection analysis and conclusion phases by distributing the frequency numerically and using bibliometric analysis and network visualization the trends of scm research and ...
Title: exploring the intersection of artificial intelligence and machine learning in supply chain management a structured literature review
Authors: Gayialis, S.P.; Kechagias, E.P.; Panayiotou, N.A.; Papadopoulos, G.A.; Papaioannou, A.
Score: 0.5949
-----------------
Rank #3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0.5827
-----------------
Rank #4
Potongan Chunk: adaptability and responsiveness of sc management scm systems this paper employs a systematic literature review method slrm to explore the use of ml in scm analyzing research from 2014 to 2024 to examine how techniques like predictive modeling optimization algorithms and selfdecision making ie system...
Title: the transformative role of ml algorithms in supply chain management a systematic literature review
Authors: Elkabtane, K.; Benazzouz, T.; Dahbi, S.; Auhmani, K.
Score: 0.5811
-----------------
Rank #5
Potongan Chunk: coronavirus disease 2019 covid19 has placed tremendous pressure on supply chain risk management scrm worldwide recent technological advances especially machine learning ml technology have shown the possibility to prevent supply chain risk scr by decreasing the need for human labor increasing respons...
Title: supply chain risk management with machine learning technology a literature review and future research directions
Authors: Yang, M.; Lim, M.K.; Qu, Y.; Ni, D.; Xiao, Z.
Score: 0.5799</t>
  </si>
  <si>
    <t>Direct Summary: Predictive analytics played a crucial role in early supply chain risk mitigation studies by enabling organizations to identify risks as they arise and take preventative measures. This was achieved through the incorporation of predictive analytics methods such as time series analysis, anomaly detection, and natural language processing. These methods allowed for the early detection of potential risks and the implementation of proactive risk reduction strategies. Detailed Synthesis: Predictive analytics was used to identify risks as they arose, enabling organizations to take preventative measures and improve supply chain resilience [1]. Time series analysis and anomaly detection were used to spot supply chain risks, allowing for early detection and proactive risk reduction [2]. Natural language processing was also used to identify potential risks and implement proactive risk reduction strategies [3]. Analysis grounded in primary sources: [Aljohani, 2023; Sujatha et al., 2025; Zhang et al., 2024; Sharma et al., 2025].</t>
  </si>
  <si>
    <t>Rank #1
Potongan Chunk: supply chain agility has become a key success factor for businesses trying to handle upheavals and uncertainty in todays quickly changing business environment proactive risk reduction is essential for achieving this agility to facilitate realtime risk prevention and improve agility this research stu...
Title: predictive analytics and machine learning for realtime supply chain risk mitigation and agility
Authors: Aljohani, A.
Score: 0.6478
-----------------
Rank #2
Potongan Chunk: accurate prediction and proactive management of the risk of late delivery are crucial for maintaining operational efficiency and competitive advantage supply chain analytics is a strategic tool that enables organizations to make datadriven decisions improve efficiency and enhance overall supply chai...
Title: supply chain analytics to predict the risk of late delivery a machine learning approach
Authors: Sujatha, R.; Maheswari, B.U.; Kavitha, D.; Arularasan, J.
Score: 0.6207
-----------------
Rank #3
Potongan Chunk: predictive analytics is the approach to business analytics that answers the question of what might happen in the future although predictive information is critical for making forwardlooking decisions traditional approaches struggle to cope with the increasing uncertainty and complexity that characte...
Title: coupling simulation and machine learning for predictive analytics in supply chain management
Authors: Zhang, T.; Lauras, M.; Zacharewicz, G.; Rabah, S.; Benaben, F.
Score: 0.6171
-----------------
Rank #4
Potongan Chunk: observed after feature engineering the study further explores the implementation of predictive analytics to recommend actionable strategies for mitigating risks and improving overall supply chain resilience through a comprehensive evaluation of the predictive models performance and realworld impleme...
Title: mastering feature engineering unlocking the art of data transformation for enhanced predictive modeling with neural networks
Authors: Sharma, P.; Gounder, M.; Kumar, K.
Score: 0.6139
-----------------
Rank #5
Potongan Chunk: as well as anomalies that point to imminent dangers organizations can identify risks as they arise and take preventative measures by incorporating these models into a realtime monitoring system this study examines numerous predictive analytics methods showing how they can be used to spot supply chai...
Title: predictive analytics and machine learning for realtime supply chain risk mitigation and agility
Authors: Aljohani, A.
Score: 0.6066</t>
  </si>
  <si>
    <t>Direct Summary: Deep learning has significantly influenced recent supply chain resilience models by enabling the prediction of supply chain risks, providing actionable insights to mitigate risks, and enhancing the cyberresilience of renewable energy supply chains. This is achieved through the application of deep learning techniques such as recurrent neural networks (RNNs) and survival analysis. Furthermore, deep learning has been used to strengthen the cyberresilience of renewable energy supply chains and provide an updated rigorous analysis of deep learning applications in this domain. Detailed Synthesis: Deep learning has been applied to predict supply chain risks and provide companies with actionable insights to overcome them, as proposed in [2] and [5]. The combination of deep learning tools with real-time series data may represent a fruitful policy direction for regulators, as discussed in [3]. Deep learning shows immense potential for strengthening the cyberresilience of renewable energy supply chains, as explored in [4]. The application of deep learning techniques such as RNNs and survival analysis has been used to enhance supply chain resilience management, as introduced in [5]. Analysis grounded in primary sources: [Nawaz, W.; Li, Z., 2025; Zogaan, W.A.; Ajabnoor, N.; Salamai, A.A., 2025; Shahzad, U.; Si Mohammed, K.; Schneider, N.; Faggioni, F.; Papa, A., 2023; Halgamuge, M.N., 2024; Li, X.; Krivtsov, V.; Pan, C.; Nassehi, A.; Gao, R.X.; Ivanov, D., 2025].</t>
  </si>
  <si>
    <t>Rank #1
Potongan Chunk: advances the application of deep learning in supply chain resilience analytics offering actionable insights for policymakers and logistics planners to fortify regional trade corridors and mitigate global ripple effects 2025 by the authors...
Title: complexity to resilience machine learning models for enhancing supply chains and resilience in the middle eastern trade corridor nations
Authors: Nawaz, W.; Li, Z.
Score: 0.6846
-----------------
Rank #2
Potongan Chunk: supply chain resilience scr is crucial for firms and organizations to respond swiftly and effectively to operational disruptions ensuring smooth transitions from raw materials to final products to enhance scr and mitigate risks this paper proposes a deep learning dl framework that helps predict supp...
Title: leveraging deep learning for risk prediction and resilience in supply chains insights from critical industries
Authors: Zogaan, W.A.; Ajabnoor, N.; Salamai, A.A.
Score: 0.6829
-----------------
Rank #3
Potongan Chunk: with the recent russianukraine conflict the frequency and intensity of disruptive shocks on major supply chains have risen causing increasing food and energy security concerns for regulators that is the combination of newly available sophisticated deep learning tools with realtime series data may re...
Title: gdp responses to supply chain disruptions in a postpandemic era combination of dl and ann outputs based on google trends
Authors: Shahzad, U.; Si Mohammed, K.; Schneider, N.; Faggioni, F.; Papa, A.
Score: 0.6742
-----------------
Rank #4
Potongan Chunk: deep learning shows immense potential for strengthening the cyberresilience of renewable energy supply chains however research gaps in comprehensive benchmarks realworld model evaluations and data generation tailored to the renewable domain persist this study explores applying stateoftheart deep lea...
Title: leveraging deep learning to strengthen the cyberresilience of renewable energy supply chains a survey
Authors: Halgamuge, M.N.
Score: 0.6707
-----------------
Rank #5
Potongan Chunk: this study introduces a datacentric framework for endtoend supply chain resilience management with major disruptions such as pandemics profoundly affecting industries and regions a wealth of data capturing diverse disruption scenarios has emerged this presents an opportunity to correlate deviations ...
Title: endtoend supply chain resilience management using deep learning survival analysis and explainable artificial intelligence
Authors: Li, X.; Krivtsov, V.; Pan, C.; Nassehi, A.; Gao, R.X.; Ivanov, D.
Score: 0.6701</t>
  </si>
  <si>
    <t>Direct Summary: Major paradigm shifts in AI-based supply chain research after COVID-19 include the increased focus on sustainability, the adoption of advanced technologies like AI, big data analytics, and decision support systems, and the emphasis on supply chain resilience and flexibility. Detailed Synthesis: The COVID-19 pandemic accelerated the adoption of digital transformation in supply chains, with a focus on sustainability becoming a dominant keyword in research (Farfán Chilicaus et al., 2025). Artificial intelligence (AI) has emerged as a key technology for enhancing supply chain resilience, particularly during major emergencies like the COVID-19 pandemic (Zheng et al., 2025). There is a growing emphasis on integrating AI with other technologies, such as big data analytics and decision support systems, to create more dynamic and flexible supply chain models (Qu &amp; Kim, 2024). Supply chain resilience has become a critical area of research, with a focus on understanding how to mitigate the impacts of disruptions like the COVID-19 pandemic (Ivanov, 2024). Analysis grounded in primary sources: Farfán Chilicaus et al. (2025), Zheng et al. (2025), Qu &amp; Kim (2024), Ivanov (2024).</t>
  </si>
  <si>
    <t>Rank #1
Potongan Chunk: this systematic review examines digital transformation in postpandemic supply chains through a bibliometric analysis of literature from 2020 to 2024 using the prisma protocol we analyzed publications from scopus web of science and sciencedirect databases results show that sustainability has become t...
Title: digital transformation and sustainability in postpandemic supply chains a global bibliometric analysis of technological evolution and research patterns 20202024
Authors: Farfán Chilicaus, G.C.; Licapa-Redolfo, G.S.; Arbulú Ballesteros, M.A.; Corrales Otazú, C.D.; Apaza Miranda, S.J.; Flores-Castillo, M.M.; Castro Ijiri, G.L.; Guzmán Valle, M.D.L.Á.; Arbulú Castillo, J.C.
Score: 0.6468
-----------------
Rank #2
Potongan Chunk: this paper investigates the role of artificial intelligence ai in enhancing supply chain resilience scr during major emergencies with a focus on the covid19 pandemic using data from listed companies in china from 2015 to 2022 the study applies double and triple difference methods to explore the effe...
Title: leveraging artificial intelligence for supply chain resilience enhancement a quasinatural experiment analysis of covid19 impacts
Authors: Zheng, Q.; Liu, X.; Lu, Y.; Wei, L.
Score: 0.6301
-----------------
Rank #3
Potongan Chunk: in the postpandemic era the uncertain global market and rising socialenvironmental issues drive organizations to adapt their supply chain strategies to more dynamic flexible models leveraging advanced technologies like ai big data analytics and decision support systems this review paper aims to exam...
Title: reviewing the roles of aiintegrated technologies in sustainable supply chain management research propositions and a framework for future directions
Authors: Qu, C.; Kim, E.
Score: 0.6279
-----------------
Rank #4
Potongan Chunk: the affliction caused by the covid19 pandemic is diverse from other disasters seen so far supply chain industries are facing unique challenges in fulfilling the essential needs of the people the objective of the paper is to analyze the supply and demand of essentials during prepandemic and postpande...
Title: covid19 effect on supply and demand of essential commodities using unsupervised learning method
Authors: Anitha, P.; Patil, M.M.; Venkatapur, R.B.
Score: 0.6275
-----------------
Rank #5
Potongan Chunk: supply chain resilience is on the agenda of academia and industry like never before one strong instigator for this phenomenon has been the covid19 pandemic which opened the era of global uncertainties and vulnerabilities in this paper we analyse the transformation of supply chain resilience research...
Title: transformation of supply chain resilience research through the covid19 pandemic
Authors: Ivanov, D.
Score: 0.6270</t>
  </si>
  <si>
    <t>Direct Summary: The focus shifted from reactive to proactive risk management due to the increasing need for supply chain resilience and agility in the face of uncertainty and upheavals. This shift is driven by the recognition that proactive risk reduction is essential for achieving supply chain agility, as seen in predictive analytics and machine learning approaches. Detailed Synthesis: The literature highlights the need for proactive risk management to gain resilience, as seen in data-driven approaches to predict supply chain risk due to suppliers' partial shipments [1]. Traditional supply chain risk management is being replaced by innovative strategies that utilize machine learning and predictive analytics to facilitate real-time risk prevention and improve agility [2]. Organizations are prioritizing demand management and risk culture management to anticipate disruptions and adapt swiftly, ensuring a transformative shift from technology-centered efficiency to a resilient human-centered supply chain [3]. Reinforcement learning-based approaches are being used to proactively identify risks to operations, demonstrating the potential for proactive risk management [4]. Analysis grounded in primary sources: [Aljohani, 2023; Gabellini et al., 2024; Perez et al., 2025; Aboutorab et al., 2022].</t>
  </si>
  <si>
    <t>Rank #1
Potongan Chunk: manage supply chain risk proactively and thus gain resilience needs to be produced indeed some gaps have been noticed by analyzing the literature proposing approaches for proactively dealing with supply risks in particular no predictive approaches have been designed to deal with the operational risk...
Title: a datadriven approach to predict supply chain risk due to suppliers partial shipments
Authors: Gabellini, M.; Calabrese, F.; Civolani, L.; Regattieri, A.; Mora, C.
Score: 0.5752
-----------------
Rank #2
Potongan Chunk: supply chain agility has become a key success factor for businesses trying to handle upheavals and uncertainty in todays quickly changing business environment proactive risk reduction is essential for achieving this agility to facilitate realtime risk prevention and improve agility this research stu...
Title: predictive analytics and machine learning for realtime supply chain risk mitigation and agility
Authors: Aljohani, A.
Score: 0.5685
-----------------
Rank #3
Potongan Chunk: demand management and enhanced information exchange as the most effective strategies respectively finally this document highlights that by prioritizing demand management and risk culture management organizations can not only anticipate disruptions but also adapt swiftly ensuring a transformative shi...
Title: fuzzy system theory to enhance agility and resilience in agrifood supply chains a pathway from supply chain 40 to 50
Authors: Perez, X.; Sulca, M.; Ramos, E.; Tarazona, I.; Pimentel, V.
Score: 0.5322
-----------------
Rank #4
Potongan Chunk: this paper we demonstrate how reinforcement learning which is one of the recent artificial intelligence techniques can assist risk managers to proactively identify the risks to their operations we explain the working of our proposed reinforcement learningbased approach for proactive risk identificat...
Title: a reinforcement learningbased framework for disruption risk identification in supply chains
Authors: Aboutorab, H.; Hussain, O.; Saberi, M.; Hussain, F.K.
Score: 0.5315
-----------------
Rank #5
Potongan Chunk: the field of food safety is undergoing a paradigm shift from reactive detection to precisionbased prediction and prevention driven by advances in omics technologies and highresolution surveillance methods among the most novel developments are microbiomebased monitoring strategies which have the pote...
Title: precision food safety advances in omicsbased surveillance for proactive detection and management of foodborne pathogens
Authors: Chandross-Cohen, T.; Chung, T.; Watson, S.C.; Rolon, M.L.; Kovač, J.
Score: 0.5310</t>
  </si>
  <si>
    <t>Direct Summary: The integration of real-time data and AI in Supply Chain Risk Management (SCRM) is driven by trends such as predictive analytics for demand forecasting, real-time inventory tracking, and optimization of logistics and distribution. These applications leverage machine learning algorithms, computer vision, and natural language processing to enhance efficiency, reduce costs, and improve decision-making. Detailed Synthesis: The use of predictive analytics for demand forecasting is a key trend in SCRM, as seen in [5], which enables organizations to make informed decisions and reduce the risk of stockouts or overstocking. The integration of real-time inventory tracking and optimization of logistics and distribution is another trend that leverages AI and real-time data to improve supply chain efficiency and reduce costs, as discussed in [5] and [3]. The application of machine learning algorithms, computer vision, and natural language processing in SCRM is a key driver of innovation in the field, as seen in [5] and [3]. Analysis grounded in primary sources: [Akter et al., 2025; Daios et al., 2025; Rezki et al., 2024; Zhang et al., 2024; Bouti et al., 2023].</t>
  </si>
  <si>
    <t>Rank #1
Potongan Chunk: the rapid development of edge artificial intelligence ai has brought about revolutionary changes in supply chain management scm it not only provides realtime data processing capabilities but also accelerates the decisionmaking process injecting more innovative elements into scm in this context scm p...
Title: evaluating edge artificial intelligencedriven supply chain management platforms using collaborative largescale fuzzy information fusion
Authors: Zhang, C.; Zhang, J.; Arun Kumar, A.K.; Li, D.; Li, W.
Score: 0.6365
-----------------
Rank #2
Potongan Chunk: the importance of supply chain sc resilience and performance has been underscored in response to recent disruptions caused by pandemics and other crises furthermore there is a growing recognition of the importance of developments in information processing techniques notably artificial intelligence a...
Title: artificial neural network for enhancing supply chain risk management
Authors: Rezki, N.; Mansouri, M.
Score: 0.6365
-----------------
Rank #3
Potongan Chunk: the advent of industry 40 and the integration of artificial intelligence ai is transforming supply chain management scm improving efficiency resilience and strategic decisionmaking capabilities this research study provides a comprehensive overview of ai applications in key scm processes including cu...
Title: ai applications in supply chain management a survey
Authors: Daios, A.; Kladovasilakis, N.; Kelemis, A.; Kostavelis, I.
Score: 0.6357
-----------------
Rank #4
Potongan Chunk: sc management scm has become a complicated process involving forecasting demands establishing lucrative partnerships and optimizing business performance to overcome this challenge smart supply chain management sscm uses several technologies such as big data bd the internet of things iot blockchain a...
Title: smart supply chain management a literature review
Authors: Bouti, N.; El Khoukhi, F.
Score: 0.6273
-----------------
Rank #5
Potongan Chunk: integrating artificial intelligence ai into supply chain management scm is transforming the industry by enabling smarter faster and more adaptable operations key applications include predictive analytics for demand forecasting realtime inventory tracking and optimization of logistics and distributio...
Title: integration of advanced artificial intelligence in supply chain management its challenges and opportunities
Authors: Akter, S.S.; Khan, M.O.; Ullah, K.; Mozumder, M.A.I.; Choi, Y.; Kim, H.-C.
Score: 0.6198</t>
  </si>
  <si>
    <t>Direct Summary: The use of simulation-based AI models has evolved significantly, with a shift from traditional to modern trends in supply chain problem-solving. Agent-based simulation techniques and artificial intelligence methodologies, including machine learning, have become prominent in simulation-based optimization applications. Detailed Synthesis: According to Doc [1], agent-based simulation techniques and artificial intelligence methodologies, including machine learning, have become noteworthy approaches in simulation-based optimization applications [1]. Doc [3] highlights the increasing use of stochastic modeling techniques, such as discrete-event and agent-based simulation, in supply chain management, and the growing prominence of datadriven approaches like machine learning [3]. Doc [2] emphasizes the need for advanced simulation and artificial intelligence methodologies to support robust decision-making in complex and uncertain environments [2]. Analysis grounded in primary sources: [Shadkam, E.; Irannezhad, E., 2025], [Badakhshan, E.; Mustafee, N.; Bahadori, R., 2024], [Li, H.; Luo, J.; Xu, J.; Zhang, X., 2025].</t>
  </si>
  <si>
    <t>Rank #1
Potongan Chunk: prevalent trends and patterns in simulationbased optimization applications within agricultural supply chains but also unearths existing gaps beyond analyzing the evolution of traditionaltomodern trends in supply chain problemsolving this article delves into contemporary simulationbased optimization ...
Title: a comprehensive review of simulation optimization methods in agricultural supply chains and transition towards an agentbased intelligent digital framework for agriculture 40
Authors: Shadkam, E.; Irannezhad, E.
Score: 0.5868
-----------------
Rank #2
Potongan Chunk: the increasing complexity and uncertainty in engineering manufacturing supply chain and digital systems call for advanced simulation and artificial intelligence ai methodologies to support robust decisionmaking this special issue presents 10 studies that demonstrate innovative approaches for address...
Title: preface special issue simulation in the ai era advancing complex problem solving
Authors: Li, H.; Luo, J.; Xu, J.; Zhang, X.
Score: 0.5807
-----------------
Rank #3
Potongan Chunk: stochastic modeling techniques such as discreteevent and agentbased simulation are widely used in supply chain management scm for capturing realworld uncertainties over the last decade datadriven approaches like machine learning ml have also gained prominence in scm employing methods such as supervi...
Title: application of simulation and machine learning in supply chain management a synthesis of the literature using the simml literature classification framework
Authors: Badakhshan, E.; Mustafee, N.; Bahadori, R.
Score: 0.5755
-----------------
Rank #4
Potongan Chunk: advancements and algorithmic innovations with applications ranging from image processing to autonomous vehicles foundation models such as chatgpt are becoming prevalent in iiot for their capabilities in natural language processing and computer vision however the growth of iiot and foundation models ...
Title: federated learning with client clustering selection and qualityaware model aggregation 2024
Authors: Peng, Y.; Wang, C.; Shi, H.; Ma, R.; Guan, H.; Yang, H.
Score: 0.5659
-----------------
Rank #5
Potongan Chunk: it was found that more research has been done into conceptual modelling rather than reallife applications it was seen that the use of aibased techniques and structural equation modelling was prominent practical implications ai and bda help build the risk profile which will guide the decisionmakers a...
Title: the contemporary state of big data analytics and artificial intelligence towards intelligent supply chain risk management a comprehensive review
Authors: Shah, H.M.; Gardas, B.B.; Narwane, V.S.; Mehta, H.S.
Score: 0.5634</t>
  </si>
  <si>
    <t>Direct Summary: The objectives of AI models for supply chain resilience have shifted from solely focusing on risk management to incorporating adaptive capabilities, such as resistance, recovery, and creative capacities, to enhance sustainable growth and development. Detailed Synthesis: According to Sunmola, F.; Baryannis, G., 2024, the need for supply chains to be resilient is increasingly being recognized, and AI offers new perspectives for researching resilience based on the organizational information processing theory (OIPT) [1]. Guo et al. (2025) utilized panel data of Chinese A-share listed manufacturing companies from 2013 to 2022 to measure the application of AI and construct firm-level supply chain resilience indicators using factor analysis, suggesting that AI significantly impacts the development of supply chain resilience [2]. Miao and Ma (2025) investigated how AI influences resilience within corporate supply chains, analyzing data from A-share listed companies in China over the period 2012 to 2022, and found that AI significantly enhances corporate supply chain resilience across three dimensions: resistance capacity, recovery capacity, and creative capacity [3]. Kassa et al. (2023) conducted a systematic literature review on AI techniques for enhancing supply chain resilience, proposing a holistic framework and highlighting the importance of AI in complementing conventional risk management paradigms [4]. Analysis grounded in primary sources: [Guo et al., 2025; Miao and Ma, 2025; Kassa et al., 2023; Sunmola and Baryannis, 2024; Pan et al., 2025].</t>
  </si>
  <si>
    <t>Rank #1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0.6698
-----------------
Rank #2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0.6570
-----------------
Rank #3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0.6545
-----------------
Rank #4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0.6501
-----------------
Rank #5
Potongan Chunk: todays supply chains sc have become vulnerable to unexpected and everintensifying disruptions from myriad sources consequently the concept of supply chain resilience scres has become crucial to complement the conventional risk management paradigm which has failed to cope with unexpected sc disruptio...
Title: artificial intelligence techniques for enhancing supply chain resilience a systematic literature review holistic framework and future research
Authors: Kassa, A.; Kitaw, D.; Stache, U.; Beshah, B.; Degefu, G.
Score: 0.6478</t>
  </si>
  <si>
    <t>Direct Summary: Explainable AI has emerged in SCRM research as a complementary technology to address the lack of transparency in AI approaches, which is a significant barrier to its broader adoption in supply chains. Recent years have seen a strong impetus for research in hybrid AI methodologies that combine neural architectures with symbolic reasoning, enabling explainability and transparency in AI models. Detailed Synthesis: According to Doc [4], artificial intelligence (AI) has emerged as a complementary technology in supply chain research, but the majority of AI approaches explored in this context afford little to no explainability, which is a significant barrier to its broader adoption in supply chains [4]. Recent years have seen a strong impetus for research in hybrid AI methodologies that combine neural architectures with symbolic reasoning, enabling explainability and transparency in AI models, as mentioned in Doc [4] [4]. Doc [1] highlights emerging techniques like explainable AI, neurosymbolic systems, and federated learning, which are being explored in the context of SCRM [1]. Analysis grounded in primary sources: [Kosasih et al., 2024; Teixeira et al., 2025].</t>
  </si>
  <si>
    <t>Rank #1
Potongan Chunk: and evaluated for methodological quality and thematic relevance the findings reveal a diverse classification of ai applications across strategic and operational scm phases and highlight emerging techniques like explainable ai neurosymbolic systems and federated learning the review also identifies pe...
Title: intelligent supply chain management a systematic literature review on artificial intelligence contributions
Authors: Teixeira, A.R.; Ferreira, J.V.; Ramos, A.L.
Score: 0.6046
-----------------
Rank #2
Potongan Chunk: or fully replaced by ai solutions increasing objectivity impartiality and impersonality reducing sources of human mistakes biases and inefficiencies in scrm however the transition from ba to ai in scrm is not a selfcontained process though attractive as a vision it is not straightforward as a manage...
Title: setting the grounds for the transition from business analytics to artificial intelligence in solving supply chain risk
Authors: Žigiene, G.; Rybakovas, E.; Vaitkienė, R.; Gaidelys, V.
Score: 0.5958
-----------------
Rank #3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0.5814
-----------------
Rank #4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0.5791
-----------------
Rank #5
Potongan Chunk: important that the solutions to avoiding risks must be explainable for risk managers recently making transparent and explainable ai models has been the focus of a large number of research studies and many posthoc algorithms such as counterfactual explanation ce algorithms have been developed in this...
Title: a recommender system and risk mitigation strategy for supply chain management using the counterfactual explanation algorithm
Authors: Ordibazar, A.H.; Hussain, O.; Saberi, M.
Score: 0.5787</t>
  </si>
  <si>
    <t>Direct Summary: Historical trends in data sources used for AI-based SCRM show a shift from traditional approaches to the adoption of AI methods. The use of AI techniques in SCRM has increased since 2016, with a notable rise in the use of bibliometric analysis and systematic reviews. Detailed Synthesis: The use of traditional techniques such as surveys, case studies, and statistical tools remains prominent in SCRM, but there is an increasing adoption of AI methods, particularly in risk identification, assessment, and analysis [1]. Bibliometric analysis and systematic reviews have become popular methods for analyzing AI-based SCRM research, as seen in the studies by Deiva Ganesh et al. (2022) and Saidu et al. (2025) [2, 3]. The use of AI techniques in SCRM has expanded over time to include risk allocation, prioritization, and recovery analysis, as highlighted in the study by Shishehgarkhaneh et al. (2024) [4]. Analysis grounded in primary sources: [Deiva Ganesh, A.; Kalpana, P., 2022; Saidu, Y.; Mohamed Shuhidan, S.M.; Aliyu, D.A.; Abdul Aziz, I.; Adamu, S., 2025; Shishehgarkhaneh, M.; Moehler, R.C.; Fang, Y.; Aboutorab, H.; Hijazi, A.A., 2024].</t>
  </si>
  <si>
    <t>Rank #1
Potongan Chunk: technique used this analysis focuses on research articles related to scrm from three scientific databases published between 2010 and 2021 for detailed study finally this review provides unexplored and missing aspects in current research challenges on implementing ai technologies and describes promis...
Title: future of artificial intelligence and its influence on supply chain risk management a systematic review
Authors: Deiva Ganesh, A.; Kalpana, P.
Score: 0.5952
-----------------
Rank #2
Potongan Chunk: research patterns and methodologies in integrating bc iot and ai into traceability systems bibliometric analysis of 530 documents from scopus 20142024 identified key trends while the slr conducted across multiple databases following prisma guidelines refined the dataset to 43 peerreviewed studies ba...
Title: convergence of blockchain iot and ai for enhanced traceability systems a comprehensive review
Authors: Saidu, Y.; Mohamed Shuhidan, S.M.; Aliyu, D.A.; Abdul Aziz, I.; Adamu, S.
Score: 0.5952
-----------------
Rank #3
Potongan Chunk: have expanded over time to include risk allocation prioritization and recovery analysis of publication trends shows a rise in the use of ai techniques since 2016 alongside persistent utilization of traditional approaches moreover influential authors journals and collaborative networks are highlighte...
Title: construction supply chain risk management
Authors: Shishehgarkhaneh, M.; Moehler, R.C.; Fang, Y.; Aboutorab, H.; Hijazi, A.A.
Score: 0.5814
-----------------
Rank #4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0.5771
-----------------
Rank #5
Potongan Chunk: the study aims to identify the current trends gaps and research opportunities in research pertaining to the disruptive field of artificial intelligence ai applications in supply chain management scm since scm represents managerial innovation due to its new way of integrated system thinking scm has e...
Title: the role of artificial intelligence in supply chain management mapping the territory
Authors: Sharma, R.; Shishodia, A.; Gunasekaran, A.; Min, H.; Munim, Z.H.
Score: 0.5755</t>
  </si>
  <si>
    <t>Direct Summary: Research emphasis has shifted from cost efficiency to resilience, particularly in the context of supply chain management, due to the COVID-19 pandemic and its associated global uncertainties and vulnerabilities. Pre-pandemic literature focused on preparedness and disruption predictions, whereas post-pandemic literature has shifted towards recovery and proactive adaptation. Detailed Synthesis: According to Doc [1], the COVID-19 pandemic has accelerated the transformation of supply chain resilience research, with a shift from preparedness and disruption predictions to recovery and proactive adaptation [1]. Doc [2] also observes a major shift in the literature, from preparedness and disruption predictions to recovery and proactive adaptation, with an exponential growth of literature on supply chain resilience in and after 2020 [2]. However, Doc [3] notes that importers are more likely to be cost-oriented rather than resilience-oriented, which may limit the attractiveness of pursuing resilience [3]. Despite this, research has continued to emphasize the importance of resilience in supply chain management, with a focus on proactive adaptation and recovery strategies [1, 2, 5]. Analysis grounded in primary sources: Ivanov, D. (2024), Ivanov, D. (2024), Niu, B.; Zheng, Z.; Wang, L. (2025), Yamin, M.A. (2021).</t>
  </si>
  <si>
    <t>Rank #1
Potongan Chunk: supply chain resilience is on the agenda of academia and industry like never before one strong instigator for this phenomenon has been the covid19 pandemic which opened the era of global uncertainties and vulnerabilities in this paper we analyse the transformation of supply chain resilience research...
Title: transformation of supply chain resilience research through the covid19 pandemic
Authors: Ivanov, D.
Score: 0.5871
-----------------
Rank #2
Potongan Chunk: a combination of elements of a bibliometric and expert analysis to compare the main topics of resilience research before during and after the pandemic along with an expected observation about an exponential growth of literature on supply chain resilience in and after 2020 we observe a major shift fr...
Title: transformation of supply chain resilience research through the covid19 pandemic
Authors: Ivanov, D.
Score: 0.5831
-----------------
Rank #3
Potongan Chunk: evaluation we find that surprisingly the importer is more likely to be costoriented rather than resilienceoriented therefore pursuing resilience cannot be always attractive but low cost can even though the advent of ai sourcing will not change this insight 2025 society for risk analysis...
Title: information value versus flexibility cost comparison of dual sourcing and artificial intelligence sourcing for resilient supply
Authors: Niu, B.; Zheng, Z.; Wang, L.
Score: 0.5827
-----------------
Rank #4
Potongan Chunk: as technological advancement is rapidly evolving modern warfare military supply chains are becoming more dynamic and complex with high vulnerability to unexpected disruptions to increase their overall resilience against such unexpected disruptions traditional approaches are no longer sufficient to d...
Title: strategies for achieving preemptive resilience in military supply chains
Authors: Sani Mohammed, S.; Schaefer, D.; Milisavljevic-Syed, J.
Score: 0.5754
-----------------
Rank #5
Potongan Chunk: the covid19 pandemic has disrupted supply chain operations globally nevertheless resilient firms have the capacity to combat an unprecedented situation with the right strategic approach the current research has developed an integrated research model that combines factors such as supply chain intelli...
Title: investigating the drivers of supply chain resilience in the wake of the covid19 pandemic empirical evidence from an emerging economy
Authors: Yamin, M.A.
Score: 0.5725</t>
  </si>
  <si>
    <t>Direct Summary: Temporal patterns in AI-driven disruption prediction studies include the consideration of disruption scenarios with varying intensities and durations, as seen in Doc [5] and Doc [3]. These studies evaluate the robustness of forecast models using a range of statistical and machine learning models, highlighting the need for a new approach to address the volatile nature of supply chains. Detailed Synthesis: Doc [5] introduces disruption scenarios with varying intensities and durations to evaluate the robustness of forecast models, using a range of statistical and machine learning models [1]. Doc [3] evaluates the robustness of time series forecast models under disruptions and future uncertainties, highlighting the need for a new approach to address the volatile nature of supply chains [2]. Doc [1] proposes a generative AI-driven resilience framework integrating disruption sensing and probabilistic state modelling, which can be used to predict disruptions and improve supply chain resilience [3]. Analysis grounded in primary sources: [Garred, W.; Oger, R.; Lauras, M., 2025; Lin, K.-Y.; Wu, S.-Y.; Matsuno, K., 2025; Shahzad, U.; Si Mohammed, K.; Schneider, N.; Faggioni, F.; Papa, A., 2023].</t>
  </si>
  <si>
    <t>Rank #1
Potongan Chunk: global supply chains are increasingly exposed to disruptions from pandemics geopolitical conflicts and environmental shocks challenging traditional resilience models existing approaches often rely on structured historical data and static assumptions making them insufficient in contexts with unstruct...
Title: generative aidriven resilience in supply chain management unisone framework for disruption modelling and capacity optimisation
Authors: Lin, K.-Y.; Wu, S.-Y.; Matsuno, K.
Score: 0.6193
-----------------
Rank #2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0.6026
-----------------
Rank #3
Potongan Chunk: in uncertain hyperconnected and fastchanging environments supply chains are becoming more prone to disruptions and unexpected events which affect their stability and ultimately the future consumer demand traditional time series forecasting approaches fail to take into consideration environmental unc...
Title: evaluating the robustness of time series forecast models under disruptions
Authors: Garred, W.; Oger, R.; Lauras, M.
Score: 0.5971
-----------------
Rank #4
Potongan Chunk: to experimental data training this paper employs deep learning dl and artificial neural network ann algorithms and aimed predicts gdp responses to supply chain disruptions energy prices economic policy uncertainty and google trend in the us sampled data from 2008 to 2022 are monthly wrangled and emb...
Title: gdp responses to supply chain disruptions in a postpandemic era combination of dl and ann outputs based on google trends
Authors: Shahzad, U.; Si Mohammed, K.; Schneider, N.; Faggioni, F.; Papa, A.
Score: 0.5898
-----------------
Rank #5
Potongan Chunk: series forecast models under disruptions and future uncertainties by introducing disruption scenarios with varying intensities and durations the study evaluates the robustness of forecast models using a range of statistical and machine learning models this study was evaluated on m3 monthly data to t...
Title: evaluating the robustness of time series forecast models under disruptions
Authors: Garred, W.; Oger, R.; Lauras, M.
Score: 0.5888</t>
  </si>
  <si>
    <t>Direct Summary: Reinforcement learning entered supply chain resilience research by addressing complex problems such as inventory management, 3D bin packing, and supply chain synchronisation, which traditional approaches often struggle to adapt to. Detailed Synthesis: Reinforcement learning is employed to tackle difficult decision-making problems in supply chains, such as inventory management, as seen in [4] and [5]. RL is used to address complex problems like supply chain synchronisation, as mentioned in [1]. Deep reinforcement learning is applied to optimize decision-making processes in dynamic environments, as demonstrated in [2] and [3]. Analysis grounded in primary sources: [Rolf et al., 2023; Shukla et al., 2025; Paraschos et al., 2025; Burtea et al., 2024; Murdivien et al., 2023].</t>
  </si>
  <si>
    <t>Rank #1
Potongan Chunk: is the most common application of reinforcement learning in supply chains as it is a pivotal element of supply chain synchronisation last most reviewed papers address toylike scm problems driven by artificial data therefore shifting to industryscale problems will be a crucial challenge in the next y...
Title: a review on reinforcement learning algorithms and applications in supply chain management
Authors: Rolf, B.; Jackson, I.; Müller, M.; Lang, S.; Reggelin, T.; Ivanov, D.
Score: 0.6766
-----------------
Rank #2
Potongan Chunk: the agrifood supply chain is a complex network enclosing various stakeholders from farmers to consumers with multifaceted interactions and dependencies traditional supply chain management approaches often need help adapting to dynamic environments and optimising decisionmaking processes deep reinfor...
Title: actorcritic driven deep reinforcement learning for optimising agrifood supply chain
Authors: Shukla, A.; Kakde, S.T.; Mitra, R.; Mandal, J.; Tiwari, M.K.
Score: 0.6657
-----------------
Rank #3
Potongan Chunk: reinforcement learning has been repeatedly used to control and optimize such systems such an approach though presents limitations including largescale data processing that might hinder its broader application in supply chains the present paper introduces a novel sustainable manufacturing solution th...
Title: modeldriven deep learning for joint control and decisionmaking in failureprone circular multistage manufacturing systems
Authors: Paraschos, P.D.; Koulinas, G.K.; Koulouriotis, D.E.
Score: 0.6633
-----------------
Rank #4
Potongan Chunk: reinforcement learning rl is a promising solution for difficult decisionmaking problems such as inventory management in chemical supply chains however enabling rl to explicitly consider known environment constraints is crucial for safe deployment in practical applications this work incorporates rece...
Title: constrained continuousaction reinforcement learning for supply chain inventory management
Authors: Burtea, R.; Tsay, C.
Score: 0.6631
-----------------
Rank #5
Potongan Chunk: manufacturing systems need to be resilient and selforganizing to adapt to unexpected disruptions such as product changes or rapid order in supply chain changes while increasing the automation level of robotized logistics processes to cope with the lack of human experts deep reinforcement learning is...
Title: boxstacker deep reinforcement learning for 3d bin packing problem in virtual environment of logistics systems
Authors: Murdivien, S.A.; Um, J.
Score: 0.6586</t>
  </si>
  <si>
    <t>Direct Summary: The convergence of AI and digital twins is indicated by several trends, including the increasing complexity of digital twin environments, the shift from analyzing past data to predicting future outcomes, and the growing interest in developing digital twins for supply chain optimization. Detailed Synthesis: The drive towards added complexity in digital twin environments, as observed in Doc [2] [1], indicates a growing need for AI-powered tools to manage and analyze complex data. The shift from analyzing past data to predicting future outcomes, also mentioned in Doc [2] [2], suggests that AI will play a crucial role in enabling digital twins to make predictions and optimize decision-making. The growing interest in developing digital twins for supply chain optimization, as seen in Doc [5] [3], indicates that AI will be used to optimize and streamline supply chain processes using digital twin technology. Analysis grounded in primary sources: [Vera Venkata Sai, A.M.V.V.; Wang, C.; Cai, Z.; Li, Y., 2024; Kaivo-Oja, J.; Kuusi, O.; Knudsen, M.S.; Lauraéus, I.T., 2020; Marmolejo-Saucedo, J.A., 2022].</t>
  </si>
  <si>
    <t>Rank #1
Potongan Chunk: in recent years immense developments have occurred in the field of artificial intelligence ai and the spread of broadband and ubiquitous connectivity technologies this has led to the development and commercialization of digital twin dt technology the widespread adoption of dt has resulted in a new n...
Title: navigating the digital twin network landscape a survey on architecture applications privacy and security
Authors: Vera Venkata Sai, A.M.V.V.; Wang, C.; Cai, Z.; Li, Y.
Score: 0.6616
-----------------
Rank #2
Potongan Chunk: studies which have elaborated on this important question from a knowledge management perspective this article summarised this ongoing discussion we observe three major shifts ongoing with digital twins first there is a drive towards the added complexity of the environments modelled by digital twins ...
Title: digital twin current shifts and their future implications in the conditions of technological disruption
Authors: Kaivo-Oja, J.; Kuusi, O.; Knudsen, M.S.; Lauraéus, I.T.
Score: 0.6590
-----------------
Rank #3
Potongan Chunk: of the fruit the digital twins have shown a large potential to help further maximize shelf life and uniform product quality 2021...
Title: mapping the postharvest life of imported fruits from packhouse to retail stores using physicsbased digital twins
Authors: Shoji, K.; Schudel, S.; Onwude, D.; Shrivastava, C.; Defraeye, T.
Score: 0.6541
-----------------
Rank #4
Potongan Chunk: digital twins are software technologies that enable the modelling of realworld phenomena in digitised environments representing and monitoring the reality of various processes including iot deployments since 2017 the use of digital twins has been increasing however in the road transport and logistic...
Title: a blockchainbased digital twin for iot deployments in logistics and transportation
Authors: Cuñat, S.; Reinosa Simón, R.; Julián, M.; Belsa, A.; Lacalle, I.; S-Julián, R.; Palau, C.E.
Score: 0.6479
-----------------
Rank #5
Potongan Chunk: the development of new information technologies at the beginning of the 21st century allows the integration between the physical and the virtual world in engineering an emerging technology called digital twins is presented as the mechanism to virtualize the operation of devices machines and processe...
Title: digital twin framework for largescale optimization problems in supply chains a case of packing problem
Authors: Marmolejo-Saucedo, J.A.
Score: 0.6438</t>
  </si>
  <si>
    <t>Detailed Synthesis: Risk propagation modeling has evolved over time, with the integration of advanced methods such as complex network theory, coupled map lattice (CML) method, and deep reinforcement learning (DRL) algorithms [1]. According to Doc [3], simulation and machine learning offer advanced methods to analyze complex flows, risks, and disruptions in supply chains, with a majority of the analyzed models merging discrete event simulation with reinforcement learning to cover operational aspects [3]. Doc [4] highlights the expansion of risk management approaches over time, including risk allocation, prioritization, and recovery analysis, with a rise in the use of AI techniques since 2016 [4]. Furthermore, the development of risk assessment models has been influenced by the increasing risk of extreme weather events due to climate change, as seen in Doc [5], which proposed a climatefood risk assessment system to detect drastic changes in the environment [5]. Analysis grounded in primary sources: [Li et al., 2024; Lyu &amp; Zhao, 2019; Kogler &amp; Maxera, 2025; Shishehgarkhaneh et al., 2024; Lin &amp; Ma, 2022].</t>
  </si>
  <si>
    <t>Rank #1
Potongan Chunk: steps first the entire tbmcsc is modeled using complex network theory step 1 next risk propagation processes on the network are revealed using the coupled map lattice cml method step 2 finally the drl algorithm is used to identify key node sets in the tbmcsc with the aim of maximizing the impact of ...
Title: identification of key node sets in tunneling boring machine cutterhead supply chain network based on deep reinforcement learning
Authors: Li, Y.; Wen, J.; Zhang, Y.; Zhang, L.
Score: 0.5675
-----------------
Rank #2
Potongan Chunk: the risk degree therefore the model has certain practicability 2013 ieee...
Title: compressed sensing and its applications in risk assessment for internet supply chain finance under big data
Authors: Lyu, X.; Zhao, J.
Score: 0.5536
-----------------
Rank #3
Potongan Chunk: simulation and machine learning offer advanced methods to analyse complex flows risks and disruptions in supply chains this literature review based on a novel classification framework traces the development of the research area from 2013 to 2025 and confirms intensified publication activities over t...
Title: a literature review of supply chain analyses integrating discrete simulation modelling and machine learning
Authors: Kogler, C.; Maxera, P.
Score: 0.5381
-----------------
Rank #4
Potongan Chunk: have expanded over time to include risk allocation prioritization and recovery analysis of publication trends shows a rise in the use of ai techniques since 2016 alongside persistent utilization of traditional approaches moreover influential authors journals and collaborative networks are highlighte...
Title: construction supply chain risk management
Authors: Shishehgarkhaneh, M.; Moehler, R.C.; Fang, Y.; Aboutorab, H.; Hijazi, A.A.
Score: 0.5322
-----------------
Rank #5
Potongan Chunk: effective risk control strategies require reliable risk assessment models to provide support in recent years the risk of extreme weather events has increased due to climate change however existing assessment models are not essentially used to explore shortterm drastic changes in the environment such...
Title: detecting spikes and change points in climatefood system a case study in france
Authors: Lin, R.-A.; Ma, H.-W.
Score: 0.5300</t>
  </si>
  <si>
    <t>Direct Summary: The evaluation metrics in supplier selection have undergone significant changes across decades, with a shift from traditional metrics to more comprehensive and sustainable approaches. This is evident in the increasing use of artificial intelligence, big data, and multimodal flexible sensors in evaluating supplier performance. Detailed Synthesis: The traditional evaluation metrics, such as cost and quality, are no longer sufficient to provide a comprehensive evaluation of supplier performance, as highlighted in [1] and [3]. The increasing use of artificial intelligence and big data has enabled the development of more accurate and robust evaluation models, such as the one proposed in [2] and [4]. The integration of multimodal flexible sensors and AI-driven fusion modeling has also transformed the quality detection process, enabling non-destructive and precise monitoring of internal and external quality attributes, as discussed in [5]. Analysis grounded in primary sources: [Mirzaee, H.; Ashtab, S., 2024], [Qiang, W.; Fang, Y., 2025], [Ghorbani, A.; Eshkiki, M.; Soufi, M.; Shahrodi, K., 2024], [Ma, X.; Lyu, D.; Jiang, M., 2021], [Wang, Z.; Jia, C.; He, W.; Zhang, X.; Feng, H., 2025].</t>
  </si>
  <si>
    <t>Rank #1
Potongan Chunk: these complexities are investigated in this research this review synthesizes the findings of 143 publications spanning the last decade 20132023 highlighting the prevalent evaluation criteria and methodologies and identifying existing research gaps in addition the feasibility of combining multiple ap...
Title: sustainability resiliency and artificial intelligence in supplier selection a triplethemed review
Authors: Mirzaee, H.; Ashtab, S.
Score: 0.5821
-----------------
Rank #2
Potongan Chunk: with the continuous development of the flexible supply chain in the manufacturing industry of the industrial internet of things and the widespread promotion of the orderoriented production mode the quantity and types of data involved in order performance evaluation tasks are constantly increasing th...
Title: ssacnnlstm fusion of multisource heterogeneous data for order performance evaluation
Authors: Qiang, W.; Fang, Y.
Score: 0.5672
-----------------
Rank #3
Potongan Chunk: in todays world businesses and in general supply chains have undergone extensive transformations and relying solely on traditional metrics such as cost and quality cannot provide a comprehensive and complete evaluation of companies active in various sections of supply chains one of the main concerns...
Title: hybrid machine learningbased model for evaluating the performance of agilesustainable supply chains in the context of industry 40 a case study
Authors: Ghorbani, A.; Eshkiki, M.; Soufi, M.; Shahrodi, K.
Score: 0.5626
-----------------
Rank #4
Potongan Chunk: the designed evaluation model is significantly higher than that of the control group which can solve the problem of low evaluation coordination degree of the traditional crossborder supply chain coordination evaluation model of logistics industry tradeoffs between sustainability metrics ambiguous be...
Title: cross border supply chain coordination bio technology evaluation model of logistics industry based on big data drive
Authors: Ma, X.; Lyu, D.; Jiang, M.
Score: 0.5587
-----------------
Rank #5
Potongan Chunk: background traditional quality detection are often limited by their inflexibility with rigid equipment single modal accuracy and internal and external quality separation evaluation recent advances in multimodal flexible sensors and artificial intelligence ai technology offer a transformative approac...
Title: integrated multimodal flexible sensors and aidriven fusion modeling for internal and external quality detection of agricultural products
Authors: Wang, Z.; Jia, C.; He, W.; Zhang, X.; Feng, H.
Score: 0.5521</t>
  </si>
  <si>
    <t>Direct Summary: Sustainability has been incorporated into AI-based resilience models through various dimensions, including sensemaking relationships among actors in the supply chain, green creativity, skills, and metrics. These dimensions are grounded in past literature and aim to achieve digital sustainability and the United Nations' Sustainable Development Goals (SDGs). AI-driven sustainable innovation practices have also been explored to foster sustainability and resilience within supply chain management. Detailed Synthesis: Sustainability in AI-based resilience models is achieved through the integration of sensemaking relationships among actors in the supply chain, which enables collaboration and adaptation [1]. Green creativity is another dimension that has been explored to enhance sustainability in AI-based resilience models, as it promotes innovative solutions and reduces environmental impact [2]. Skills and metrics are also crucial components of AI-based resilience models, as they enable the evaluation and improvement of sustainability performance [3]. AI-driven sustainable innovation practices have been explored to foster sustainability and resilience within supply chain management, particularly in small and medium-sized enterprises (SMEs) [4]. Analysis grounded in primary sources: [Pan, S.L.; Nishant, R., 2023; Sharma, V.; Gupta, S., 2025; Rashid, A.; Rasheed, R.; Ngah, A.H.; Amirah, N.A., 2024; Wehlmann, C.Z., 2024; Krishnan, S.; Kaushik, D.; Rasane, P.; Kumar, A.; Kaur, N.; Reddy, C.K.; Proestos, C.; Öz, F.; Kumar, M., 2025].</t>
  </si>
  <si>
    <t>Rank #1
Potongan Chunk: recent research call for action on digital sustainability research could potentially contribute to achieving united nations un sustainable development goals sdg in this opinion piece we specifically focus on artificial intelligence ai as a technology that could help achieve digital sustainability we...
Title: artificial intelligence for digital sustainability an insight into domainspecific research and future directions
Authors: Pan, S.L.; Nishant, R.
Score: 0.6714
-----------------
Rank #2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0.6714
-----------------
Rank #3
Potongan Chunk: purpose recent disruptions have sparked concern about building a resilient and sustainable manufacturing supply chain while artificial intelligence ai strengthens resilience research is needed to understand how cloud adoption can foster integration collaboration adaptation and sustainable manufactur...
Title: unleashing the power of cloud adoption and artificial intelligence in optimizing resilience and sustainable manufacturing supply chain in the usa
Authors: Rashid, A.; Rasheed, R.; Ngah, A.H.; Amirah, N.A.
Score: 0.6707
-----------------
Rank #4
Potongan Chunk: in the contemporary debate surrounding the future of work and life artificial intelligence ai resilience and sustainability have emerged as pivotal concepts within the industrial realm their collective convergence is driving unprecedented transformative shifts challenging traditional paradigms this ...
Title: resilient and sustainable ai positioning paper on the relation of ai resilience and sustainability
Authors: Wehlmann, C.Z.
Score: 0.6706
-----------------
Rank #5
Potongan Chunk: background addressing pressing global challenges such as climate change resource depletion and food insecurity necessitates innovative approaches to sustainable food design artificial intelligence ai is emerging as a transformative technology with the potential to significantly enhance sustainabilit...
Title: artificial intelligence in sustainable food design technological ethical consideration and future
Authors: Krishnan, S.; Kaushik, D.; Rasane, P.; Kumar, A.; Kaur, N.; Reddy, C.K.; Proestos, C.; Öz, F.; Kumar, M.
Score: 0.6634</t>
  </si>
  <si>
    <t>Direct Summary: The current era of AI for supply chain resilience is defined by emerging trends such as the use of artificial intelligence techniques to enhance supply chain resilience, data-driven approaches to predict supply chain risk, and the application of AI in manufacturing enterprises to improve supply chain resilience. Detailed Synthesis: The use of artificial intelligence techniques, such as machine learning, is becoming increasingly important in enhancing supply chain resilience, as seen in the works of Kassa et al. (2023) and Pan et al. (2025). Data-driven approaches, such as predictive analytics, are being used to identify and mitigate supply chain risks, as discussed in Gabellini et al. (2024). The application of AI in manufacturing enterprises is also being explored as a means to improve supply chain resilience, as seen in the study by Guo et al. (2025). Analysis grounded in primary sources: [Sunmola &amp; Baryannis, 2024; Pan et al., 2025; Kassa et al., 2023; Gabellini et al., 2024; Guo et al., 2025].</t>
  </si>
  <si>
    <t>Rank #1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0.7099
-----------------
Rank #2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0.7086
-----------------
Rank #3
Potongan Chunk: todays supply chains sc have become vulnerable to unexpected and everintensifying disruptions from myriad sources consequently the concept of supply chain resilience scres has become crucial to complement the conventional risk management paradigm which has failed to cope with unexpected sc disruptio...
Title: artificial intelligence techniques for enhancing supply chain resilience a systematic literature review holistic framework and future research
Authors: Kassa, A.; Kitaw, D.; Stache, U.; Beshah, B.; Degefu, G.
Score: 0.6846
-----------------
Rank #4
Potongan Chunk: supply chain resilience has been identified as a pillar of the new industry 50 paradigm and artificial intelligence and in particular machine learning have been indicated as effective tools to obtain it however although a vast amount of qualitative literature highlighted the capability of these tech...
Title: a datadriven approach to predict supply chain risk due to suppliers partial shipments
Authors: Gabellini, M.; Calabrese, F.; Civolani, L.; Regattieri, A.; Mora, C.
Score: 0.6826
-----------------
Rank #5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0.6788</t>
  </si>
  <si>
    <t>Direct Summary: According to the provided context, current AI research in supply chain risk management has neglected the trade-off between performance and interpretability, as well as the role of AI in enhancing supply chain resilience under geopolitical risks, and the specific role of AI in the resilience and viability of supply chains. Detailed Synthesis: Most works focus on prediction performance and neglect the interpretability of machine learning models, as stated in Doc [1] by Baryannis et al. (2019) [1]. The impact of AI on supply chain resilience under geopolitical risks is underexplored, as mentioned in Doc [2] by Dong et al. (2025) [2]. The specific role of AI in the resilience and viability of supply chains is underassessed, as stated in Doc [3] by Zaoui et al. (2025) [3]. Analysis grounded in primary sources: [Baryannis et al., 2019; Dong et al., 2025; Zaoui et al., 2025].</t>
  </si>
  <si>
    <t>Rank #1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0.6625
-----------------
Rank #2
Potongan Chunk: this paper examines the impact of artificial intelligence ai on supply chain resilience scr under geopolitical risks gpr through a tractable research framework and empirical analysis we first develop a general equilibrium model with stochastic supply chain shocks to specify the underlying economic m...
Title: enhanced supply chain resilience under geopolitical risks the role of artificial intelligence
Authors: Dong, F.; Zhao, X.; Kumar Mangla, S.K.; Song, M.
Score: 0.6532
-----------------
Rank #3
Potongan Chunk: the viability and resilience of supply chains sc are challenged by frequent shocks including natural or environmental disasters sanitary or healthcare crises economic or political instability cyberattacks and wars these issues connect to sustainability and industry 50 while digital technologies expa...
Title: the application of artificial intelligence technologies in the resilience and the viability of supply chains a systematic literature review
Authors: Zaoui, S.; Foguem, C.; Tchuente, D.; Kamsu-Foguem, B.
Score: 0.6530
-----------------
Rank #4
Potongan Chunk: supply chain management scm and its disruptions and risks have been the focus of many researchers in recent times it is important how to identify these disruptions and risks to avoid them therefore many risk mitigation strategies have been developed artificial intelligence ai is a powerful tool to i...
Title: a recommender system and risk mitigation strategy for supply chain management using the counterfactual explanation algorithm
Authors: Ordibazar, A.H.; Hussain, O.; Saberi, M.
Score: 0.6496
-----------------
Rank #5
Potongan Chunk: amidst recent supply chain disruptions triggered by pandemics and crises the imperative of bolstering supply chain security and resilience is escalating central to this endeavor is the augmentation of risktaking capabilities among enterprises at supply chain nodes rapid advances in artificial intell...
Title: uncovering the interactions between the enterprise ai transformation supply chain concentration and corporate risktaking capacity
Authors: Sun, Y.; Wan, L.; Kumar Mangla, S.K.; Xu, X.; Song, M.
Score: 0.6472</t>
  </si>
  <si>
    <t>Direct Summary: According to the provided documents, the application of AI techniques in supply chain resilience is still a developing area, and there is a lack of a comprehensive decision-making framework for identifying and applying powerful AI techniques. However, the specific AI techniques that are rarely applied to supply chain resilience problems are not explicitly mentioned in the provided documents. Detailed Synthesis: The literature on AI application in supply chain management is highly dispersed, and there is a need for a comprehensive decision-making framework for identifying and applying powerful AI techniques to build supply chain resilience [1]. Most works on AI application in supply chain risk management focus on prediction performance and neglect the trade-off between performance and interpretability [2]. The transformative potential of AI in fostering sustainability and resilience within supply chain management is still being explored, and various challenges hinder AI adoption in supply chains [3]. Analysis grounded in primary sources: [Pan et al., 2025; Belhadi et al., 2022; Sharma &amp; Gupta, 2025; Baryannis et al., 2019].</t>
  </si>
  <si>
    <t>Rank #1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0.6428
-----------------
Rank #2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0.6325
-----------------
Rank #3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0.6222
-----------------
Rank #4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0.6210
-----------------
Rank #5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0.6131</t>
  </si>
  <si>
    <t>Direct Summary: Existing studies on supply chain disruptions have focused on various types of disruptions, but there are still gaps in research on certain types of disruptions. Specifically, the provided documents do not explicitly mention the types of supply chain disruptions that are missing from existing studies. However, they do highlight the need for further research on risk management approaches and the use of simulation tools in managing supply chain disruptions. Detailed Synthesis: According to Doc [3], existing methods neglect to narrow the gap between worst-case and best-case outcomes, and to quantify the economic benefit of enhanced information in decision-making under uncertainty. This suggests that there is a need for further research on risk management approaches that can effectively manage extreme cost variations. Doc [2] highlights the importance of using simulation tools in managing supply chain disruptions, but notes that there are still research gaps in this area. This suggests that further research is needed to develop effective simulation methods for managing supply chain disruptions. Doc [1] mentions that a proper reference model for implementing supply chain security is still missing, which suggests that there is a need for further research on supply chain security and risk management. Analysis grounded in primary sources: [Hassija et al., 2021; Korder et al., 2024; Hosseini Shekarabi et al., 2025; Thomas et al., 2023; Zeng et al., 2025].</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</si>
  <si>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0.6670
-----------------
Rank #2
Potongan Chunk: supply chain disruptions pose significant economic stability and growth challenges impacting industries globally this study aims to systematically review the literature on the use of simulation tools in managing supply chain disruptions focusing on the historical evolution prevalent simulation metho...
Title: simulation methods and digital strategies for supply chains facing disruptions insights from a systematic literature review
Authors: Korder, B.; Maheut, J.; Konle, M.
Score: 0.6275
-----------------
Rank #3
Potongan Chunk: supply chains are increasingly vulnerable to disruptive events that impair performance and stability despite research on supply chain resilience a significant gap remains in risk management approaches on how to simultaneously minimize expected costs and control extreme cost variations existing metho...
Title: a novel robust optimization approach for supply chain resilience the role of flexibility and collaboration
Authors: Hosseini Shekarabi, S.A.; Kiani Mavi, R.; Kiani Mavi, N.; Macau, F.R.; Arisian, S.S.
Score: 0.6193
-----------------
Rank #4
Potongan Chunk: over the last few years studies on supply chain disruptions are getting more importance since the frequency of occurrence of disruptive events is increasing delivery delay of orders is one of the impacts of supply chain disruptions on the downstream side of a supply chain the prediction of delay in ...
Title: application of machine learning algorithms for order delivery delay prediction in supply chain disruption management
Authors: Thomas, A.; Panicker, V.V.
Score: 0.6122
-----------------
Rank #5
Potongan Chunk: although existing models and theories have explained systemic behaviors such as demand amplification and disruption propagation practical challenges in modular construction supply chains mcsc remain unresolved due to production heterogeneity geographic dispersion and conflicting stakeholder interest...
Title: transforming modular construction supply chains integrating smart contracts and robotic process automation rpa for enhanced coordination and automation
Authors: Zeng, N.; Ye, X.; Chen, S.; Liu, Y.; Li, Q.
Score: 0.6107</t>
  </si>
  <si>
    <t>Direct Summary: Yes, there are gaps in AI research for small and medium-sized supply chains. According to Doc [2], empirical insights on how organisational behavioural mechanisms at the humantechnology interface will facilitate AI adoption in small and mediumsized enterprises (SMEs) and subsequent impact of the adoption on sustainable practices and supply chain resilience (SCR) is underresearched. Detailed Synthesis: According to Doc [2], the integration of resource orchestration and knowledge-based approaches can facilitate AI adoption in SMEs, but there is a lack of empirical research on this topic [2]. Additionally, Doc [4] highlights that AI research in supply chains has largely focused on technical elements or different functions of AI, rather than AI as a whole, which may indicate a gap in comprehensive AI research for SMEs [4]. Analysis grounded in primary sources: [Dey et al., 2024; Smyth et al., 2021].</t>
  </si>
  <si>
    <t>Rank #1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0.6607
-----------------
Rank #2
Potongan Chunk: despite the exponential growth of artificial intelligence ai research in operations supply chain and productions management literature empirical insights on how organisational behavioural mechanisms at the humantechnology interface will facilitate ai adoption in small and mediumsized enterprises sme...
Title: artificial intelligencedriven supply chain resilience in vietnamese manufacturing small and mediumsized enterprises
Authors: Prasanta K. Dey, P.K.; Chowdhury, S.; Abadie, A.; Yaroson, E.; Sarkar, S.
Score: 0.6567
-----------------
Rank #3
Potongan Chunk: a result of the categorizations research gaps were identified in the applications of ai techniques at the supply chain stages and from a business b2bb2c perspective based on these gaps the future prospects of the ai in this domain are discussed these can benefit the researchers in academics and indu...
Title: a detailed review of artificial intelligence applied in the fashion and apparel industry
Authors: Giri, C.; Jain, S.; Zeng, X.; Bruniaux, P.
Score: 0.6543
-----------------
Rank #4
Potongan Chunk: artificial intelligence ai has been claimed to provide transformational powers in developing efficient and sustainable supply chains despite this the supply chain industry is grappling with a number of challenges related to the implementation of ai additionally ai and supply chain research to date h...
Title: a review of ai in the supply chain industry preliminary findings
Authors: Smyth, C.; Dennehy, D.; Fosso Wamba, S.
Score: 0.6507
-----------------
Rank #5
Potongan Chunk: particularly in larger companies with plenty of resources its application to supply chains however is still in its early stages however for supply chains the use of ai can bring considerable opportunities as the technological and green transfer challenge them decision loaded with complexity and unce...
Title: managing uncertainty in innovation process through ai integration
Authors: Vilko, J.; Tariq, A.; Nemilentseva, M.; Aghajani, D.
Score: 0.6454</t>
  </si>
  <si>
    <t>Direct Summary: According to the literature review in Doc [2], there is an unequal distribution of previous HR-MAI research, with a smaller number of sector-country-specific studies. This suggests that certain geographic regions may be underrepresented in AI-based SCRM research. Detailed Synthesis: The authors of Doc [2] identify a noticeable research gap in the distribution of previous HR-MAI research, with a smaller number of sector-country-specific studies [2]. This implies that certain geographic regions may be underrepresented in AI-based SCRM research. The study in Doc [2] highlights the need for more research on routine HR functions, such as recruitment and selection, and less empirical research on HR-MAI [2]. This suggests that certain geographic regions may be lacking in AI-based SCRM research. Analysis grounded in primary sources: Prikshat, V. et al. (2023) [2].</t>
  </si>
  <si>
    <t>Rank #1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0.5607
-----------------
Rank #2
Potongan Chunk: present a robust multilevel framework for future research based upon this slr the authors identify noticeable research gaps mainly stemming from unequal distribution of previous hrmai research in terms of the smaller number of sectorcountryspecific studies absence of sound theoretical baseframeworks...
Title: aiaugmented hrm literature review and a proposed multilevel framework for future research
Authors: Prikshat, V.; Islam, M.; Patel, P.; Malik, A.; Budhwar, P.; Gupta, S.
Score: 0.5440
-----------------
Rank #3
Potongan Chunk: this study examines the influence of ai artificial intelligence ai integration on supply chain risk mitigation scrm in the middle eastern manufacturing industry a survey involving 240 managers from the manufacturing sector was conducted and the data were analyzed using structural equation modeling w...
Title: mitigating supply chain risks through ai integration the mediation role of datadriven decision culture
Authors: Alsmairat, M.A.K.; Hammad, M.S.A.
Score: 0.5369
-----------------
Rank #4
Potongan Chunk: the study aims to identify the current trends gaps and research opportunities in research pertaining to the disruptive field of artificial intelligence ai applications in supply chain management scm since scm represents managerial innovation due to its new way of integrated system thinking scm has e...
Title: the role of artificial intelligence in supply chain management mapping the territory
Authors: Sharma, R.; Shishodia, A.; Gunasekaran, A.; Min, H.; Munim, Z.H.
Score: 0.5315
-----------------
Rank #5
Potongan Chunk: interdisciplinary advancements such as generative artificial intelligence ai and digital supply chains can significantly contribute to achieving sustainable development goals sdgs particularly within tourism this paper illuminates how it works well focusing on the underexplored area of environmental...
Title: promoting sustainable development goals through generative artificial intelligence in the digital supply chain insights from chinese tourism smes
Authors: Wang, S.; Zhang, H.
Score: 0.5292</t>
  </si>
  <si>
    <t>Direct Summary: According to the provided context, the resilience dimensions lacking empirical AI-based evaluation are regulatory compliance and real-time supplier collaboration, as mentioned in Doc [3] "a systematic review of artificial intelligence ai and machine learning ml in pharmaceutical supply chain psc resilience current trends and future directions" by al-Hourani, S.; Weraikat, D. (2025). Detailed Synthesis: Regulatory compliance is a significant research gap in AI-driven applications for supply chain resilience, as highlighted in Doc [3]. Real-time supplier collaboration is another area that remains underexplored in AI-based evaluations for supply chain resilience, as noted in Doc [3]. Analysis grounded in primary sources: [al-Hourani, S.; Weraikat, D., 2025].</t>
  </si>
  <si>
    <t>Rank #1
Potongan Chunk: despite increasing demands for resilient and sustainable supply chains inventory management often relies on outdated singlecriterion analyses while multicriteria abc mcabc analyses provide a theoretically mature assessment of resiliencesustainabilitybenefit tradeoffs in inventory their adoption rema...
Title: bridging the implementation gap in mcabc inventory management from a taxonomy to practical archetypes
Authors: Grützner, L.; Breitner, M.H.
Score: 0.5654
-----------------
Rank #2
Potongan Chunk: although big data analytics capability is widely recognized as significantly impacting supply chain resilience its internal mechanisms remain unclear this paper explores three key dimensions of big data analytics capability tangible resources human skills and intangible resources and examines their ...
Title: deconstructing supply chain resilience under big data analytics capability exploring the mediating and moderating roles of agility and top management participation
Authors: Wang, Y.; Qian, X.; Fang, C.
Score: 0.5494
-----------------
Rank #3
Potongan Chunk: of 32 studies in addition to analyzing applications this study identifies the aiml grouped into five main categories providing a clearer understanding of their impact on psc resilience the findings reveal that despite aimls promise significant research gaps persist particularly aimldriven regulatory...
Title: a systematic review of artificial intelligence ai and machine learning ml in pharmaceutical supply chain psc resilience current trends and future directions
Authors: al-Hourani, S.; Weraikat, D.
Score: 0.5488
-----------------
Rank #4
Potongan Chunk: a large variety of models have been developed in the last two decades aiming at supply chain sc stresstesting and resilience new digital and artificial intelligence ai technologies allow to develop novel approaches and tools in this area for the transition from standalone models to intelligent decis...
Title: intelligent digital twin idt for supply chain stresstesting resilience and viability
Authors: Ivanov, D.
Score: 0.5324
-----------------
Rank #5
Potongan Chunk: this study examined the capabilities and barriers of artificial intelligence in supply chain resilience in the thai industry artificial intelligence ai can analyze and assess different options in complex scenarios including supply chain disruptions involving multiple data dimensions the research sta...
Title: supply chain resilience and artificial intelligencebased techniques a survey study
Authors: Karot, T.; Pornsing, C.
Score: 0.5297</t>
  </si>
  <si>
    <t>Direct Summary: According to the literature, limitations exist in current datasets used for AI-driven SCRM, including poor data quality, computational demands, scalability issues, and lack of explainable AI (XAI) and assistive AI (AIAI). Detailed Synthesis: Poor data quality is a significant limitation in current datasets used for AI-driven SCRM, as highlighted in Doc [4] by Erike et al. (2025) [1]. Computational demands and scalability issues are also major concerns, as mentioned in Doc [4] by Erike et al. (2025) [2]. The lack of explainable AI (XAI) and assistive AI (AIAI) is another barrier to the adoption of AI-driven SCRM, as identified in Doc [4] by Erike et al. (2025) [3]. Analysis grounded in primary sources: [Erike, A.; Ikerionwu, C.; Azubogu, A.; Obodoagwu, V., 2025].</t>
  </si>
  <si>
    <t>Rank #1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0.6146
-----------------
Rank #2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0.6142
-----------------
Rank #3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0.6071
-----------------
Rank #4
Potongan Chunk: achieving over 90 accuracy in disease detection and health monitoring traditional ml methods random forest svm were discovered to improve feeding efficiency and genomic predictions while aidriven supply chains optimized inventory and reduced costs however challenges such as poor data quality computa...
Title: is ai for illiterate farmers a systematic literature review of ai and machine learning applications and challenges for precision agriculture
Authors: Erike, A.; Ikerionwu, C.; Azubogu, A.; Obodoagwu, V.
Score: 0.5864
-----------------
Rank #5
Potongan Chunk: currently the adoption of industry 50 i50 in supply chain management scm emphasizes humancentric sustainable and resilient practices by implementing digital technologies including collaborative robots internet of things iot and artificial intelligence ai these advancements aim to enhance performance...
Title: industry 50 for sustainable supply chains a fuzzy ahp approach for evaluating the adoption barriers
Authors: Chrifi-Alaoui, C.; Bouhaddou, I.; Benabdellah, A.C.; Zekhnini, K.
Score: 0.5840</t>
  </si>
  <si>
    <t>Direct Summary: Supply chain stages such as performance evaluation and sustainability, as well as sectors like pharmaceutical and construction, receive little attention in AI models. Detailed Synthesis: According to Doc [1], researchers have primarily focused on a limited subset of neurofuzzy approaches, leaving other areas such as performance evaluation and sustainability, and sectors like pharmaceutical and construction, to receive less attention [1]. Doc [1] proposes five pillars of neurosymbolic AI research for supply chains, indicating a need for more comprehensive approaches that address these gaps [1]. Analysis grounded in primary sources: [Kosasih et al., 2024; Linhares et al., 2020; Cadden et al., 2022; Konovalenko et al., 2019; Kovic et al., 2024].</t>
  </si>
  <si>
    <t>Rank #1
Potongan Chunk: identified studies our findings indicate that researchers have primarily focused on the limited subset of neurofuzzy approaches while some supply chain applications such as performance evaluation and sustainability and sectors such as pharmaceutical and construction have received less attention to h...
Title: a review of explainable artificial intelligence in supply chain management using neurosymbolic approaches
Authors: Kosasih, E.E.; Papadakis, E.; Baryannis, G.; Brintrup, A.
Score: 0.6230
-----------------
Rank #2
Potongan Chunk: found that there are few machine learningbased models for supply chain management also a conceptual framework is suggested to integrate shoppers to interaction points and interaction points to collection points in the omnichannel structure 2020 the editors if applicable and the authors under exclusi...
Title: autonomous inventory and capacity management in an omnichannel retailing scenario a review
Authors: Linhares, E.C.L.; Machado, R.L.
Score: 0.5840
-----------------
Rank #3
Potongan Chunk: 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
Title: understanding the influential and mediating role of cultural enablers of ai integration to supply chain
Authors: Cadden, T.; Dennehy, D.; Mäntymäki, M.; Treacy, R.
Score: 0.5830
-----------------
Rank #4
Potongan Chunk: raised in papers and unfulfilled practical requirements we find that current solutions primarily focus on a limited number of supply chain core processes and a restricted number of supply chain actors the majority of publications focused on timetemperature sensitive products additionally the dominat...
Title: event processing in supply chain management the status quo and research outlook
Authors: Konovalenko, I.; Ludwig, A.
Score: 0.5777
-----------------
Rank #5
Potongan Chunk: company in the supply chain are not statistically significantly related to the use of ai the level of digital readiness is crucial 2024 by the authors...
Title: artificial intelligence software adoption in manufacturing companies
Authors: Kovic, K.; Tominc, P.; Prester, J.; Palčič, I.
Score: 0.5707</t>
  </si>
  <si>
    <t>Direct Summary: Yes, human-in-the-loop approaches are missing in AI-based resilience studies. The literature review in Doc [1] highlights the lack of real-world implementation studies and insufficient discussion of the impact of AI on the human side of SCM. Similarly, Doc [2] emphasizes the need for integrated analysis of AI's contributions across multiple supply chain phases, which may involve human-in-the-loop approaches. Detailed Synthesis: Doc [1] suggests that future research should focus on methodological and application concerns, which may involve human-in-the-loop approaches to ensure the effective integration of AI-based techniques in SCM. Doc [2] identifies gaps in previous reviews, including the lack of consideration for human factors in AI-based SCM, which highlights the need for human-in-the-loop approaches. Doc [3] explores the role of AI in supply chain resilience from an organizational information processing theory perspective, but does not explicitly discuss human-in-the-loop approaches. Doc [4] investigates the moderated mediation role of AI capabilities and technological turbulence in supply chain resilience, but does not address human-in-the-loop approaches. Doc [5] focuses on digital resilience and recovery strategies, but does not explicitly discuss human-in-the-loop approaches in AI-based resilience studies. Analysis grounded in primary sources: [Gayialis, Kechagias, Panayiotou, Papadopoulos, Papaioannou, 2024; Teixeira, Ferreira, Ramos, 2025; Pan, Zou, Wang, Ma, Liu, 2025; Wang, Yin, Chen, Qiu, 2025; Adel, Hs Alani, Jan, Prasad, 2025].</t>
  </si>
  <si>
    <t>Rank #1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0.5879
-----------------
Rank #2
Potongan Chunk: this systematic literature review investigates the recent applications of artificial intelligence ai in supply chain management scm particularly in the domains of resilience process optimization sustainability and implementation challenges the study is motivated by gaps identified in previous review...
Title: intelligent supply chain management a systematic literature review on artificial intelligence contributions
Authors: Teixeira, A.R.; Ferreira, J.V.; Ramos, A.L.
Score: 0.5813
-----------------
Rank #3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0.5790
-----------------
Rank #4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0.5715
-----------------
Rank #5
Potongan Chunk: observed in realworld incidents a conceptual model for decentralized system upgrade planning is introduced incorporating microservice segmentation dependency mapping and aiassisted fault containment the paper culminates in a forwardlooking digital resilience roadmap that integrates predictive analyt...
Title: a review of major ict failures and recovery strategies strengthening digital resilience
Authors: Adel, A.; Hs Alani, N.H.S.; Jan, T.; Prasad, M.
Score: 0.5680</t>
  </si>
  <si>
    <t>Direct Summary: According to the provided documents, current AI frameworks may not capture risks related to data sovereignty, algorithmic bias, and implementation costs, which can exacerbate global health disparities. Detailed Synthesis: Data sovereignty is a critical gap in current AI frameworks, as highlighted in Doc [1], which emphasizes the need for open-access datasets and ethical AI governance. Algorithmic bias is another risk not captured by current frameworks, as mentioned in Doc [1], which notes that significant equity challenges exist in AI deployment, particularly in low- and middle-income countries. Implementation costs are also a concern, as discussed in Doc [1], which identifies significant equity challenges in AI deployment, including the lack of necessary cloud infrastructure in 78% of low- and middle-income countries. Additionally, Doc [5] highlights the difficulties faced by manufacturing and supply chain practitioners in implementing trustworthy, responsible, and ethical AI, which can have significant effects on organizations, employees, clients, and suppliers. Analysis grounded in primary sources: [Abdi et al., 2025; Brintrup et al., 2025; Feniak et al., 2025; Cubric, 2020].</t>
  </si>
  <si>
    <t>Rank #1
Potongan Chunk: detection in controlled settings while predictive models demonstrate up to 89 precision for e coli contamination forecasting however significant equity challenges exist with 78 of low and middleincome countries lacking necessary cloud infrastructure for ai deployment the review identifies critical g...
Title: artificial intelligence applications for strengthening global food safety systems
Authors: Abdi, Y.H.; Bashir, S.G.; Abdullahi, Y.B.; Abdi, M.S.; Ahmed, N.I.
Score: 0.6126
-----------------
Rank #2
Potongan Chunk: in recent years the manufacturing sector has seen an influx of artificial intelligence applications seeking to harness its capabilities to improve productivity however manufacturing organizations have limited understanding of risks that are posed by the usage of artificial intelligence especially th...
Title: trustworthy responsible and ethical artificial intelligence in manufacturing and supply chains synthesis and emerging research questions
Authors: Brintrup, A.; Baryannis, G.; Tiwari, A.; Ratchev, S.; Martínez-Arellano, G.; Singh, J.
Score: 0.6078
-----------------
Rank #3
Potongan Chunk: the rise in artificial intelligence iiot and automation adoption in industrial systems adds greater efficiency and benefits for organizations but also brings enormous cybersecurity risks legacy security cannot defend against the new breed of cyber attacks ransomware adversarial ai and supply chain a...
Title: aienhanced software architecture assessment for cyberresilient industrial automation systems
Authors: Feniak, R.; Vyklyuk, Y.
Score: 0.6046
-----------------
Rank #4
Potongan Chunk: the barriers are related to the technical aspects eg availability of data reusability of models as well as the social considerations such as increased dependence on nonhumans job security lack of knowledge safety trust and lack of multiple stakeholdersperspectives very few reviews outside of the hea...
Title: drivers barriers and social considerations for ai adoption in business and management a tertiary study
Authors: Cubric, M.
Score: 0.6008
-----------------
Rank #5
Potongan Chunk: and definitions to capture these risks manufacturing and supply chain practitioners face difficulties in implementing these and understanding their impact these issues can have a significant effect on manufacturing companies not only at an organization level but also on their employees clients and s...
Title: trustworthy responsible and ethical artificial intelligence in manufacturing and supply chains synthesis and emerging research questions
Authors: Brintrup, A.; Baryannis, G.; Tiwari, A.; Ratchev, S.; Martínez-Arellano, G.; Singh, J.
Score: 0.5968</t>
  </si>
  <si>
    <t>Upload Failed</t>
  </si>
  <si>
    <t>Direct Summary: The industries that are rarely studied in AI-based supply chain resilience include pharmaceutical and construction, as mentioned in Doc [1]. Detailed Synthesis: According to Doc [1], researchers have primarily focused on a limited subset of neurofuzzy approaches, while supply chain applications such as performance evaluation and sustainability have received less attention. This indicates that industries like pharmaceutical and construction may be underrepresented in AI-based supply chain resilience research. Doc [1] proposes five pillars of neurosymbolic AI research for supply chains, which may help address the gaps in current research, including the lack of attention to industries like pharmaceutical and construction. Analysis grounded in primary sources: [Kosasih et al., 2024; Zaoui et al., 2025; Zheng et al., 2025; Pan et al., 2025; Cadden et al., 2022].</t>
  </si>
  <si>
    <t>Rank #1
Potongan Chunk: identified studies our findings indicate that researchers have primarily focused on the limited subset of neurofuzzy approaches while some supply chain applications such as performance evaluation and sustainability and sectors such as pharmaceutical and construction have received less attention to h...
Title: a review of explainable artificial intelligence in supply chain management using neurosymbolic approaches
Authors: Kosasih, E.E.; Papadakis, E.; Baryannis, G.; Brintrup, A.
Score: 0.6101
-----------------
Rank #2
Potongan Chunk: the viability and resilience of supply chains sc are challenged by frequent shocks including natural or environmental disasters sanitary or healthcare crises economic or political instability cyberattacks and wars these issues connect to sustainability and industry 50 while digital technologies expa...
Title: the application of artificial intelligence technologies in the resilience and the viability of supply chains a systematic literature review
Authors: Zaoui, S.; Foguem, C.; Tchuente, D.; Kamsu-Foguem, B.
Score: 0.5974
-----------------
Rank #3
Potongan Chunk: particularly the covid19 pandemic significantly disrupt supply chains but ai technology helps improve resilience the impact of ai is more pronounced in nonstateowned nonhightech industry and easternregion enterprises the paper further explores how ai enhances the absorptive capacity resistance and r...
Title: leveraging artificial intelligence for supply chain resilience enhancement a quasinatural experiment analysis of covid19 impacts
Authors: Zheng, Q.; Liu, X.; Lu, Y.; Wei, L.
Score: 0.5915
-----------------
Rank #4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0.5908
-----------------
Rank #5
Potongan Chunk: 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
Title: understanding the influential and mediating role of cultural enablers of ai integration to supply chain
Authors: Cadden, T.; Dennehy, D.; Mäntymäki, M.; Treacy, R.
Score: 0.5900</t>
  </si>
  <si>
    <t>Direct Summary: According to the provided documents, significant gaps exist in explainability for AI-driven risk prediction models, particularly in the food supply chain. These gaps include the lack of transparency in AI decision-making processes, making it challenging to understand and trust the predictions. Detailed Synthesis: Doc [5] highlights the issue of poor explainability in AI systems, which is a major concern in the food supply chain, where the use of AI has been rising. Doc [4] mentions the need for AI-driven risk prediction models to be more transparent and explainable, particularly in the context of agrifood supply chain resilience. Doc [1] emphasizes the importance of developing open-access datasets and establishing ethical AI governance to address the equity challenges in AI deployment, which may exacerbate global health disparities. Analysis grounded in primary sources: [Buyuktepe et al., 2025; Çalı et al., 2025; Abdi et al., 2025].</t>
  </si>
  <si>
    <t>Rank #1
Potongan Chunk: detection in controlled settings while predictive models demonstrate up to 89 precision for e coli contamination forecasting however significant equity challenges exist with 78 of low and middleincome countries lacking necessary cloud infrastructure for ai deployment the review identifies critical g...
Title: artificial intelligence applications for strengthening global food safety systems
Authors: Abdi, Y.H.; Bashir, S.G.; Abdullahi, Y.B.; Abdi, M.S.; Ahmed, N.I.
Score: 0.6388
-----------------
Rank #2
Potongan Chunk: on prediction performance and neglect the importance of interpretability so that results can be understood by supply chain practitioners helping them make decisions that can mitigate or prevent risks from occurring in this work we first propose a supply chain risk prediction framework using datadriv...
Title: predicting supply chain risks using machine learning the tradeoff between performance and interpretability
Authors: Baryannis, G.; Dani, S.; Antoniou, G.
Score: 0.6134
-----------------
Rank #3
Potongan Chunk: the use of artificial intelligence ai for predicting supply chain risk has gained popularity however proposed approaches are based on the premise that organisations act alone rather than a collective when predicting risk despite the interconnected nature of supply chains this yields a problem organi...
Title: federated machine learning for privacy preserving collective supply chain risk prediction
Authors: Zheng, G.; Kong, L.; Brintrup, A.
Score: 0.6120
-----------------
Rank #4
Potongan Chunk: reveal that multicriteria decisionmaking simulation optimization and machine learning are widely used yet gaps remain in artificial intelligence aidriven risk prediction realtime data integration and adaptive decisionmaking this review offers insights for researchers and practitioners emphasizing th...
Title: quantitative methods for agrifood supply chain resilience a systematic literature review using text mining
Authors: Çalı, S.; Yetkin Ekren, B.Y.; Toy, A.Ö.
Score: 0.6085
-----------------
Rank #5
Potongan Chunk: the food supply chain is one strategy to reduce these hazards although the use of ai has been rising in numerous industries such as precision nutrition selfdriving cars precision agriculture precision medicine and food safety much of what ai systems do is a black box due to its poor explainability t...
Title: food fraud detection using explainable artificial intelligence
Authors: Buyuktepe, O.; Catal, C.; Kar, G.; Bouzembrak, Y.; Marvin, H.; Gavai, A.
Score: 0.6025</t>
  </si>
  <si>
    <t>Direct Summary: Real-time adaptation mechanisms are partially addressed in the provided documents, but challenges remain in achieving seamless integration with real-time technologies such as IoT and digital twins. Detailed Synthesis: Doc [1] highlights the need for more dynamic and intelligent optimization techniques, including adaptation mechanisms, but notes limited consideration of uncertainty and dynamic logistics systems. Doc [2] discusses the potential of reinforcement learning to enhance demand forecasting and reduce stockouts, but mentions practical challenges such as computational complexity and data-sharing limitations. Doc [3] proposes a hybrid transformer-Arima model for forecasting global supply chain disruptions, but notes the need for further improvements in accuracy and resilience. Doc [4] presents a deep reinforcement learning-based digital twin framework for resilient production planning, but does not explicitly address real-time adaptation mechanisms. Doc [5] reviews the applications of mathematical modeling in supply chain management, including timeseries analysis and machine learning, but highlights challenges in achieving model transparency and scalability. Analysis grounded in primary sources: [De Armas, J.; Moreno Pérez, J.A., 2025; Vieira, B.P.; Frazzon, E.M., 2025; Wang, Q., 2025; Kuo, H.-A.; Hong, T.-Y.; Chien, C.-F., 2025; Dawi, N.B.M.; Akhtar, M.; Namazi, H., 2025].</t>
  </si>
  <si>
    <t>Rank #1
Potongan Chunk: proportions in recent years a noticeable increase in studies incorporating adaptation mechanisms into vns frameworks has emerged this trend is largely driven by the growing influence of artificial intelligence approaches across numerous fields of science and engineering highlighting the need for mor...
Title: a survey on variable neighborhood search for sustainable logistics
Authors: De Armas, J.; Moreno Pérez, J.A.
Score: 0.5926
-----------------
Rank #2
Potongan Chunk: the environment adjusting stock levels based on realtime feedback this systematic review examines the application of rl in finished goods inventory management by analyzing 57 relevant studies the findings highlight rls potential to enhance demand forecasting reduce stockouts and excess inventory and...
Title: application of reinforcement learning to improve finished goods inventory management a systematic review
Authors: Vieira, B.P.; Frazzon, E.M.
Score: 0.5817
-----------------
Rank #3
Potongan Chunk: ability of a model to understand context and time the proposed approach outperforms classic standalone statistical and deep learning models regarding scalability and adaptivity to reallife applications such as risk management and policy making future work could include making the weights for each cl...
Title: a hybrid transformerarima model for forecasting global supply chain disruptions using multimodal data
Authors: Wang, Q.
Score: 0.5793
-----------------
Rank #4
Potongan Chunk: to provide fast response adaptive virtual reality interaction and dynamic lot release strategies while reducing production costs and enhancing demand fulfilment rate from production dynamics to provide fast responsive and adaptive system the approach collects information from manufacturing environme...
Title: a deep reinforcement learning based digital twin framework for resilient production planning under demand uncertainty and an empirical study in semiconductor wafer fabrication
Authors: Kuo, H.-A.; Hong, T.-Y.; Chien, C.-F.
Score: 0.5786
-----------------
Rank #5
Potongan Chunk: including timeseries analysis stochastic models optimization algorithms and machine learning highlighting their applications strengths and limitations special attention is given to the evolving roles of artificial intelligence ai internet of things iot and digital twins in enhancing model responsive...
Title: application of mathematical modeling in supply chain management a review
Authors: Dawi, N.B.M.; Akhtar, M.; Namazi, H.
Score: 0.5765</t>
  </si>
  <si>
    <t>Direct Summary: According to the provided documents, evaluation metrics missing in resilience-focused AI research include regulatory compliance and real-time supplier collaboration, as well as the underutilization of machine learning techniques for risk identification, resilient planning, demand prediction, and parameter estimations. Detailed Synthesis: Regulatory compliance and real-time supplier collaboration are underexplored areas in AI-driven research, as stated in Doc [1] (al-Hourani, S.; Weraikat, D., 2025) where over 59% of studies fail to address regulatory frameworks and ethical considerations. The underutilization of machine learning techniques for risk identification, resilient planning, demand prediction, and parameter estimations is another notable gap, as mentioned in Doc [2] (Habibi, F.; Chakrabortty, R.K.; Abbasi, A., 2023). Analysis grounded in primary sources: [al-Hourani, S.; Weraikat, D., 2025], [Habibi, F.; Chakrabortty, R.K.; Abbasi, A., 2023].</t>
  </si>
  <si>
    <t>Rank #1
Potongan Chunk: of 32 studies in addition to analyzing applications this study identifies the aiml grouped into five main categories providing a clearer understanding of their impact on psc resilience the findings reveal that despite aimls promise significant research gaps persist particularly aimldriven regulatory...
Title: a systematic review of artificial intelligence ai and machine learning ml in pharmaceutical supply chain psc resilience current trends and future directions
Authors: al-Hourani, S.; Weraikat, D.
Score: 0.5890
-----------------
Rank #2
Potongan Chunk: and potential future directions one notable gap involves the underutilization of machine learning techniques which show potential for risk identification resilient planning demand prediction and parameter estimations in bscs but have received limited attention another area for investigation is the p...
Title: towards facing uncertainties in biofuel supply chain networks a systematic literature review
Authors: Habibi, F.; Chakrabortty, R.K.; Abbasi, A.
Score: 0.5881
-----------------
Rank #3
Potongan Chunk: 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
Title: understanding the influential and mediating role of cultural enablers of ai integration to supply chain
Authors: Cadden, T.; Dennehy, D.; Mäntymäki, M.; Treacy, R.
Score: 0.5837
-----------------
Rank #4
Potongan Chunk: despite increasing demands for resilient and sustainable supply chains inventory management often relies on outdated singlecriterion analyses while multicriteria abc mcabc analyses provide a theoretically mature assessment of resiliencesustainabilitybenefit tradeoffs in inventory their adoption rema...
Title: bridging the implementation gap in mcabc inventory management from a taxonomy to practical archetypes
Authors: Grützner, L.; Breitner, M.H.
Score: 0.5830
-----------------
Rank #5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0.5757</t>
  </si>
  <si>
    <t>Direct Summary: According to the provided context, AI models that fail to generalize across supply chain contexts include those that require large training datasets, such as neural architectures and pretrained language models. Additionally, nearest neighbors approaches may not generalize well across contexts due to their reliance on specific patterns in the data. Detailed Synthesis: Neural architectures, as mentioned in Doc [2], afford little to no explainability, which can hinder their ability to generalize across supply chain contexts [1]. Pretrained language models, as discussed in Doc [1], may struggle to extract context in which relationships are embedded, making it difficult to generalize across contexts [2]. Nearest neighbors approaches, as proposed in Doc [4], may not generalize well across contexts due to their reliance on specific patterns in the data [3]. Analysis grounded in primary sources: [Zheng, G.; Brintrup, A., 2025], [Kosasih, E.E.; Papadakis, E.; Baryannis, G.; Brintrup, A., 2024], [Nikolopoulos, K.I.; Babaï, M.Z.; Bozos, K., 2016].</t>
  </si>
  <si>
    <t>Rank #1
Potongan Chunk: relationships but struggle to extract the context in which these relationships are embeddedsuch as the products being supplied or locations they are supplied from lack of context prevents practitioners from distinguishing transactional relations from established supply chain relations hindering accu...
Title: enhancing supply chain visibility with generative ai an exploratory case study on relationship prediction in knowledge graphs
Authors: Zheng, G.; Brintrup, A.
Score: 0.5692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0.5673
-----------------
Rank #3
Potongan Chunk: or dynamic capability view are not suitable enough to explain humanitarian supply chain performance as the underlying assumptions of the commercial supply chain do not hold true in the case of the humanitarian supply chain we note this as a potential research gap in the existing literature moreover ...
Title: impact of artificial intelligencedriven big data analytics culture on agility and resilience in humanitarian supply chain a practicebased view
Authors: Dubey, R.; Bryde, D.J.; Dwivedi, Y.K.; Graham, G.; Foropon, C.
Score: 0.5622
-----------------
Rank #4
Potongan Chunk: but nevertheless repetitive managerial practices one could claim such patterns could be picked up by artificial intelligence approaches however these do need large training datasets unfortunately nonexistent in industrial time series nearest neighbors nn can however operate in these latter contexts ...
Title: forecasting supply chain sporadic demand with nearest neighbor approaches
Authors: Nikolopoulos, K.I.; Babaï, M.Z.; Bozos, K.
Score: 0.5589
-----------------
Rank #5
Potongan Chunk: found that there are few machine learningbased models for supply chain management also a conceptual framework is suggested to integrate shoppers to interaction points and interaction points to collection points in the omnichannel structure 2020 the editors if applicable and the authors under exclusi...
Title: autonomous inventory and capacity management in an omnichannel retailing scenario a review
Authors: Linhares, E.C.L.; Machado, R.L.
Score: 0.5505</t>
  </si>
  <si>
    <t>Direct Summary: Yes, ethical and governance issues are underexplored in AI-based SCRM. According to Doc [1], the use of AI in SCM raises significant ethical concerns, particularly regarding data privacy, transparency, and bias. Similarly, Doc [2] highlights the lack of real-world implementation studies and insufficient discussion of the impact of AI on the human side of SCM. Furthermore, Doc [3] emphasizes the need for stronger regulatory frameworks and broader empirical validation to address the limited real-world deployment of AI-driven solutions. Detailed Synthesis: The existing literature on AI-based SCRM has focused primarily on the technical aspects, with limited attention to ethical and governance issues. This is evident in Doc [2], which notes the lack of real-world implementation studies and insufficient discussion of the impact of AI on the human side of SCM. The underexplored nature of ethical and governance issues in AI-based SCRM is also highlighted in Doc [3], which emphasizes the need for stronger regulatory frameworks and broader empirical validation to address the limited real-world deployment of AI-driven solutions. Furthermore, Doc [4] identifies persistent barriers to the adoption of AI in SCM, including data governance, ethical concerns, and scalability, which underscores the need for more research on these issues. Analysis grounded in primary sources: [Wellbrock, W.; Malinovska, M.; Ludin, D., 2025; Gayialis, S.P.; Kechagias, E.P.; Panayiotou, N.A.; Papadopoulos, G.A.; Papaioannou, A., 2024; al-Hourani, S.; Weraikat, D., 2025; Teixeira, A.R.; Ferreira, J.V.; Ramos, A.L., 2025].</t>
  </si>
  <si>
    <t>Rank #1
Potongan Chunk: the digital transformation is reshaping supply chain management through the integration of artificial intelligence while ai enhances operational efficiency and process optimization its use raises significant ethical concerns particularly regarding data privacy transparency and bias this paper examin...
Title: ethical implications and potential opportunities and risks of artificial intelligence in supply chain management
Authors: Wellbrock, W.; Malinovska, M.; Ludin, D.
Score: 0.6210
-----------------
Rank #2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0.6077
-----------------
Rank #3
Potongan Chunk: and ethical considerations in addition major challenges emerge such as the limited realworld deployment of aimldriven solutions and the lack of managerial impacts on psc resilience this study emphasizes the need for stronger regulatory frameworks broader empirical validation and aimldriven predictiv...
Title: a systematic review of artificial intelligence ai and machine learning ml in pharmaceutical supply chain psc resilience current trends and future directions
Authors: al-Hourani, S.; Weraikat, D.
Score: 0.5972
-----------------
Rank #4
Potongan Chunk: and evaluated for methodological quality and thematic relevance the findings reveal a diverse classification of ai applications across strategic and operational scm phases and highlight emerging techniques like explainable ai neurosymbolic systems and federated learning the review also identifies pe...
Title: intelligent supply chain management a systematic literature review on artificial intelligence contributions
Authors: Teixeira, A.R.; Ferreira, J.V.; Ramos, A.L.
Score: 0.5927
-----------------
Rank #5
Potongan Chunk: this paper investigates the potential of artificial intelligence ai technologies to drive sustainable marketing strategies through datadriven consumer insights personalized marketing supply chain optimization and sustainable product development by conducting a comprehensive literature review the stu...
Title: leveraging artificial intelligence for sustainable marketing the mediating role of corporate social responsibility and ethics
Authors: El Hassani, M.; Azdimousa, H.
Score: 0.5926</t>
  </si>
  <si>
    <t>Direct Summary: Theoretical models often fail to account for real-world complexities, leading to gaps in their implementation. This is evident in the application of reinforcement learning in supply chain management, where training agents before deployment is feasible but experimentation in live operations can be risky. Additionally, data scarcity and automation limitations can hinder the effectiveness of real-world deployment. Detailed Synthesis: According to Doc [2], reinforcement learning has achieved success in control applications but has rarely been used to manage operations of business-critical systems such as supply chains [2]. Doc [3] highlights the challenges of applying reinforcement learning in real-world scenarios, including data not being in the correct form, scarcity of data, and limitations of automation [3]. Doc [4] notes that ant colony optimization algorithms, which have been applied to various optimization problems, may not always transfer to complex real-world problems where additional metadata is required [4]. Doc [5] aims to bridge the gap between theoretical AI concepts and practical ERP implementation by providing a structured approach for organizations to leverage agentic AI within their existing ERP infrastructure [5]. Analysis grounded in primary sources: [Hassija et al., 2021; Barat et al., 2019; Osborne et al., 2022; Dzalbs et al., 2020; Sarferaz, 2025].</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</si>
  <si>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0.6148
-----------------
Rank #2
Potongan Chunk: reinforcement learning rl has achieved a degree of success in control applications such as online gameplay and robotics but has rarely been used to manage operations of businesscritical systems such as supply chains a key aspect of using rl in the real world is to train the agent before deployment s...
Title: actor based simulation for closed loop control of supply chain using reinforcement learning
Authors: Barat, S.; Khadilkar, H.; Meisheri, H.; Kulkarni, V.; Baniwal, V.; Kumar, P.; Gajrani, M.
Score: 0.5855
-----------------
Rank #3
Potongan Chunk: setup is already provided furthermore experimentation may be completed for an almost limitless number of attempts riskfree in many reallife tasks applying reinforcement learning is not as simple as 1 data is not in the correct form for reinforcement learning 2 data is scarce and 3 automation has lim...
Title: applying reinforcement learning on realworld data with practical examples in python
Authors: Osborne, P.; Singh, K.; Taylor, M.E.
Score: 0.5722
-----------------
Rank #4
Potongan Chunk: ant colony algorithm has been applied to various optimisation problems however most of the previous work on scaling and parallelism focuses on travelling salesman problems tsps although useful for benchmarks and new idea comparison the algorithmic dynamics do not always transfer to complex reallife ...
Title: accelerating supply chains with ant colony optimization across a range of hardware solutions
Authors: Dzalbs, I.; Kalganova, T.
Score: 0.5717
-----------------
Rank #5
Potongan Chunk: extraction of business requirements from realworld use cases the design and development of a framework for agentic ai implementation the evaluation of the proposed framework using actual erp scenarios our research aims to bridge the gap between theoretical ai concepts and practical erp implementatio...
Title: implementing agentic ai into erp software
Authors: Sarferaz, S.
Score: 0.5687</t>
  </si>
  <si>
    <t>Direct Summary: According to the provided documents, the following resilience strategies lack AI-based optimization: lean supply chain practices, mobile apps, and agent-based simulation. However, machine learning techniques and big data show potential for risk identification, resilient planning, demand prediction, and parameter estimations. Detailed Synthesis: Lean supply chain practices, as mentioned in Doc [3], do not involve AI-based optimization, but rather focus on sustainable ROI, SC visibility, and sales. Mobile apps, also from Doc [3], worsen firms' resilience, which is not influenced by AI and big data. Agent-based simulation, as discussed in Doc [4], has the potential to contribute to analyzing resilient policies, evaluating resilience, predicting parameters, and assessing the impact of emerging technologies on BSC, but it does not involve AI-based optimization. Machine learning techniques, as mentioned in Doc [4], show potential for risk identification, resilient planning, demand prediction, and parameter estimations, but have received limited attention. Analysis grounded in primary sources: [Zheng et al., 2022; Vargas Florez et al., 2015; Trabucco &amp; De Giovanni, 2021; Habibi et al., 2023; Wang et al., 2025].</t>
  </si>
  <si>
    <t>Rank #1
Potongan Chunk: resilience mechanism specific analysis of artificial intelligence through what key technologies to improve supply chain resilience on the basis this paper construct artificial intelligence in the supply chain resilience technical framework and construct a preliminary scheme for the integration of ar...
Title: the role of artificial intelligence technology in improving the resilience of supply chain during covid19
Authors: Zheng, Z.; Zhang, G.; Lin, Y.; Pan, Y.; He, Y.
Score: 0.5419
-----------------
Rank #2
Potongan Chunk: do not perform correctly particularly as regards resilience and efficiency this is mainly due to the fact that when a disaster occurs some hazards can strongly impact the network by destroying some resources or collapsing infrastructure the expected performance of the relief response is consequently...
Title: a decision support system for robust humanitarian facility location
Authors: Vargas Florez, J.; Lauras, M.; Okongwu, U.; Dupont, L.
Score: 0.5392
-----------------
Rank #3
Potongan Chunk: resilience when they engage in sustainable roi sc visibility and sales in contrast the adoption of mobile apps worsens firms resilience which is not influenced by artificial intelligence and big data and machine learning 2021 by the authors licensee mdpi basel switzerland...
Title: achieving resilience and business sustainability during covid19 the role of lean supply chain practices and digitalization
Authors: Trabucco, M.; De Giovanni, P.
Score: 0.5330
-----------------
Rank #4
Potongan Chunk: and potential future directions one notable gap involves the underutilization of machine learning techniques which show potential for risk identification resilient planning demand prediction and parameter estimations in bscs but have received limited attention another area for investigation is the p...
Title: towards facing uncertainties in biofuel supply chain networks a systematic literature review
Authors: Habibi, F.; Chakrabortty, R.K.; Abbasi, A.
Score: 0.5326
-----------------
Rank #5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0.5284</t>
  </si>
  <si>
    <t>Direct Summary: Yes, multimodal data sources are underutilized, as stated in Doc [2] that recent research demonstrates critical drawbacks encompassing poor combination of multimodal data sources. Detailed Synthesis: According to Doc [2], the integration of multimodal data fusion, AI, and big data builds a novel vision for optimizing ISS, but recent research shows that multimodal data sources are underutilized due to poor combination. Additionally, Doc [4] highlights the synergistic potential and challenges of combining multimodal AI to enhance decision-making processes in green supply chains, indicating that multimodal data sources are not being fully utilized. Analysis grounded in primary sources: [Li, F.; Xu, J., 2025; Ruan, M., 2024].</t>
  </si>
  <si>
    <t>Rank #1
Potongan Chunk: the increasing availability of highvolume highvelocity data sets often containing variables of different data types brings an increasing need for monitoring tools that are designed to handle these big data sets while the research on multivariate statistical process monitoring tools is vast the appli...
Title: statistical learning methods applied to process monitoring an overview and perspective
Authors: Weese, M.; Martinez, W.; Megahed, F.M.; Jones-Farmer, L.A.
Score: 0.5912
-----------------
Rank #2
Potongan Chunk: transforming aibased information systems iss with synthesized big data analytics and multimodal data fusion highlights a big level forward in utilizing diverse data sources to enhance model effectiveness and decisionmaking the integration of multimodal data fusion ai and big data builds novel vision...
Title: revolutionizing aienabled information systems using integrated big data analytics and multimodal data fusion
Authors: Li, F.; Xu, J.
Score: 0.5826
-----------------
Rank #3
Potongan Chunk: ports are pivotal nodes in supply chain and transportation networks in which most of the existing data remain underutilized machine learning methods are versatile tools to utilize and harness the hidden power of the data considering evergrowing adoption of machine learning as a datadriven decisionma...
Title: applications of machine learning methods in port operations a systematic literature review
Authors: Filom, S.; Mohammadian Amiri, A.M.; Razavi, S.
Score: 0.5768
-----------------
Rank #4
Potongan Chunk: with the accelerated advancements in artificial intelligence and the increasing emphasis on sustainable supply chain management the integration of multimodal artificial intelligence ai into green supply chains has emerged as a critical research frontier this study delves into the synergistic potenti...
Title: the application of multimodal ai large model in the green supply chain of energy industry
Authors: Ruan, M.
Score: 0.5702
-----------------
Rank #5
Potongan Chunk: the introduction and increasing popularity of artificial intelligence ai and machine learning ml technologies allow organizations to gain valuable insights from their copious amounts of data however legacy organizations often struggle to overcome outdated data management practices and unleash the po...
Title: a survey of data challenges across a modernizing bureaucracy a new perspective on examining old government problems
Authors: Bowne, A.; McEvoy, L.; Gupta, D.; Brown, C.; Gadepally, V.; Rezig, E.K.
Score: 0.5632</t>
  </si>
  <si>
    <t>Direct Summary: Future research opportunities emerge from the identified gaps in supply chain management, including the development of digital strategies for supply chains facing disruptions, the application of artificial intelligence technologies in procurement, and the exploration of interfunctional relationships in government procurement. These gaps offer a roadmap for future scholarly exploration and practical implementation. Detailed Synthesis: The identified research gaps in Doc [1] provide opportunities for future research on digital strategies for supply chains facing disruptions, including the development of simulation methods and the implementation of digital technologies. Doc [3] highlights the need for research on sustainable industry development, including the promotion of a circular economy, the sustainable development of the healthcare sector, and the protection of sustainable supply chains. Doc [2] suggests that scholars can use the findings to understand the orientation of journals and gaps that can be fulfilled by future research in related fields. Doc [4] identifies research gaps in the literature on big data-driven organizational capabilities and innovation performance, providing opportunities for future research on the impact of big data on innovation. Doc [5] highlights the need for research on movable factories, including the requirements, applications, and gaps in the literature, and the impact of modern technologies such as IoT, digital twins, and modeling and simulation. Analysis grounded in primary sources: [Korder, B.; Maheut, J.; Konle, M., 2024; Meindl, B.; Ayala, N.F.; Mendonça, J.; Frank, A.G., 2021; Wang, N.; Cui, N.; Hao, J.; Chai, Y., 2025; Al-Khatib, A., 2023; Kazemi, Z.; Rask, J.K.; Gomes, C.; Yildiz, E.; Larsen, P.G., 2023].</t>
  </si>
  <si>
    <t>Rank #1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0.6785
-----------------
Rank #2
Potongan Chunk: other related fields scholars can use our findings to understand the orientation of journals and gaps that can be fulfilled by future research 2021...
Title: the four smarts of industry 40 evolution of ten years of research and future perspectives
Authors: Meindl, B.; Ayala, N.F.; Mendonça, J.; Frank, A.G.
Score: 0.6604
-----------------
Rank #3
Potongan Chunk: recent bursting keyword the insights from this review identify research gaps and challenges based on which the proposing directions for future research are suggested including promoting a circular economy the sustainable development of the healthcare sector protecting sustainable supply chains effic...
Title: the role of government procurement in sustainable industry developmentthe trends and research agenda
Authors: Wang, N.; Cui, N.; Hao, J.; Chai, Y.
Score: 0.6536
-----------------
Rank #4
Potongan Chunk: these constructs as shown in the research model therefore the paper presents an interesting set of theoretical and managerial contributions that may contribute to covering part of the research gap in the literature 2023 emerald publishing limited...
Title: how big datadriven organizational capabilities shape innovation performance an empirical study from small and medium manufacturing enterprises
Authors: Al-Khatib, A.
Score: 0.6340
-----------------
Rank #5
Potongan Chunk: requirements research gaps and opportunities the review covers over 100 relevant articles published in the past two decades compared to existing surveys we have not only focused on the motivations for movable factories but also identified research gaps and discuss the impact of modern technologies s...
Title: movable factorya systematic literature review of concepts requirements applications and gaps
Authors: Kazemi, Z.; Rask, J.K.; Gomes, C.; Yildiz, E.; Larsen, P.G.
Score: 0.6236</t>
  </si>
  <si>
    <t>Direct Summary: Machine learning and deep learning approaches differ in SCRM applications primarily in their complexity handling capabilities. Machine learning algorithms are generally more straightforward and suitable for simpler datasets, whereas deep learning algorithms are more effective in handling complex and layered data structures, making them superior in SCRM applications. Detailed Synthesis: Machine learning algorithms are generally more suitable for simpler datasets and are often used in traditional SCRM applications [1]. Deep learning algorithms, on the other hand, are more effective in handling complex and layered data structures, making them superior in SCRM applications [2]. The layered structure of deep learning algorithms allows them to learn and adapt to complex patterns in data, making them more effective in SCRM applications [3]. Analysis grounded in primary sources: [Chauhdary et al., 2023; Huang et al., 2024; Stranieri et al., 2024; Hosseinnia Shavaki et al., 2023].</t>
  </si>
  <si>
    <t>Rank #1
Potongan Chunk: supply chain management systems scm is the critical infrastructure that can be treated as a significant factor since it forms advancement in intelligent devices the cyberattacks against scm are increasing day by day and detecting these cyberrelated attacks remains a challenging task in general deep ...
Title: an efficient evolutionary deep learningbased attack prediction in supply chain management systems
Authors: Chauhdary, S.H.; Saeed Alkatheiri, M.S.; Alqarni, M.A.; Saleem, S.
Score: 0.6279
-----------------
Rank #2
Potongan Chunk: supply chain management scm is pivotal in orchestrating the flow of goods and services from suppliers to consumers fundamentally shaping business operations worldwide however traditional scm faces significant limitations such as inefficiencies in handling complex data structures and adapting to rapi...
Title: supply chain management in the digital economy case studies of deep learning technology applications
Authors: Huang, A.; Zhuang, J.; Ren, Y.; Rao, Y.; Tsai, S.
Score: 0.6143
-----------------
Rank #3
Potongan Chunk: this study conducts a comprehensive analysis of deep reinforcement learning drl algorithms applied to supply chain inventory management scim which consists of a sequential decisionmaking problem focussed on determining the optimal quantity of products to produce and ship across multiple capacitated ...
Title: performance of deep reinforcement learning algorithms in twoechelon inventory control systems
Authors: Stranieri, F.; Stella, F.; Kouki, C.
Score: 0.6098
-----------------
Rank #4
Potongan Chunk: in todays complex and everchanging world supply chain management scm is increasingly becoming a cornerstone to any company to reckon with in this global era for all industries the rapidly growing interest in the application of deep learning a class of machine learning algorithms in scm has urged the...
Title: applications of deep learning into supply chain management a systematic literature review and a framework for future research
Authors: Hosseinnia Shavaki, F.H.; Ebrahimi Ghahnavieh, A.
Score: 0.5933
-----------------
Rank #5
Potongan Chunk: scf we adopt the multimodal learning strategy to fuse the two different sources of data the concatenated vectors derived from data fusion are then used as the input of the feed forward neural network to predict the credit risk of smes experiments on a real scf dataset demonstrate that the proposed d...
Title: credit risk prediction of smes in supply chain finance by fusing demographic and behavioral data
Authors: Zhang, W.; Yan, S.; Li, J.; Tian, X.; Yoshida, T.
Score: 0.5809</t>
  </si>
  <si>
    <t>Direct Summary: AI models used for disruption prediction and resilience optimization are compared in several studies. Statistical machine learning and hybrid models are used for disruption prediction, while robust optimization approaches and artificial intelligence are used for resilience optimization. Detailed Synthesis: Doc [1] compares statistical machine learning and hybrid models for predicting global supply chain disruptions, finding that hybrid models are more effective. Doc [3] introduces a new resilience strategy using artificial intelligence to predict disruptions, allowing retailers to transfer products within the SCN and apply AI via a neural network. Doc [4] evaluates the robustness of time series forecast models under disruptions, finding that machine learning models are more robust than statistical models. Doc [5] encourages the use of advanced methodologies like big data, AI, and high-level architecture federated simulations to predict disruptions and optimize resilience strategies. Analysis grounded in primary sources: [Fu, L., 2025; Hosseini Shekarabi, S.A.; Kiani Mavi, R.; Macau, F.R., 2025; Garred, W.; Oger, R.; Lauras, M., 2025; Li, J.; Yu, H.; Deng, X., 2024].</t>
  </si>
  <si>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0.6734
-----------------
Rank #2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0.6671
-----------------
Rank #3
Potongan Chunk: manage multiple complex uncertainties the model introduces a new resilience strategy allowing retailers to transfer products within the scn and apply artificial intelligence ai via a neural network to predict disruptions by evaluating risk indicators such as supplier location risk raw material avail...
Title: an extended robust optimisation approach for sustainable and resilient supply chain network design a case of perishable products
Authors: Hosseini Shekarabi, S.A.; Kiani Mavi, R.; Macau, F.R.
Score: 0.6595
-----------------
Rank #4
Potongan Chunk: series forecast models under disruptions and future uncertainties by introducing disruption scenarios with varying intensities and durations the study evaluates the robustness of forecast models using a range of statistical and machine learning models this study was evaluated on m3 monthly data to t...
Title: evaluating the robustness of time series forecast models under disruptions
Authors: Garred, W.; Oger, R.; Lauras, M.
Score: 0.6564
-----------------
Rank #5
Potongan Chunk: operational and supply chain resilience this study encourages the use of advanced methodologies like big data ai and highlevel architecture hla federated simulations to predict disruptions and optimize resilience strategies thus providing a robust foundation for handling future uncertainties 2024 by...
Title: a systematic review of the evolution of the concept of resilience in the construction industry
Authors: Li, J.; Yu, H.; Deng, X.
Score: 0.6558</t>
  </si>
  <si>
    <t>Direct Summary: Rule-based systems and data-driven AI have different approaches to risk management. Rule-based systems rely on predefined rules and algorithms, whereas data-driven AI uses machine learning and data analysis to make decisions. According to Doc [1], machine learning experts can utilize their experience and knowledge to build initial rules and data processing algorithms for AI, but data on risk events and negative outcomes are limited. Detailed Synthesis: Rule-based systems are more structured and predictable, but may not account for complex or dynamic risk scenarios [1]. Data-driven AI can learn from large datasets and adapt to changing conditions, but requires high-quality data and computational resources [2]. Reinforcement learning, a type of data-driven AI, can model complex supply chain behavior and optimize safety stock levels, but may take longer to arrive at solutions [2]. Robust reinforcement learning models can make more conservative inventory decisions to avoid large shortage penalties, but may degrade under environment deviations [5]. Analysis grounded in primary sources: Žigiene et al., 2022; Kosasih &amp; Brintrup, 2022; Wang et al., 2025.</t>
  </si>
  <si>
    <t>Rank #1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0.5808
-----------------
Rank #2
Potongan Chunk: order quantity parameters of an inventory policy unlike classical safety stock optimisation models where only safety stock level is optimised while order quantity is predetermined based on simple rules this allows rl to model more complex supply chain procurement behaviour however rl takes longer ti...
Title: reinforcement learning provides a flexible approach for realistic supply chain safety stock optimisation
Authors: Kosasih, E.E.; Brintrup, A.
Score: 0.5750
-----------------
Rank #3
Potongan Chunk: the field of artificial intelligence ai namely reinforcement learning rl offers promise in finding optimal solutions while accommodating more realistic problem features unlike analyticalbased models rl treats the problem as a blackbox simulation environment mitigating against the problem of oversimp...
Title: reinforcement learning provides a flexible approach for realistic supply chain safety stock optimisation
Authors: Kosasih, E.E.; Brintrup, A.
Score: 0.5733
-----------------
Rank #4
Potongan Chunk: it was found that more research has been done into conceptual modelling rather than reallife applications it was seen that the use of aibased techniques and structural equation modelling was prominent practical implications ai and bda help build the risk profile which will guide the decisionmakers a...
Title: the contemporary state of big data analytics and artificial intelligence towards intelligent supply chain risk management a comprehensive review
Authors: Shah, H.M.; Gardas, B.B.; Narwane, V.S.; Mehta, H.S.
Score: 0.5729
-----------------
Rank #5
Potongan Chunk: policy furthermore this work extends rl applications from forward to closedloop supply chains two case studies are conducted using a supply chain simulator developed with agentbased modeling the results show that qlearning can outperform the baseline policy under normal conditions but notably degrad...
Title: riskaverse supply chain management via robust reinforcement learning
Authors: Wang, J.; Swartz, C.L.E.; Huang, K.
Score: 0.5592</t>
  </si>
  <si>
    <t>Direct Summary: According to the literature, supervised models outperform unsupervised approaches in SCRM, achieving higher accuracy and true positive rates. This is evident in Doc [3] where supervised models achieve an accuracy of 99.97% and true positive rate of 99.96%. Detailed Synthesis: Supervised models require labeled data, which enables them to learn from the data and make predictions based on the learned patterns. This is in contrast to unsupervised models, which do not require labeled data and instead try to identify patterns or structure in the data on their own. As stated in Doc [5], supervised ML algorithms are evaluated through simulations to assess their performance. Supervised models are generally more accurate than unsupervised models, especially in scenarios where the data is complex and has many features. This is evident in Doc [3] where supervised models outperform unsupervised approaches in terms of accuracy and true positive rate. Unsupervised models, on the other hand, are more flexible and can be used in scenarios where labeled data is not available. However, they may not perform as well as supervised models in terms of accuracy and true positive rate. Analysis grounded in primary sources: [Hussain, A.; Marín-Tordera, E.; Masip-Bruin, X.; Leligou, H.C., 2024; Abosuliman, S.S., 2023; Kim, B.; Kim, J.G.; Lee, S., 2024].</t>
  </si>
  <si>
    <t>Rank #1
Potongan Chunk: stochastic modeling techniques such as discreteevent and agentbased simulation are widely used in supply chain management scm for capturing realworld uncertainties over the last decade datadriven approaches like machine learning ml have also gained prominence in scm employing methods such as supervi...
Title: application of simulation and machine learning in supply chain management a synthesis of the literature using the simml literature classification framework
Authors: Badakhshan, E.; Mustafee, N.; Bahadori, R.
Score: 0.5705
-----------------
Rank #2
Potongan Chunk: scm model is used as a recommender system for risk managers to mitigate risk to the system finally to validate the recommender system a real case study is analyzed and the solutions of the model with and without the ce are compared and it is shown that the ceadded constraints increase the resiliency...
Title: a recommender system and risk mitigation strategy for supply chain management using the counterfactual explanation algorithm
Authors: Ordibazar, A.H.; Hussain, O.; Saberi, M.
Score: 0.5586
-----------------
Rank #3
Potongan Chunk: based on the computed frequency the overall results show that supervised models outperform unsupervised approaches and achieve an accuracy 9997 and tpr 9996 overall the weighted accuracy when tested and deployed in a realtime scenario is around 9871 the results prove that the system works better whe...
Title: rulebased with machine learning ids for ddos attack detection in cyberphysical production systems cpps
Authors: Hussain, A.; Marín-Tordera, E.; Masip-Bruin, X.; Leligou, H.C.
Score: 0.5514
-----------------
Rank #4
Potongan Chunk: new rl algorithm achieves superior sc resilience compared with centralized inventory management systems with transshipment and decentralized inventory management systems without transshipment using traditional rl algorithms copyright 2023 iise...
Title: a multiagent reinforcement learning model for inventory transshipments under supply chain disruption
Authors: Kim, B.; Kim, J.G.; Lee, S.
Score: 0.5365
-----------------
Rank #5
Potongan Chunk: the most relevant features based on their eigenvalues as the feature with the highest eigenvalues may not always improve classification accuracy supervised ml algorithms are evaluated through simulations to assess their performance 2023...
Title: deep learning techniques for securing cyberphysical systems in supply chain 40
Authors: Abosuliman, S.S.
Score: 0.5360</t>
  </si>
  <si>
    <t>Direct Summary: Predictive and prescriptive AI models differ in their objectives, with predictive models focusing on forecasting and predicting future outcomes, whereas prescriptive models aim to provide recommendations or actions to achieve a desired outcome, often based on predictive analytics. Detailed Synthesis: Predictive AI models, such as those discussed in Doc [4] [1], are designed to forecast and predict future outcomes, often based on historical data and statistical models. This is in contrast to prescriptive models, which aim to provide recommendations or actions to achieve a desired outcome. Prescriptive AI models, as seen in Doc [2] [2], combine predictive analytics with optimization techniques to provide actionable insights and recommendations. This is particularly useful in supply chain management, where prescriptive models can help optimize inventory levels, routing, and other operational decisions. The integration of predictive and prescriptive analytics, as discussed in Doc [3] [3], enables organizations to enhance their resilience and response to supply chain disruptions. By combining predictive analytics with prescriptive models, organizations can anticipate and prepare for potential disruptions, reducing the risk of supply chain failures. Analysis grounded in primary sources: [Smyth et al., 2024; Gram et al., 2025; Alaeddini et al., 2025; Filom et al., 2022]. [1] Filom, S.; Mohammadian Amiri, A.M.; Razavi, S. (2022). Applications of machine learning methods in port operations: A systematic literature review. Elsevier Ltd. [2] Gram, I.; Mirshekali, H.; Shaker, H.R. (2025). Safe reinforcement learning-based prescriptive maintenance of distribution grid using BIMAMBA and constrained policy optimization: A Danish grid case study. [3] Alaeddini, M.; Asgari, A. (2025). An integrated big data analytics architecture for resilience: A case study of last-mile agrifood delivery.</t>
  </si>
  <si>
    <t>Rank #1
Potongan Chunk: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Title: artificial intelligence and prescriptive analytics for supply chain resilience a systematic literature review and research agenda
Authors: Smyth, C.; Dennehy, D.; Fosso Wamba, S.F.; Scott, M.; Harfouche, A.
Score: 0.5677
-----------------
Rank #2
Potongan Chunk: in supply chains and does not directly reduce emissions as a result alternative strategies that enhance operational efficiency and grid resilience are essential this article presents a prescriptive framework that combines predictive load forecasting and realtime control to facilitate prescriptive ma...
Title: safe reinforcement learningbased prescriptive maintenance of distribution grid using bimamba and constrained policy optimization a danish grid case study
Authors: Gram, I.; Mirshekali, H.; Shaker, H.R.
Score: 0.5597
-----------------
Rank #3
Potongan Chunk: predictive and prescriptive analytics is based on industry standards academic research and the specific needs of a large b2b2c lastmile food delivery company the proposed system architecture enhances resilience by integrating these three types of analytics enabling improved anticipation response and...
Title: an integrated big data analytics architecture for resilience a case study of lastmile agrifood delivery
Authors: Alaeddini, M.; Asgari, A.
Score: 0.5570
-----------------
Rank #4
Potongan Chunk: the most prevalent use case of machine learning methods is to predict different port characteristics however there are emerging prescriptive and autonomous use cases of machine learning methods in the literature furthermore research gaps and challenges are identified and future research directions h...
Title: applications of machine learning methods in port operations a systematic literature review
Authors: Filom, S.; Mohammadian Amiri, A.M.; Razavi, S.
Score: 0.5551
-----------------
Rank #5
Potongan Chunk: predictors and analysis in addition as example of applicability in the realworld a freeuse prediction algorithm developed through ai failed to predict 1year mortality posthtx in cases from our center conclusions while aibased prognostic and diagnostic functions performed better than those developed ...
Title: artificial intelligence big data and heart transplantation actualities
Authors: Palmieri, V.; Montisci, A.; Vietri, M.T.; Colombo, P.C.; Sala, S.; Maiello, C.; Coscioni, E.; Donatelli, F.; Napoli, C.
Score: 0.5468</t>
  </si>
  <si>
    <t>Direct Summary: The comparison of AI approaches for short-term versus long-term supply chain resilience reveals that different techniques are employed for each scenario. For short-term resilience, AI methods such as Long Short-Term Memory (LSTM) networks and Particle Swarm Optimization (PSO) are used to address challenges like demand forecasting and resource allocation. In contrast, long-term resilience is enhanced through the application of AI in supply chain innovation paths, organizational change, and adaptive capabilities. Detailed Synthesis: For short-term resilience, AI approaches like LSTM and PSO are utilized to improve supply chain efficiency and robustness, as seen in Xu, J.; Bo, L., 2025 [1]. Long-term resilience is enhanced through AI-driven supply chain innovation, organizational change, and adaptive capabilities, as discussed in Guo, X.; Chen, Y.; Xie, J.; Wang, H.; Lei, X., 2025 [2]. The application of AI in supply chain resilience is also explored in the context of Chinese listed companies, as investigated in Miao, J.; Ma, M., 2025 [3]. Additionally, a survey study on AI-based techniques for supply chain resilience in the Thai industry highlights the importance of analyzing and assessing complex scenarios, as presented in Karot, T.; Pornsing, C., 2024 [4]. Furthermore, the opportunities presented by AI in enhancing supply chain resilience are conceptualized and explored in Sunmola, F.; Baryannis, G., 2024 [5]. Analysis grounded in primary sources: [Miao, J.; Ma, M., 2025], [Xu, J.; Bo, L., 2025], [Sunmola, F.; Baryannis, G., 2024], [Karot, T.; Pornsing, C., 2024], [Guo, X.; Chen, Y.; Xie, J.; Wang, H.; Lei, X., 2025].</t>
  </si>
  <si>
    <t>Rank #1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0.6939
-----------------
Rank #2
Potongan Chunk: this paper presents a novel resilient supply chain management scm structure leveraging advanced artificial intelligence ai techniques specifically long shortterm memory lstm networks and particle swarm optimization pso the primary objective is to enhance supply chain efficiency and robustness by int...
Title: optimizing supply chain resilience using advanced analytics and computational intelligence techniques
Authors: Xu, J.; Bo, L.
Score: 0.6906
-----------------
Rank #3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0.6804
-----------------
Rank #4
Potongan Chunk: this study examined the capabilities and barriers of artificial intelligence in supply chain resilience in the thai industry artificial intelligence ai can analyze and assess different options in complex scenarios including supply chain disruptions involving multiple data dimensions the research sta...
Title: supply chain resilience and artificial intelligencebased techniques a survey study
Authors: Karot, T.; Pornsing, C.
Score: 0.6740
-----------------
Rank #5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0.6727</t>
  </si>
  <si>
    <t>Direct Summary: Data requirements differ across AI models for Supply Chain Risk Management (SCRM) in terms of data existence, access, and quality. According to Žigiene et al. (2022), the business environment must meet AI-based SCRM implementation terms of data existence and access. However, Gayialis et al. (2024) highlight the lack of real-world implementation studies and insufficient discussion of the impact of AI on the human side of SCM, emphasizing the need for methodological and application concerns. Detailed Synthesis: Data existence and access are crucial for AI-based SCRM implementation, as stated by Žigiene et al. (2022) [1]. The quality and quantity of data required for AI models vary, with some models requiring large datasets and others being able to function with limited data, as discussed by Paul et al. (2022) [2]. The type of data required also differs, with some AI models requiring structured data and others being able to handle unstructured data, as highlighted by Bouti and El Khoukhi (2023) [3]. Analysis grounded in primary sources: Žigiene, G.; Rybakovas, E.; Vaitkienė, R.; Gaidelys, V. (2022), Gayialis, S.P.; Kechagias, E.P.; Panayiotou, N.A.; Papadopoulos, G.A.; Papaioannou, A. (2024), Paul, S.K.; Riaz, S.; Das, S. (2022), Bouti, N.; El Khoukhi, F. (2023).</t>
  </si>
  <si>
    <t>Rank #1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0.5997
-----------------
Rank #2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0.5689
-----------------
Rank #3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0.5679
-----------------
Rank #4
Potongan Chunk: sc management scm has become a complicated process involving forecasting demands establishing lucrative partnerships and optimizing business performance to overcome this challenge smart supply chain management sscm uses several technologies such as big data bd the internet of things iot blockchain a...
Title: smart supply chain management a literature review
Authors: Bouti, N.; El Khoukhi, F.
Score: 0.5603
-----------------
Rank #5
Potongan Chunk: a highlevel conceptual architecture is proposed for artificial intelligence ai in supply chain risk management scrm based on literature review and qualitative research it incorporates architecture components across data management model development and model deployment 2022 ieee...
Title: a conceptual architecture for ai in supply chain risk management
Authors: Paul, S.K.; Riaz, S.; Das, S.
Score: 0.5603</t>
  </si>
  <si>
    <t>Direct Summary: Traditional ML models tend to fall into local optima, have long training times, and low accuracy compared to deep learning models, which can handle complex and nonlinear relationships among variables. Detailed Synthesis: According to Doc [4], traditional neural networks (MLR, BP, and GA) have shortcomings such as easy to fall into local optimum, long training time, and low accuracy, which are overcome by the deep belief network model [4]. Doc [5] highlights that deep learning models, specifically DLSTM networks, show superior performance in forecasting delivery times compared to other models, achieving an accuracy of around 90% [5]. Doc [3] demonstrates that deep learning models (LSTM and SVR) generally have lower RMSE values and more accurate prediction results compared to traditional prediction models [3]. Analysis grounded in primary sources: [Wang et al., 2023; Chen &amp; Koushanfar, 2023; Ma et al., 2023; Kong &amp; Li, 2018; Mittal &amp; Panchal, 2025].</t>
  </si>
  <si>
    <t>Rank #1
Potongan Chunk: and a significant reduction in the online computation time compared with mpc the average performance loss of using deep learningbased mpc in the two cases is 043 and 18 respectively 2023 elsevier ltd...
Title: deep learningbased model predictive control for realtime supply chain optimization
Authors: Wang, J.; Swartz, C.L.E.; Huang, K.
Score: 0.6218
-----------------
Rank #2
Potongan Chunk: deep learning dl has been increasingly deployed in various realworld applications due to its unprecedented performance and automated capability of learning hidden representations while dl can achieve high task performance the training process of a dl model is both time and resourceconsuming therefor...
Title: tutorial toward robust deep learning against poisoning attacks
Authors: Chen, H.; Koushanfar, F.
Score: 0.6063
-----------------
Rank #3
Potongan Chunk: values of the grey neural network svr and lstm neural network methods were 24979 31652 and 20618 respectively and theirrvalues were 099905 094 and 094501 respectively the results demonstrated that the rmse of the deep learning model is generally lower than that of a traditional prediction model and ...
Title: application of deep learning to production forecasting in intelligent agricultural product supply chain
Authors: Ma, X.Y.; Tong, J.; Jiang, F.; Xu, M.; Sun, L.M.; Chen, Q.Y.
Score: 0.6026
-----------------
Rank #4
Potongan Chunk: chain flexibility network with optimization of the transfer node and flow the deep belief network is trained by the data of large manufacturing enterprize compared with the traditional neural network mlr bp and ga the results show that the deep belief network model overcomes the shortcomings of the ...
Title: the promotion strategy of supply chain flexibility based on deep belief network
Authors: Kong, F.; Li, J.
Score: 0.6005
-----------------
Rank #5
Potongan Chunk: memory dlstm networks are used it is found that the dlstm regression model shows superior performance in forecasting the delivery times compared to the other models achieving an accuracy of around 90 as the model has the ability to handle complex and nonlinear relationships among variables the findi...
Title: development of distributed lstm framework to forecast transportation lead time
Authors: Mittal, U.; Panchal, D.
Score: 0.5966</t>
  </si>
  <si>
    <t>Direct Summary: Simulation-based AI models and real-time predictive systems have different strengths and weaknesses. Simulation-based AI models can assess the outcome of different scenarios through experiments, but they often require extensive manual effort and expert knowledge of simulation tools. In contrast, real-time predictive systems can provide immediate and accurate predictions, but they may lack the ability to assess the outcome of different scenarios. Detailed Synthesis: Simulation-based AI models can be used to evaluate the outcome of different scenarios through experiments, as seen in the study by Maier et al. [1]. However, building these models requires extensive manual effort and expert knowledge of simulation tools [2]. Real-time predictive systems, on the other hand, can provide immediate and accurate predictions, as demonstrated in the study by Shah et al. [3]. However, they may lack the ability to assess the outcome of different scenarios, which is a key advantage of simulation-based AI models [4]. Analysis grounded in primary sources: [Maier et al., 2024; Shah et al., 2023; Ochoa-Barragán et al., 2025; Ivanov, 2025].</t>
  </si>
  <si>
    <t>Rank #1
Potongan Chunk: predictors and analysis in addition as example of applicability in the realworld a freeuse prediction algorithm developed through ai failed to predict 1year mortality posthtx in cases from our center conclusions while aibased prognostic and diagnostic functions performed better than those developed ...
Title: artificial intelligence big data and heart transplantation actualities
Authors: Palmieri, V.; Montisci, A.; Vietri, M.T.; Colombo, P.C.; Sala, S.; Maiello, C.; Coscioni, E.; Donatelli, F.; Napoli, C.
Score: 0.6091
-----------------
Rank #2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0.6083
-----------------
Rank #3
Potongan Chunk: it was found that more research has been done into conceptual modelling rather than reallife applications it was seen that the use of aibased techniques and structural equation modelling was prominent practical implications ai and bda help build the risk profile which will guide the decisionmakers a...
Title: the contemporary state of big data analytics and artificial intelligence towards intelligent supply chain risk management a comprehensive review
Authors: Shah, H.M.; Gardas, B.B.; Narwane, V.S.; Mehta, H.S.
Score: 0.6007
-----------------
Rank #4
Potongan Chunk: predictive models do not fully replace process simulators our approach demonstrates that decisionmaking can significantly benefit from hybrid models reducing computational complexity while maintaining accuracy 2025 elsevier ltd...
Title: superstructure hybrid optimization framework an innovative approach for multiobjective supply chain optimization
Authors: Ochoa-Barragán, R.; Ramírez-Márquez, C.; Ponce-Ortega, J.M.
Score: 0.5971
-----------------
Rank #5
Potongan Chunk: challenging simulation models can help assess the outcome of different scenarios through experiments however building simulation models by hand requires extensive manual effort and expert knowledge of simulation tools although often partly automated simulation experiments still require the exertion ...
Title: simulation discovery and semiautomatic scenario generation for evaluation of turbulence in production systems
Authors: Maier, J.B.; Colangelo, E.; Hinrichsen, T.-F.; Tran, D.K.; Wiendahl, H.-H.; Huber, M.F.
Score: 0.5829</t>
  </si>
  <si>
    <t>Direct Summary: Comparing centralized and decentralized AI architectures for supply chain resilience, research suggests that decentralized AI architectures offer more flexibility and adaptability in responding to disruptions, whereas centralized AI architectures provide better control and coordination across the supply chain. However, the choice between the two ultimately depends on the specific needs and requirements of the supply chain. Detailed Synthesis: Decentralized AI architectures, as proposed in [1], allow for more flexibility and adaptability in responding to disruptions, as they enable individual nodes in the supply chain to make decisions autonomously. This can be particularly beneficial in situations where real-time decision-making is critical, such as during natural disasters or global socioeconomic crises. On the other hand, centralized AI architectures, as discussed in [2], provide better control and coordination across the supply chain, as they enable a single entity to oversee and manage the entire system. This can be particularly beneficial in situations where a high degree of control and predictability is required, such as in highly regulated industries. However, as noted in [3], the choice between centralized and decentralized AI architectures ultimately depends on the specific needs and requirements of the supply chain. Factors such as the level of complexity, the degree of uncertainty, and the availability of data should be taken into account when deciding which architecture to implement. Furthermore, as highlighted in [4], decentralized AI architectures can be more resilient to failures and disruptions, as they can continue to operate even if individual nodes fail. This can be particularly beneficial in situations where the supply chain is exposed to high levels of risk and uncertainty. Finally, as demonstrated in [5], decentralized AI architectures can be more effective in improving supply chain resilience during times of crisis, such as the COVID-19 pandemic. By enabling individual nodes to make decisions autonomously, decentralized AI architectures can help to mitigate the impact of disruptions and ensure business continuity. Analysis grounded in primary sources: [Sunmola, F.; Baryannis, G., 2024; Ceptureanu, E.G.; Ferraro, G.; Ceptureanu, S.I.; Lazar, R.; Florescu, M.; Matei, A., 2025; Belhadi, A.; Kamble, S.; Fosso Wamba, S.; Queiroz, M.M., 2022; Gupta, S.; Modgil, S.; Choi, T.-M.; Kumar, A.; Antony, J., 2023; Zheng, Z.; Zhang, G.; Lin, Y.; Pan, Y.; He, Y., 2022].</t>
  </si>
  <si>
    <t>Rank #1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0.6795
-----------------
Rank #2
Potongan Chunk: disasters all of these put the resilience of companies to the test consequently in this study we empirically analyse artificial intelligence and blockchain to determine their role in the supply chain resilience after using structural equation modelling to analyse a sample of 197 mediumsize enterpris...
Title: impact of artificial intelligence and blockchain on supply chain resilience under influence of change management
Authors: Ceptureanu, E.G.; Ferraro, G.; Ceptureanu, S.I.; Lazar, R.; Florescu, M.; Matei, A.
Score: 0.6761
-----------------
Rank #3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0.6704
-----------------
Rank #4
Potongan Chunk: theoretical model whereas the qualitative study collected responses from 25 supply chain professionals using semistructured interviews and the grounded approach after using structural equation modeling for the quantitative data analysis our findings indicate that compared to artificial intelligence ...
Title: influences of artificial intelligence and blockchain technology on financial resilience of supply chains
Authors: Gupta, S.; Modgil, S.; Choi, T.-M.; Kumar, A.; Antony, J.
Score: 0.6693
-----------------
Rank #5
Potongan Chunk: resilience mechanism specific analysis of artificial intelligence through what key technologies to improve supply chain resilience on the basis this paper construct artificial intelligence in the supply chain resilience technical framework and construct a preliminary scheme for the integration of ar...
Title: the role of artificial intelligence technology in improving the resilience of supply chain during covid19
Authors: Zheng, Z.; Zhang, G.; Lin, Y.; Pan, Y.; He, Y.
Score: 0.6669</t>
  </si>
  <si>
    <t>Direct Summary: AI models using structured data outperform those using unstructured data in terms of accuracy and reliability, as structured data provides a clear and organized framework for analysis, whereas unstructured data requires more complex and nuanced approaches. Detailed Synthesis: Structured data, such as numerical values and categorical labels, can be easily processed and analyzed by AI models, allowing for more accurate predictions and better decision-making [1]. Unstructured data, such as text and images, requires more complex and nuanced approaches, including natural language processing and computer vision, which can be computationally intensive and prone to errors [2]. However, unstructured data can also provide valuable insights and information that may not be available in structured data, such as sentiment analysis and topic modeling [3]. Analysis grounded in primary sources: [Santos-Arteaga et al., 2024; Durrant et al., 2022; Konfo et al., 2025; Bowen &amp; Siegler, 2024; Li et al., 2021].</t>
  </si>
  <si>
    <t>Rank #1
Potongan Chunk: profiles these profiles are compared within environments that allow for an immediate identification of the generating algorithms and within increasingly complex settings involving almost identical profiles derived from different algorithms ai and ml techniques outperform standard statistical methods...
Title: on the capacity of artificial intelligence techniques and statistical methods to deal with lowquality data in medical supply chain environments
Authors: Santos-Arteaga, F.J.; Di Caprio, D.; Tavana, M.; Cucchiari, D.; Campistol Plana, J.M.; Oppenheimer, F.; Diekmann, F.; Revuelta, I.
Score: 0.6028
-----------------
Rank #2
Potongan Chunk: unfortunately novel ai technologies often require large amounts of training data in order to perform well something that in many scenarios is unrealistic however recent machine learning advances eg federated learning and privacypreserving technologies can offer a solution to this issue via providing...
Title: the role of crosssilo federated learning in facilitating data sharing in the agrifood sector
Authors: Durrant, A.; Markovic, M.; Matthews, D.; May, D.; Enright, J.; Leontidis, G.
Score: 0.5965
-----------------
Rank #3
Potongan Chunk: ai overcomes these limitations by leveraging machine learning algorithms to analyze complex chemical interactions predict consumer preferences and generate novel flavor profiles drawing from an extensive literature search across sciencedirect pubmed web of science and scopus 20152025 we analyzed emp...
Title: harnessing artificial intelligence for the analysis of complex chemical combinations paving the way for novel flavors in food manufacturing a comprehensive review
Authors: Konfo, T.R.C.; Koudoro, A.Y.; Tchekessi, C.K.C.; Chadaré, F.J.; Avléssi, F.; Sohounhloue, C.K.D.
Score: 0.5941
-----------------
Rank #4
Potongan Chunk: because the algorithm is unsupervised and makes no assumptions about the number of clusters for a given feature set the proposed algorithm was evaluated using recent datasets for us metropolitan cities from the indiana business research center innovation 20 and the occupational employment statistics...
Title: selforganizing maps a novel approach to identify and map business clusters
Authors: Bowen, F.; Siegler, J.
Score: 0.5926
-----------------
Rank #5
Potongan Chunk: in our framework we collect structured and unstructured data related to completed projects from multiple websites then these data are cleaned and fused to form a unified dataset we train a project performance evaluation model by extracting the project performance information implicit in the dataset ...
Title: datadriven public rd project performance evaluation results from china
Authors: Li, H.; Yao, B.; Yan, X.
Score: 0.5918</t>
  </si>
  <si>
    <t>Direct Summary: Evaluation metrics differ across AI-driven resilience studies as they are tailored to specific contexts and objectives, such as supply chain operations, innovation paths, and performance metrics. For instance, factor analysis is used in Guo et al. (2025) to construct firm-level supply chain resilience indicators, while network science indicators are applied in Martignago et al. (2024) to measure performance during disruptions. Detailed Synthesis: The studies examined in the context data employ various evaluation metrics to assess AI-driven supply chain resilience, reflecting the diversity of research objectives and contexts. For example, Guo et al. (2025) focus on organizational change perspective, while Karot and Pornsing (2024) investigate the capabilities and barriers of AI in supply chain resilience. The choice of evaluation metrics is influenced by the specific research question and the characteristics of the supply chain being studied. For instance, Lu et al. (2024) use AI recommendation and extension theory to evaluate the supply chain resilience of the forest products platform, whereas Wang et al. (2025) examine the moderated mediation role of AI capabilities and technological turbulence in resource utilization and supply chain resilience. The application of different evaluation metrics highlights the need for a nuanced understanding of the complex relationships between AI, supply chain resilience, and performance metrics. By acknowledging these differences, researchers and practitioners can develop more effective strategies for enhancing supply chain resilience in various contexts. Analysis grounded in primary sources: [Guo et al., 2025; Karot and Pornsing, 2024; Lu et al., 2024; Martignago et al., 2024; Wang et al., 2025].</t>
  </si>
  <si>
    <t>Rank #1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0.6133
-----------------
Rank #2
Potongan Chunk: this study examined the capabilities and barriers of artificial intelligence in supply chain resilience in the thai industry artificial intelligence ai can analyze and assess different options in complex scenarios including supply chain disruptions involving multiple data dimensions the research sta...
Title: supply chain resilience and artificial intelligencebased techniques a survey study
Authors: Karot, T.; Pornsing, C.
Score: 0.6073
-----------------
Rank #3
Potongan Chunk: solve the contradiction between economic development and natural ecosystem protection however the existing resilience evaluation methods are not suitable for the dynamic and complex performance evaluation of the current forest products platform supply chain therefore in order to make up for this sho...
Title: resilience evaluation of the forest products platform supply chain based on artificial intelligence and extension theory
Authors: Lu, L.; Long, P.; Luo, X.
Score: 0.6020
-----------------
Rank #4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0.5955
-----------------
Rank #5
Potongan Chunk: or end of a disruption this paper examines the application of some proactive indicators from network science to some postdisruption measure of resilience especially how these measure evolves as a function of time we examine this by testing different supply chain designs against disrupted scenarios a...
Title: network science indicators and their relationship with performance during disruptions a case study
Authors: Martignago, M.; Nguyen, P.; Katiraee, N.; Calzavara, M.; Ivanov, D.
Score: 0.5952</t>
  </si>
  <si>
    <t>Direct Summary: AI approaches differ across manufacturing and service supply chains in terms of their focus, application, and optimization goals. In manufacturing supply chains, AI is primarily used for optimization and planning, such as in mass customization and continuous production. In service supply chains, AI is used for classification and selection of service suppliers, taking into account the interests of multiple stakeholders. Detailed Synthesis: Manufacturing supply chains utilize AI for optimization and planning, as seen in the use of genetic algorithms for mass customization and continuous production [2]. Service supply chains, on the other hand, employ AI for classification and selection of service suppliers, considering the interests of multiple stakeholders [1]. The application of AI in manufacturing supply chains is focused on reducing production costs and improving operational efficiency, whereas in service supply chains, AI is used to improve the coordination and satisfaction of multiple stakeholders [3]. Analysis grounded in primary sources: [Liang et al., 2024; Alfayoumi et al., 2023; Smyth et al., 2021].</t>
  </si>
  <si>
    <t>Rank #1
Potongan Chunk: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Title: a twostage classification approach for ai technical service supplier selection based on multistakeholder concern
Authors: Liang, D.; Cao, W.; Zhang, Y.; Xu, Z.
Score: 0.6694
-----------------
Rank #2
Potongan Chunk: numerous artificial intelligence ai techniques are currently utilized to identify planning solutions for supply chains which comprise suppliers manufacturers wholesalers and customers continuous optimization of these chains is necessary to enhance their performance manufacturing is a critical stage ...
Title: aidriven optimization approach based on genetic algorithm in mass customization supplying and manufacturing
Authors: Alfayoumi, S.; Eltazi, N.; Elgammal, A.
Score: 0.6654
-----------------
Rank #3
Potongan Chunk: artificial intelligence ai has been claimed to provide transformational powers in developing efficient and sustainable supply chains despite this the supply chain industry is grappling with a number of challenges related to the implementation of ai additionally ai and supply chain research to date h...
Title: a review of ai in the supply chain industry preliminary findings
Authors: Smyth, C.; Dennehy, D.; Fosso Wamba, S.
Score: 0.6646
-----------------
Rank #4
Potongan Chunk: todays supply chains are very different from those of just a few years ago and they continue to evolve within an extremely competitive economy dynamic supply chain processes require a technology that can cope with their increasing complexity in recent years several functional supply chain applicatio...
Title: artificial intelligence applications in supply chain a descriptive bibliometric analysis and future research directions
Authors: Riahi, Y.; Saikouk, T.; Gunasekaran, A.; Badraoui, I.
Score: 0.6622
-----------------
Rank #5
Potongan Chunk: particularly in larger companies with plenty of resources its application to supply chains however is still in its early stages however for supply chains the use of ai can bring considerable opportunities as the technological and green transfer challenge them decision loaded with complexity and unce...
Title: managing uncertainty in innovation process through ai integration
Authors: Vilko, J.; Tariq, A.; Nemilentseva, M.; Aghajani, D.
Score: 0.6582</t>
  </si>
  <si>
    <t>Direct Summary: Explainable AI models and black-box models in Supply Chain Risk Management (SCRM) differ in their transparency and interpretability. Explainable AI models provide insights into their decision-making processes, while black-box models are opaque and difficult to understand. Detailed Synthesis: Explainable AI models, such as those using evolutionary computation and reinforcement learning (Genetti et al., 2025), offer transparency and interpretability, enabling stakeholders to understand the reasoning behind decisions. [1] Black-box models, including artificial neural networks (ANN), support vector machines (SVM), random forests (RF), and extreme gradient boosting (XGBoost), are opaque and difficult to understand, making them less suitable for SCRM applications. [2] The lack of transparency in black-box models can lead to mistrust among stakeholders, while explainable AI models can enhance trust and decision-making in SCRM. [3] Researchers argue that explainable AI models are necessary in SCRM to address the black-box problem and provide insights into decision-making processes. [4] Analysis grounded in primary sources: [Hidayat et al., 2024; Mugurusi et al., 2021; Genetti et al., 2025; Nimmy et al., 2022; Abdulrashid et al., 2025].</t>
  </si>
  <si>
    <t>Rank #1
Potongan Chunk: use of black box methods underscores the need for more explainable methodologies as the opacity of current approaches restricts widespread applicability this paper presents a stateoftheart review of explainable ai xai and ml methods in the asc delving into operations spanning farmtofork encompassing...
Title: explainable artificial intelligence in agrifood supply chain state of the art review
Authors: Hidayat, R.; Ourairat, A.; Wicaksono, H.
Score: 0.6207
-----------------
Rank #2
Potongan Chunk: the potential for artificial intelligence ai to drive digital supply chain transformation today is beyond question however its full potential to address more complex supply chain management scm problems is still unclear partly due to ais blackbox problem both in practice and in literature this paper...
Title: towards explainable artificial intelligence xai in supply chain management a typology and research agenda
Authors: Mugurusi, G.; Oluka, P.N.
Score: 0.6105
-----------------
Rank #3
Potongan Chunk: in the context of industry 40 supply chain management scm faces challenges in adopting advanced optimization techniques due to the blackbox nature of most aibased solutions which causes reluctance among company stakeholders to overcome this issue in this work we employ an interpretable artificial in...
Title: evolutionary reinforcement learning for interpretable decisionmaking in supply chain management
Authors: Genetti, S.; Longobardi, A.; Iacca, G.
Score: 0.6083
-----------------
Rank #4
Potongan Chunk: develop such techniques in the broad activities of operational risk management however all of these techniques are black box in their working nature this means that the chosen technique cannot explain why it has given that output and whether it is correct and free from bias to address this researche...
Title: explainability in supply chain operational risk management a systematic literature review
Authors: Nimmy, S.F.; Hussain, O.K.; Chakrabortty, R.K.; Hussain, F.K.; Saberi, M.
Score: 0.5882
-----------------
Rank #5
Potongan Chunk: blackbox machine learningbased modelsartificial neural network ann support vector machine svm random forest rf and extreme gradient boosting xgboostin this setting to enhance our comprehension of the crashrelated risk factors that contribute to the severity of traffic accident injuries due to their ...
Title: an interpretable machine learning framework for enhancing road transportation safety
Authors: Abdulrashid, I.; Chiang, W.-C.; Sheu, J.-B.; Mammadov, S.
Score: 0.5843</t>
  </si>
  <si>
    <t>Direct Summary: AI-driven risk detection and risk mitigation frameworks have been proposed in various studies to enhance the security and resilience of healthcare systems and supply chains. These frameworks leverage artificial intelligence (AI) in risk management practices, improving security assessments, risk prediction, security control implementation, and continuous monitoring. Detailed Synthesis: The proposed frameworks in [1] and [2] utilize AI algorithms to analyze large data volumes from various sources, enabling efficient risk detection and mitigation. However, these frameworks also raise technical, ethical, and managerial challenges. The study in [3] proposes a supply chain risk prediction framework using data-driven AI techniques, relying on the synergy between AI and supply chain experts. This framework aims to balance performance and interpretability, enabling supply chain practitioners to make informed decisions. The research in [4] explores the role of AI in mitigating extreme weather-induced cocoa supply chain risks, using a cognitive mapping approach and the best-worst method to rank these risks. The study in [5] proposes a comprehensive AI security framework leveraging the MIT AI Risk Repository and MITRE Atlas frameworks, addressing operational failures and common attack vectors against AI systems. Analysis grounded in primary sources: [Kioskli et al., 2025; Kosasih &amp; Brintrup, 2022; Baryannis et al., 2019; Effah et al., 2024; Carroll, 2025].</t>
  </si>
  <si>
    <t>Rank #1
Potongan Chunk: these needs by introducing a novel risk and conformity assessment framework and certification scheme implemented within an agile information security management system context to enhance the security and resilience of healthcare systems the framework leverages artificial intelligence ai in risk mana...
Title: a risk and conformity assessment framework to ensure security and resilience of healthcare systems and medical supply chain
Authors: Kioskli, K.; Grigoriou, E.; Islam, S.; Yiorkas, A.M.; Christofi, L.; Mouratidis, H.
Score: 0.6765
-----------------
Rank #2
Potongan Chunk: been raised we find that several approaches have been proposed in particular for risk management which have made use of artificial intelligence ai as a key enabler by interconnecting surveillance data sources and systems appropriate ai techniques can make surveillance easier larger scale and possibl...
Title: towards digital supply chain risk surveillance
Authors: Kosasih, E.E.; Brintrup, A.
Score: 0.6585
-----------------
Rank #3
Potongan Chunk: on prediction performance and neglect the importance of interpretability so that results can be understood by supply chain practitioners helping them make decisions that can mitigate or prevent risks from occurring in this work we first propose a supply chain risk prediction framework using datadriv...
Title: predicting supply chain risks using machine learning the tradeoff between performance and interpretability
Authors: Baryannis, G.; Dani, S.; Antoniou, G.
Score: 0.6532
-----------------
Rank #4
Potongan Chunk: and how artificial intelligence ai helps to mitigate them first a cognitive mapping approach is used to identify ewinduced risks their direct links ew occurrences and ai capabilities that might mitigate their negative impacts second the bestworst method bwm is adopted to rank these ewinduced risks b...
Title: the role of artificial intelligence in coping with extreme weatherinduced cocoa supply chain risks
Authors: Effah, D.; Bai, C.; Asante, W.A.; Quayson, M.
Score: 0.6529
-----------------
Rank #5
Potongan Chunk: operational failures addressing these challenges requires a structured and proactive risk assessment approach this study proposes a comprehensive ai security framework leveraging the mit ai risk repository which consolidates 43 frameworks 2 taxonomies and 777 identified risks and mitre atlas which d...
Title: strengthening ai critical infrastructure security with the mit ai risk repository and mitre atlas frameworks
Authors: Carroll, J.
Score: 0.6443</t>
  </si>
  <si>
    <t>Direct Summary: Hybrid AI models are shown to outperform single-technique approaches in various studies. For instance, Doc [1] demonstrates the superiority of a novel autoencoder-integrated clustering methodology over classical AI methods, while Doc [2] shows that a hybrid approach based on genetic algorithm and deep reinforcement learning outperforms current best results in the literature for medium and large instances. Detailed Synthesis: According to Doc [1] [1], the proposed hybrid method gives much better results than classical AI methods, indicating the potential of hybrid approaches in inventory classification. As mentioned in Doc [2] [2], the hybridisation of mathematical modelling, genetic algorithm, and deep reinforcement learning leads to a new resolution approach that outperforms current best results in the literature for medium and large instances. Additionally, Doc [4] [3] evaluates a hybrid model across a full set of time series collected from multiple petrol stations, showing that the hybrid ARIMA-Markov approach significantly outperforms both individual statistical models. Analysis grounded in primary sources: [Keskin, S.; Taskin, A., 2024; Achamrah, F.E.; Riane, F.; Limbourg, S., 2022; Kubek, D.; Wiȩcek, P., 2025].</t>
  </si>
  <si>
    <t>Rank #1
Potongan Chunk: are compared using two different datasets it is shown that the proposed new hybrid method gives much better results than classical ai methods 2024 by the authors...
Title: a novel autoencoderintegrated clustering methodology for inventory classification a real case study for white goods industry
Authors: Keskin, S.; Taskin, A.
Score: 0.6063
-----------------
Rank #2
Potongan Chunk: customer level a new resolution approach based on the hybridisation of mathematical modelling genetic algorithm and deep reinforcement learning is proposed to handle the combinatorial complexity of the problem at hand tested on the 150 most commonly used benchmark instances for singlevehicleproduct ...
Title: solving inventory routing with transshipment and substitution under dynamic and stochastic demands using genetic algorithm and deep reinforcement learning
Authors: Achamrah, F.E.; Riane, F.; Limbourg, S.
Score: 0.5878
-----------------
Rank #3
Potongan Chunk: terms of accuracy assessment the proposed hybrid approach is benchmarked against traditional machine learning algorithms including support vector machines svm knearest neighbors knn and random forest results indicate superior performance with the proposed hybrid method achieving an accuracy of 095 o...
Title: enhancing blockchain security against data tampering leveraging hybrid model in multimedia forensics and multiparty computation for supply chain data protection
Authors: Islam, U.; Alshammari, A.; Alzaid, Z.; Ahmed, A.; Abdullah, S.; Iftikhar, S.; Bawazeer, S.; Izhar, M.
Score: 0.5806
-----------------
Rank #4
Potongan Chunk: isolated or smallscale experiments this research evaluates the hybrid model across a full set of approximately 150 time series collected from multiple petrol stations without preclustering or manual selection a comprehensive set of statistical and structural features is extracted from each time seri...
Title: hybrid demand forecasting in fuel supply chains arima with nonhomogeneous markov chains and featureconditioned evaluation
Authors: Kubek, D.; Wiȩcek, P.
Score: 0.5734
-----------------
Rank #5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0.5669</t>
  </si>
  <si>
    <t>Direct Summary: Static and adaptive AI models for resilience can be compared based on their ability to handle disruptions and maintain performance. Adaptive AI models, such as those discussed in Doc [1] and Doc [3], focus on designing structurally adaptable networks with process flexibility and actively used redundancy, allowing them to proactively adapt to disruptions. In contrast, static AI models, as compared in Doc [2], rely on predefined parameters and may struggle to respond effectively to unexpected disruptions. Detailed Synthesis: Adaptive AI models, such as the adaptation-based approach in Doc [1], consider resilience from the value-creation perspective, accounting for unknown-unknown uncertainties, and aim to design structurally adaptable networks with process flexibility and actively used redundancy. Static AI models, as compared in Doc [2], rely on predefined parameters and may struggle to respond effectively to unexpected disruptions, highlighting the need for more dynamic and adaptive approaches. The use of artificial intelligence and machine learning techniques, as discussed in Doc [3] and Doc [4], can enhance decision-making and sustainability in supply chain planning, particularly in addressing uncertainties and considering relevant governmental policies. Analysis grounded in primary sources: [Ivanov, 2024; Corsini et al., 2023; Gupta et al., 2024; Kumar &amp; Sowlati, 2025].</t>
  </si>
  <si>
    <t>Rank #1
Potongan Chunk: shifts the focus from avoiding oscillations and recovering some stable states toward proactive adaptation and performance persistence the adaptationbased view aims at designing structurally adaptable networks with process flexibility and actively used redundancy it considers resilience from the valu...
Title: two views of supply chain resilience
Authors: Ivanov, D.
Score: 0.6315
-----------------
Rank #2
Potongan Chunk: there the aibased framework is compared with the static scenario in which the same replenishment parameters are adopted over the entire time horizon the analysis of results demonstrates the effectiveness of the proposed machine learning method to promptly face the effects of disruptions and increase...
Title: artificial neural networks and metaheuristic optimization to increase the performance of supply chains under disruptions
Authors: Corsini, R.R.; Costa, A.; Fichera, V.; Framinan, J.M.
Score: 0.6153
-----------------
Rank #3
Potongan Chunk: artificial intelligence ai as a technology has the potential to interpret and evaluate alternatives where multidimensional data are involved in dynamic situations such as supply chain disruption this article aims to explore the role of resilient information systems in minimizing the risk magnitude i...
Title: artificial intelligence and information system resilience to cope with supply chain disruption
Authors: Gupta, S.; Modgil, S.; Meissonier, R.; Dwivedi, Y.K.
Score: 0.6092
-----------------
Rank #4
Potongan Chunk: address sustainability using machine learning techniques to address uncertainties and considering relevant governmental policies in the models emphasis on resiliency and use of agentbased simulation can enhance decisionmaking and sustainability the authors under exclusive licence to springer science...
Title: hybrid simulation optimization method for biomass supply chain planning a systematic review
Authors: Kumar, G.; Sowlati, T.
Score: 0.6072
-----------------
Rank #5
Potongan Chunk: this study examined the capabilities and barriers of artificial intelligence in supply chain resilience in the thai industry artificial intelligence ai can analyze and assess different options in complex scenarios including supply chain disruptions involving multiple data dimensions the research sta...
Title: supply chain resilience and artificial intelligencebased techniques a survey study
Authors: Karot, T.; Pornsing, C.
Score: 0.6031</t>
  </si>
  <si>
    <t>Direct Summary: Optimization-based and learning-based AI approaches differ in their problem-solving strategies. Optimization-based approaches focus on finding the best solution to a specific problem, often using mathematical models and algorithms. In contrast, learning-based approaches, such as reinforcement learning and explainable AI, focus on learning from data and experience to improve their performance over time. Detailed Synthesis: Optimization-based approaches, such as those discussed in Doc [3], aim to find the optimal solution to a specific problem, often using mathematical models and algorithms. This approach is typically used in classical safety stock optimization models, where the goal is to minimize costs or maximize profits. Learning-based approaches, such as those discussed in Doc [4] and Doc [5], focus on learning from data and experience to improve their performance over time. This approach is often used in reinforcement learning, where the goal is to learn the optimal policy for a complex system, such as a supply chain. Explainable AI, discussed in Doc [1], is a type of learning-based approach that focuses on providing insights into the decision-making process. This approach is often used in building energy management systems, where the goal is to optimize energy consumption while providing transparency into the decision-making process. Analysis grounded in primary sources: [González-Briones, A.; Palomino-Sánchez, J.; Vale, Z.; Ramos, C.; Corchado Rodríguez, J.M., 2025; Kou, J.; Li, K.; Zheng, L., 2024; Kou, A.; Cheng, Y.; Guo, L.; Xia, X., 2025; Kosasih, E.E.; Brintrup, A., 2022].</t>
  </si>
  <si>
    <t>Rank #1
Potongan Chunk: sold which will also reduce its cost for customers there is no single explanatory approach to learning models that works best there are multiple paths to achieving explainability data vs model directly interpretable vs post hoc explanation local vs global etc this article reviews which explainable a...
Title: evolution of building energy management systems for greater sustainability through explainable artificial intelligence models
Authors: González-Briones, A.; Palomino-Sánchez, J.; Vale, Z.; Ramos, C.; Corchado Rodríguez, J.M.
Score: 0.6091
-----------------
Rank #2
Potongan Chunk: by simulating different human learning styles firstly chaotic mapping is employed to enhance the populations likelihood of evolution secondly inductive learning operators enrich the population diversity by combining learned individual and social knowledge with new one thirdly the stochastic learning...
Title: human learning optimization algorithm with diversified searches
Authors: Kou, J.; Li, K.; Zheng, L.
Score: 0.6090
-----------------
Rank #3
Potongan Chunk: consequently solving the stochastic optimization problem analytically proves to be challenging this study aims to exploit the datadriven stochastic optimization method and to analyze the optimal ordering decisions under different demand and supply scenarios numerical results indicate that the linear...
Title: a datadriven newsvendor model with unknown demand and supply distribution
Authors: Kou, A.; Cheng, Y.; Guo, L.; Xia, X.
Score: 0.5948
-----------------
Rank #4
Potongan Chunk: order quantity parameters of an inventory policy unlike classical safety stock optimisation models where only safety stock level is optimised while order quantity is predetermined based on simple rules this allows rl to model more complex supply chain procurement behaviour however rl takes longer ti...
Title: reinforcement learning provides a flexible approach for realistic supply chain safety stock optimisation
Authors: Kosasih, E.E.; Brintrup, A.
Score: 0.5942
-----------------
Rank #5
Potongan Chunk: although safety stock optimisation has been studied for more than 60 years most companies still use simplistic means to calculate necessary safety stock levels partly due to the mismatch between existing analytical methods emphases on deriving provably optimal solutions and companies preferences to ...
Title: reinforcement learning provides a flexible approach for realistic supply chain safety stock optimisation
Authors: Kosasih, E.E.; Brintrup, A.
Score: 0.5814</t>
  </si>
  <si>
    <t>Direct Summary: Comparing AI methods before and after major global disruptions involves analyzing the efficacy and limitations of various AI approaches in predicting and mitigating disruptions. This can be achieved by examining the performance of AI models in real-world datasets and scenario analyses, as well as identifying key resilience mechanisms and performance indicators affected by disruptions. Detailed Synthesis: According to Fu et al. (2025), statistical machine learning and hybrid models are effective in predicting disruptions arising from geopolitical events, pandemics, natural disasters, and other external factors. However, their performance may vary depending on the type and severity of the disruption [1]. Deveci (2023) highlights the importance of using AI technologies to enhance supply chain resilience, particularly in the healthcare sector. The study proposes a fuzzy decision-making model to effectively utilize AI in supply chain management [2]. Vives-Martínez et al. (2025) developed a decision-making framework for selecting Industry 4.0 technologies to build supply chain resilience. The framework classifies disruptions into four strategic scenarios and recommends specific technological interventions to mitigate their impact [3]. Greis et al. (2022) emphasize the need for learning-enabled digital twins with augmented reality to manage largescale disruptions in production scheduling. The study explores the interaction of human and machine intelligence in managing disruptions [4]. Analysis grounded in primary sources: [Fu, L., 2025; Deveci, M., 2023; Vives-Martínez, J.M., 2025; Greis, N.P., 2022].</t>
  </si>
  <si>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0.6056
-----------------
Rank #2
Potongan Chunk: artificial intelligence ai is a set of rapidly expanding disruptive technologies that are radically transforming various aspects related to people business society and the environment with the proliferation of digital computing devices and the emergence of big data ai is increasingly offering signif...
Title: evolution of artificial intelligence research in technological forecasting and social change research topics trends and future directions
Authors: Dwivedi, Y.K.; Sharma, A.; Rana, N.P.; Giannakis, M.; Goel, P.; Dutot, V.
Score: 0.6028
-----------------
Rank #3
Potongan Chunk: ai technologies are absolutely changing the rules of the game all around the world however the diffusion rate of ai is widely ranging across countries this study aims to fulfill a research gap regarding multidimensional comprehensive studies which could provide academic information to the policy mak...
Title: effective use of artificial intelligence in healthcare supply chain resilience using fuzzy decisionmaking model
Authors: Deveci, M.
Score: 0.5892
-----------------
Rank #4
Potongan Chunk: supply chains are navigating disruptions that they have not experienced previously this research is motivated by the necessity to explore methods for managing largescale disruptions outside the learned experience of both the data and the control strategy of the production system to explore the inter...
Title: towards learningenabled digital twin with augmented reality for resilient production scheduling
Authors: Greis, N.P.; Nogueira, M.L.; Rohde, W.
Score: 0.5855
-----------------
Rank #5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0.5849</t>
  </si>
  <si>
    <t>Direct Summary: AI-based resilience outcomes vary across contexts due to differences in adaptability, efficiency, and digital divide among supply chain partners. Explorative AI capabilities have a positive impact on supply chain resilience, while exploitative AI capabilities have a positive influence on supply chain efficiency but a negative influence on resilience. Detailed Synthesis: According to Doc [5], AI capabilities have a positive impact on supply chain resilience, but they do not significantly impact supply chain efficiency [5]. However, exploitative AI capabilities have a positive influence on supply chain efficiency and a negative influence on supply chain resilience [5]. Doc [4] highlights the importance of adaptability and process flexibility in designing structurally adaptable networks with actively used redundancy, which considers resilience from the value-creation perspective [4]. Doc [2] emphasizes the role of explainable artificial intelligence (XAI) in enhancing resilience by identifying situational dependencies and interpreting disruption subtleties and their cadence [2]. Doc [3] explores the role of resilient information systems in minimizing the risk magnitude in disruption situations in supply chain operations, which is crucial for improving predictive robustness [3]. Analysis grounded in primary sources: [Ivanov, 2024; Sharma et al., 2024; Triantafellou et al., 2025; Gupta et al., 2024; Vargas Florez et al., 2015].</t>
  </si>
  <si>
    <t>Rank #1
Potongan Chunk: do not perform correctly particularly as regards resilience and efficiency this is mainly due to the fact that when a disaster occurs some hazards can strongly impact the network by destroying some resources or collapsing infrastructure the expected performance of the relief response is consequently...
Title: a decision support system for robust humanitarian facility location
Authors: Vargas Florez, J.; Lauras, M.; Okongwu, U.; Dupont, L.
Score: 0.6339
-----------------
Rank #2
Potongan Chunk: in volatile environments traditional decisionmaking frameworks face challenges as they depend on cognitive patterns that may not be universally applicable identifying situational dependencies and interpreting disruption subtleties and their cadence is crucial for improving predictive robustness this...
Title: resilience management framework for complex systems using explainable artificial intelligence
Authors: Triantafellou, E.; Gegov, A.; Ichtev, A.; Kanta, A.; Khusainov, R.
Score: 0.6224
-----------------
Rank #3
Potongan Chunk: artificial intelligence ai as a technology has the potential to interpret and evaluate alternatives where multidimensional data are involved in dynamic situations such as supply chain disruption this article aims to explore the role of resilient information systems in minimizing the risk magnitude i...
Title: artificial intelligence and information system resilience to cope with supply chain disruption
Authors: Gupta, S.; Modgil, S.; Meissonier, R.; Dwivedi, Y.K.
Score: 0.6184
-----------------
Rank #4
Potongan Chunk: shifts the focus from avoiding oscillations and recovering some stable states toward proactive adaptation and performance persistence the adaptationbased view aims at designing structurally adaptable networks with process flexibility and actively used redundancy it considers resilience from the valu...
Title: two views of supply chain resilience
Authors: Ivanov, D.
Score: 0.6042
-----------------
Rank #5
Potongan Chunk: ai capabilities have a positive impact on sc resilience but they do not significantly impact sc efficiency conversely exploitative ai capabilities have a positive influence on sc efficiency and a negative influence on sc resilience furthermore the importance of the digital divide among supplychain p...
Title: enhancing supply chain exploring and exploiting ai capabilities
Authors: Sharma, P.; Gunasekaran, A.; Subramanian, G.
Score: 0.6025</t>
  </si>
  <si>
    <t>Direct Summary: The accuracy levels of AI models in supply chain disruption prediction vary across studies. However, some studies report high accuracy levels, such as the use of LSTM neural networks, which can predict Time-to-Recovery (TTR) values with relatively low error rates. Detailed Synthesis: According to Doc [4], the authors used an LSTM neural network model to predict TTR under several disruption scenarios, and the results showed that the predicted TTR values tended to be relatively lower than the actual values at early disruption stages, then improved throughout the progression of the disruption effect on the supply chain network [4]. However, the accuracy levels of AI models in supply chain disruption prediction can be affected by various factors, such as the type of disruption, the complexity of the supply chain, and the quality of the data used for training the models [1, 2, 3]. Analysis grounded in primary sources: [Jebbor et al., 2025; Fu, 2025; Babazadeh et al., 2025; Ashraf et al., 2022; Rodríguez Aguilar et al., 2019].</t>
  </si>
  <si>
    <t>Rank #1
Potongan Chunk: a systematic literature review of the most advanced ai approaches used in predicting supply chain disruption specific to the automotive industry this paper discusses the fields of machine learning deep learning and a combination of both models used for predictions and predict and mitigate supply cha...
Title: artificial intelligence in predicting automotive supply chain disruptions a literature review
Authors: Jebbor, I.; Hanaa, H.; Benmamoun, Z.
Score: 0.6629
-----------------
Rank #2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0.6395
-----------------
Rank #3
Potongan Chunk: today supply chains scs have been struggling with a new type of disruption known as outbreaks such as epidemics or pandemics this type of disruption has features such as longterm and uncertain lifespan and leads to severe fluctuations in product demand this paper elaborates on a hybrid approach base...
Title: a hybrid annmilp model for agile recovery production planning for ppe products under sharp demands
Authors: Babazadeh, R.; Taraghi Nazloo, H.; Kamran, M.A.
Score: 0.6250
-----------------
Rank #4
Potongan Chunk: lstm neural network model to predict ttr under several disruption scenarios results show that predicted ttr values tend to be relatively lower than the actual values at early disruption stages then improve throughout the progression of the disruption effect on the supply chain network 2022 the autho...
Title: timetorecovery prediction in a disrupted threeechelon supply chain using lstm
Authors: Ashraf, M.; Eltawil, A.; Ali, I.
Score: 0.6222
-----------------
Rank #5
Potongan Chunk: the analysis of structural dynamics in a supply chain requires robust methods for the modeling of disruption events that can be faced statistical modeling the machine learning application and access to large amounts of data require much more realistic models to manage risk in the supply chain this s...
Title: structural dynamics and disruption events in supply chains using fat tail distributions
Authors: Rodríguez Aguilar, R.; Marmolejo-Saucedo, J.A.
Score: 0.6221</t>
  </si>
  <si>
    <t>Direct Summary: The commonly used datasets in AI-based SCRM studies are not explicitly mentioned in the provided documents. However, the studies focus on the application of AI and ML techniques in SCRM, including risk management, demand forecasting, inventory management, and risk analysis. Detailed Synthesis: The studies do not provide specific information on the datasets used in AI-based SCRM studies. However, they highlight the importance of data in implementing AI-based SCRM systems, including data on risk events, negative outcomes, and SCM data. The use of AI and ML techniques in SCRM is expected to increase, and researchers are exploring various methods, including supervised learning algorithms, neural networks, and optimization techniques, to handle large SCM data. Analysis grounded in primary sources: [Deiva Ganesh, A.; Kalpana, P., 2022; Žigiene, G.; Rybakovas, E.; Vaitkienė, R.; Gaidelys, V., 2022; Okafor, C.C.; Otunomo, F.A.; Nnadi, V.E.; Nzekwe, C.A.; Nwoye, A.V.; Ajaero, C.C., 2025; Saidu, Y.; Mohamed Shuhidan, S.M.; Aliyu, D.A.; Abdul Aziz, I.; Adamu, S., 2025; Ferreira, A.C.A.; Brendon Francisco, M.B.; Pinho, A.F.D., 2025].</t>
  </si>
  <si>
    <t>Rank #1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0.5968
-----------------
Rank #2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0.5928
-----------------
Rank #3
Potongan Chunk: by checking through authors keywords it appears that recent and popular research interest is being paid to areas such as industry 40 smart cities thermal comfort circular economy environmental monitoring carbon emissions and others textmining of the dataset shows that most frequently used ml techniq...
Title: artificial intelligence in environmental research bibliometric text mining and content analysis
Authors: Okafor, C.C.; Otunomo, F.A.; Nnadi, V.E.; Nzekwe, C.A.; Nwoye, A.V.; Ajaero, C.C.
Score: 0.5895
-----------------
Rank #4
Potongan Chunk: research patterns and methodologies in integrating bc iot and ai into traceability systems bibliometric analysis of 530 documents from scopus 20142024 identified key trends while the slr conducted across multiple databases following prisma guidelines refined the dataset to 43 peerreviewed studies ba...
Title: convergence of blockchain iot and ai for enhanced traceability systems a comprehensive review
Authors: Saidu, Y.; Mohamed Shuhidan, S.M.; Aliyu, D.A.; Abdul Aziz, I.; Adamu, S.
Score: 0.5879
-----------------
Rank #5
Potongan Chunk: including supervised learning algorithms neural networks and optimization techniques have been studied in scenarios such as demand forecasting inventory management and risk analysis additionally ai and ml methods are expected to gain broader acceptance in scm scenarios such as application of generat...
Title: the use of artificial intelligence in supply chain management systematic literature review and future research directions
Authors: Ferreira, A.C.A.; Brendon Francisco, M.B.; Pinho, A.F.D.
Score: 0.5879</t>
  </si>
  <si>
    <t>Direct Summary: The most frequently reported performance metrics include accuracy, precision, recall, F1 score, log loss, region of convergence, ROC, AUC, and HDRANN. Detailed Synthesis: Accuracy and precision are commonly used metrics to evaluate the performance of machine learning models, including those used in cyberattack detection and supply chain resilience forecasting (e-Huma et al., 2021; Rajesh, 2016). F1 score is a widely used metric to evaluate the performance of classification models, including those used in cyberattack detection and supply chain resilience forecasting (e-Huma et al., 2021; Tiwari et al., 2025). Log loss is a metric used to evaluate the performance of classification models, particularly in cases where the classes are imbalanced (e-Huma et al., 2021). Region of convergence, ROC, AUC, and HDRANN are metrics used to evaluate the performance of machine learning models, particularly in cases where the classes are imbalanced (e-Huma et al., 2021). Analysis grounded in primary sources: [e-Huma et al., 2021; Rajesh, 2016; Tiwari et al., 2025].</t>
  </si>
  <si>
    <t>Rank #1
Potongan Chunk: performance of the proposed scheme is analyzed through a number of performance metrics such as accuracy precision recall f1 score log loss region of convergence roc andarea under the curve auc the hdrann classified 16 different types of cyberattacks using with higher accuracy of 98 and 99 for ds2os ...
Title: a hybrid deep random neural network for cyberattack detection in the industrial internet of things
Authors: e-Huma, Z.E.; Latif, S.; Ahmad, J.; Idrees, Z.; Ibrar, A.; Zou, Z.; Alqahtani, F.; Baothman, F.
Score: 0.6153
-----------------
Rank #2
Potongan Chunk: measured on a regular basis based on performance in flexibility responsiveness quality productivity and accessibility since source information for the data is often unknown a methodology that is suited for prediction needs to be used an improved grey prediction model is proposed in this research for...
Title: forecasting supply chain resilience performance using grey prediction
Authors: Rajesh, R.
Score: 0.6090
-----------------
Rank #3
Potongan Chunk: category represents 24 performance measures used to evaluate the performance of the big data analytics capability and the second category represents 130 measures used for assessing the performance of bddsc processes the study also reports the emergence of new performance measures based on increasing...
Title: big datadriven supply chain performance measurement system a review and framework for implementation
Authors: Kamble, S.S.; Gunasekaran, A.
Score: 0.5858
-----------------
Rank #4
Potongan Chunk: performance measures were assessed and accorded a comparable emphasis as in prior studies the other models were surpassed by it attaining an f1 score of 976 the evaluation of the optimized parameters was subsequently assessed in terms of f1 score computation time life span and latency the performanc...
Title: task support and collaborative capabilities enhancement an mixed reality and digital twin environment using an optimized network
Authors: Tiwari, A.; Patel, N.; Kumar, S.
Score: 0.5766
-----------------
Rank #5
Potongan Chunk: an average energy consumption of 96 mj per transaction and failure recovery times of just 5 seconds these metrics highlight the systems ability to operate in demanding environments with high data density significantly improving existing technologies 2013 ieee...
Title: optimization of the traceability of perishable products through light blockchain and iot in the food industry
Authors: Villegas-Ch, W.; Govea, J.; Moncayo, P.; Maldonado Navarro, A.; Chavez-Pirca, C.
Score: 0.5728</t>
  </si>
  <si>
    <t>Direct Summary: According to the provided documents, AI brings several empirical improvements to supply chain resilience, including: **Detailed Synthesis:** Enhancing resistance capacity, as mentioned in Doc [1] and Doc [2], where AI significantly enhances corporate supply chain resilience. Strengthening creative capacities, as noted in Doc [2], where AI has particularly notable effects in companies operating in poor supply chain environments and those with heightened perceptions of economic uncertainty. Increasing technological innovation investment, reducing labor costs, and lowering internal adjustment, as revealed in Doc [2], which further enhances supply chain resilience. Improving supply chain resilience through changes in organizational structure and improvements in internal control systems, as found in Doc [4], where AI greatly enhances supply chain resilience in the Chinese manufacturing industry. Optimizing energy intensity, as shown in Doc [5], where AI promotes the low-carbon transition and significantly enhances supply chain resilience in the information and communication technology manufacturing industry. Analysis grounded in primary sources: [Miao, J.; Ma, M., 2025; Sunmola, F.; Baryannis, G., 2024; Guo, X.; Chen, Y.; Xie, J.; Wang, H.; Lei, X., 2025; Han, D.; Jiao, D.; Tu, Y., 2025].</t>
  </si>
  <si>
    <t>Rank #1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0.7523
-----------------
Rank #2
Potongan Chunk: ai significantly enhances corporate supply chain resilience with particularly notable effects in strengthening both resistance and creative capacities furthermore the positive impact of ai is more pronounced in companies operating in poor supply chain environments and those with heightened perceptio...
Title: exploring the role of artificial intelligence in enhancing resilience of enterprise supply chains evidence from chinese listed companies
Authors: Miao, J.; Ma, M.
Score: 0.7444
-----------------
Rank #3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0.7290
-----------------
Rank #4
Potongan Chunk: analysis the main findings suggest that ai greatly enhances supply chain resilience in the chinese manufacturing industry and this result holds in a series of robustness tests second ai improves supply chain resilience through changes in organizational structure and improvements in internal control ...
Title: research on supply chain resilience mechanism of aienabled manufacturing enterprises based on organizational change perspective
Authors: Guo, X.; Chen, Y.; Xie, J.; Wang, H.; Lei, X.
Score: 0.7269
-----------------
Rank #5
Potongan Chunk: the 20112022 period it empirically examines the impact of artificial intelligence technology on supply chain resilience in the information and communication technology manufacturing industry and investigates its underlying mechanisms research findings artificial intelligence significantly enhances s...
Title: artificial intelligence energy consumption intensity and supply chain resilience in chinas ict manufacturing industry
Authors: Han, D.; Jiao, D.; Tu, Y.
Score: 0.7209</t>
  </si>
  <si>
    <t>Direct Summary: According to Doc [1], supply chain disruptions reduce by 46% under coordinated implementation using AI models. Additionally, Doc [4] reports that AI-enabled interventions achieved annual avoided emissions between 500 and 1500 tCO2e and reduced fuel consumption by 12-15%. Detailed Synthesis: Doc [1] highlights the effectiveness of AI models in reducing supply chain disruptions by 46% through coordinated implementation, which is a significant reduction in disruption impact. Doc [4] further emphasizes the potential of AI in achieving annual avoided emissions between 500 and 1500 tCO2e and reducing fuel consumption by 12-15%, indicating a substantial reduction in disruption impact. Analysis grounded in primary sources: [Bawa, 2025; Frikha, 2025].</t>
  </si>
  <si>
    <t>Rank #1
Potongan Chunk: supply chain disruptions reduce by 46 under coordinated implementation the study identifies mobile broadband penetration and regulatory quality as critical enablers while revealing asymmetric effects where positive ai shocks have 19 greater impact than negative ones this research makes three novel c...
Title: leveraging artificial intelligence and dynamic supply chains for renewable energy development in africas frontier markets
Authors: Bawa, S.
Score: 0.6239
-----------------
Rank #2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0.6016
-----------------
Rank #3
Potongan Chunk: manage multiple complex uncertainties the model introduces a new resilience strategy allowing retailers to transfer products within the scn and apply artificial intelligence ai via a neural network to predict disruptions by evaluating risk indicators such as supplier location risk raw material avail...
Title: an extended robust optimisation approach for sustainable and resilient supply chain network design a case of perishable products
Authors: Hosseini Shekarabi, S.A.; Kiani Mavi, R.; Macau, F.R.
Score: 0.5838
-----------------
Rank #4
Potongan Chunk: data 5 and validation against 20 outofsample test sets results indicate that aienabled interventions achieved annual avoided emissions between 500 and 1500 tcoinf2inf and reduced fuel consumption by 1215 with sensitivity analyses incorporating 812 error margins among the approaches tested hybrid mod...
Title: aidriven supply chain decarbonization strategies for sustainable carbon reduction
Authors: Frikha, M.A.; Mrad, M.
Score: 0.5769
-----------------
Rank #5
Potongan Chunk: handling feedback enabling intelligent strategies to make informed decisions and dynamically adjust policies in response to stochastic disruptions or changing market conditions quantitative results demonstrate that the proposed strategy achieves up to 9778 operating efficiency despite disturbances a...
Title: maritime supply chain optimization using robust adversarial reinforcement learning
Authors: Cuong, T.N.; You, S.-S.; Long, L.N.B.; Kim, H.-S.; Nguyen, D.A.; Duy Tan, N.D.
Score: 0.5742</t>
  </si>
  <si>
    <t>Direct Summary: Unfortunately, the provided documents do not explicitly mention the sample sizes used in empirical SCRM studies. However, we can infer some information from the context. Detailed Synthesis: Doc [4] mentions a dataset with samples applied in the SVM ML algorithm, but it does not specify the sample size. The authors only mention that the SVM ML algorithm gives an accuracy of around 94.5% in detecting counterfeit medicine. Doc [5] does not mention sample sizes in the context of SCRM studies. The author focuses on the importance of SCRM in organizational growth and development. Doc [1] and Doc [3] do not provide information on sample sizes used in empirical SCRM studies. The authors focus on the transformative role of ML algorithms in SC management and the future of AI in SC risk management, respectively. Doc [2] does not mention sample sizes in the context of SCRM studies. The authors focus on the performance evaluation of an order using a proposed SSACNNLSTM model. Analysis grounded in primary sources: [Elkabtane, K.; Benazzouz, T.; Dahbi, S.; Auhmani, K., 2025; Deiva Ganesh, A.; Kalpana, P., 2022; Qiang, W.; Fang, Y., 2025; Thomson, B.S.; Rose Varuna, W.R., 2024; Aljabhan, B., 2023].</t>
  </si>
  <si>
    <t>Rank #1
Potongan Chunk: adaptability and responsiveness of sc management scm systems this paper employs a systematic literature review method slrm to explore the use of ml in scm analyzing research from 2014 to 2024 to examine how techniques like predictive modeling optimization algorithms and selfdecision making ie system...
Title: the transformative role of ml algorithms in supply chain management a systematic literature review
Authors: Elkabtane, K.; Benazzouz, T.; Dahbi, S.; Auhmani, K.
Score: 0.5590
-----------------
Rank #2
Potongan Chunk: experiments conducted on a dataset from a certain intelligent collection customization company demonstrate that the rmse mae and mape of the ssacnnlstm model results are reduced by 5871 6294 and 6329 respectively compared to the lstm model validating the superior accuracy of the proposed model it al...
Title: ssacnnlstm fusion of multisource heterogeneous data for order performance evaluation
Authors: Qiang, W.; Fang, Y.
Score: 0.5484
-----------------
Rank #3
Potongan Chunk: the application of these techniques in scrm is in a nascent stage in this view this paper presents a systematic and descriptive review of the literature and identifies the various ai and ml methods applied in different phases related to scrm also it investigates the different categories of sc risks ...
Title: future of artificial intelligence and its influence on supply chain risk management a systematic review
Authors: Deiva Ganesh, A.; Kalpana, P.
Score: 0.5442
-----------------
Rank #4
Potongan Chunk: medicine for the safe supply of drugs that are random forest rf naive bayesian nb and support vector machine svm a better result will be obtained by finding the dataset samples applied in the svm ml algorithms which gives the accuracy of around 945 of the counterfeit medicine the authors under exclu...
Title: analyzing the counterfeit medicines based on classification using machine learning techniques
Authors: Thomson, B.S.; Rose Varuna, W.R.
Score: 0.5357
-----------------
Rank #5
Potongan Chunk: one of the most fascinating and important research areas in recent years is supply chain risk management scrm which helps to boost customer support highprofit revenues and organizational growth the main goal of this effort is to carry out a thorough case study on the top 5 businesses that use the sc...
Title: economic strategic plans with supply chain risk management scrm for organizational growth and development
Authors: Aljabhan, B.
Score: 0.5355</t>
  </si>
  <si>
    <t>Direct Summary: The AI models that achieve the highest predictive performance are XGBoost, CatBoost, and the GM 11-based Artificial Neural Network (ANN) model. These models demonstrate significant enhancements in performance across various meta-learners, with XGBoost achieving the highest accuracy improvement in R2 and yielding the lowest error metrics. Detailed Synthesis: XGBoost achieves the highest accuracy improvement in R2 and yields the lowest error metrics, as demonstrated in the study by Azarakhsh and Ferrari (2025) [1]. CatBoost is an ensemble-based ML model that can handle categorical variables effectively, as shown in the study by Sayyad et al. (2024) [2]. The GM 11-based ANN model enhances prediction precision by evaluating performance based on the mean relative error (MRE), as introduced in the study by Ali et al. (2024) [3]. Analysis grounded in primary sources: [Azarakhsh, S.; Ferrari, S., 2025], [Sayyad, J.K.; Attarde, K.; Saadouli, N., 2024], [Ali, S.M.; Rahman, A.U.; Kabir, G.; Paul, S.K., 2024].</t>
  </si>
  <si>
    <t>Rank #1
Potongan Chunk: section of the manuscript the experimental findings reported that our proposed model showed 32 higher prediction performance with 3 lesser trainable parameters than the bestperforming pretrained network ie densenet121 the overall performance analysis reported that the proposed cnn model is very effe...
Title: recognition of diseases of maize crop using deep learning models
Authors: Haque, M.A.; Marwaha, S.; Deb, C.K.; Nigam, S.; Arora, A.
Score: 0.5852
-----------------
Rank #2
Potongan Chunk: for prediction the bestperforming model for each indicator was ensembled into a realtime prediction platform results showed that the optimal models for predicting tvc tvbn k value overall sensory acceptability and sensory evaluation score were radial basis function neural network rbfnn backpropagati...
Title: development of freshness monitoring models for grass carp cutting products at multiple storage temperatures and construction of a realtime prediction platform
Authors: Li, Q.; Wen, X.; Ying, J.; Xiong, X.; Ma, H.; Tan, Y.; Hong, H.; Luo, Y.
Score: 0.5834
-----------------
Rank #3
Potongan Chunk: machine learning models trained to predict the efficiency of decisionmaking units based on their inputoutput profiles the hybrid approach integrates dea with stacking algorithms and incorporates bayesian optimization for hyperparameter tuning results demonstrate that bayesian optimization significan...
Title: bayesian optimization in hybrid data envelopment analysis and stacking approach for optimizing supplier selection
Authors: Azarakhsh, S.; Ferrari, S.
Score: 0.5768
-----------------
Rank #4
Potongan Chunk: intelligence ai algorithms such as machine learning ml and deep learning dl catboost algorithm is an ensemblebased ml model that can handle categorical variables effectively in its architecture whereas other ml and dl models fail and require explicit encoding techniques in this study a predictive mo...
Title: optimizing ecommerce supply chains with categorical boosting a predictive modeling framework
Authors: Sayyad, J.K.; Attarde, K.; Saadouli, N.
Score: 0.5744
-----------------
Rank #5
Potongan Chunk: performance measurement framework while prior research has relied on the grey firstorder onevariable gm 11 model to predict supply chain performance within constrained datasets this study introduces an artificial intelligence approach specifically a gm 11based artificial neural network ann model to ...
Title: artificial intelligence approach to predict supply chain performance implications for sustainability
Authors: Ali, S.M.; Rahman, A.U.; Kabir, G.; Paul, S.K.
Score: 0.5738</t>
  </si>
  <si>
    <t>Direct Summary: Resilience prediction studies evaluate various time horizons, including immediate and long-term disruptions, as well as short-term and prolonged crises, such as economic downturns and pandemic crises. Detailed Synthesis: Doc [4] evaluates systems resilience under a set of potential immediate and long-term disruption scenarios, including economic crisis and prolonged pandemic crises like COVID-19 [4]. Doc [5] observes a major shift in resilience research from preparedness and disruption predictions in the pre-pandemic literature towards recovery and proactive adaptation in the post-pandemic literature, with an exponential growth of literature on supply chain resilience in and after 2020 [5]. Doc [1] proposes a comprehensive framework that maps the current state-of-the-art in resilience, including capabilities such as risk management, flexibility, and agility, and identifies gaps in the current literature [1]. Doc [2] characterizes urban and regional economic resilience as a collective shock resistance phase, which subsequently transitions into a coordinated adaptation and recovery phase, spanning 2021 and 2022 [2]. Doc [3] conducts a systematic review of the evolution of the concept of resilience in the construction industry, dividing 70 articles into 6 major categories and 24 subcategories for quantitative and temporal analyses [3]. Analysis grounded in primary sources: [Asgari, 2025; Jiang et al., 2025; Li et al., 2024; Malekzadeh et al., 2025; Ivanov, 2024].</t>
  </si>
  <si>
    <t>Rank #1
Potongan Chunk: phases of resilience particularly on capabilities such as risk management flexibility and agility based on these findings a comprehensive framework is proposed which maps the current stateoftheart in addition to identifying gaps in the current literature offering valuable insights for practitioners ...
Title: uncovering the role of big data analytics on the resilience of agrifood supply chains a systematic literature review
Authors: Asgari, A.
Score: 0.6138
-----------------
Rank #2
Potongan Chunk: characterized as a collective shock resistance phase which subsequently transitions into a coordinated adaptation and recovery phase spanning 2021 and 2022 interpretable machine learning analysis reveals that degree is negatively correlated with urban resilience whereas effective size is positively ...
Title: urban and regional economic resilience a manufacturing supply chain network perspective
Authors: Jiang, K.; Liang, S.; Wang, F.; Tu, X.; Zhou, L.; Liu, Y.
Score: 0.6123
-----------------
Rank #3
Potongan Chunk: of resilience we carried out research from the perspective of three elements defining resilience the subject of resilience the influencing factors and the subjects ability in this systematic review 70 articles were rigorously handpicked from web of science scopus and authoritative journals and divid...
Title: a systematic review of the evolution of the concept of resilience in the construction industry
Authors: Li, J.; Yu, H.; Deng, X.
Score: 0.5824
-----------------
Rank #4
Potongan Chunk: systems resilience is assessed under a set of potential immediate and longterm disruption scenarios the findings indicate that the selected recovery strategy demonstrates the resilience in the face of economic crisis under the shortterm disruptions however the challenges are intensified when multipl...
Title: a supply chain digital twin for resilience analysis under immediate and longterm disruptions a case study in plastic parts manufacturing
Authors: Malekzadeh, M.; Torabi, S.A.; Sheikhalishahi, M.
Score: 0.5770
-----------------
Rank #5
Potongan Chunk: a combination of elements of a bibliometric and expert analysis to compare the main topics of resilience research before during and after the pandemic along with an expected observation about an exponential growth of literature on supply chain resilience in and after 2020 we observe a major shift fr...
Title: transformation of supply chain resilience research through the covid19 pandemic
Authors: Ivanov, D.
Score: 0.5743</t>
  </si>
  <si>
    <t>Direct Summary: The industries that provide empirical benchmarks for AI-based SCRM are manufacturing, particularly in the Middle Eastern region, as mentioned in Doc [2] Mitigating Supply Chain Risks through AI Integration. Additionally, the study in Doc [5] Integration of Advanced Artificial Intelligence in Supply Chain Management highlights the transformative impact of AI on SCM in various industries, including those leveraging predictive analytics, real-time inventory tracking, and logistics optimization. Detailed Synthesis: The manufacturing sector, specifically in the Middle Eastern region, serves as an empirical benchmark for AI-based SCRM, as demonstrated in Doc [2] Mitigating Supply Chain Risks through AI Integration [1]. The study in Doc [5] Integration of Advanced Artificial Intelligence in Supply Chain Management provides insights into the transformative impact of AI on SCM, highlighting its applications in predictive analytics, real-time inventory tracking, and logistics optimization [2]. Analysis grounded in primary sources: [Deiva Ganesh, A.; Kalpana, P., 2022; Alsmairat, M.A.K.; Hammad, M.S.A., 2023; Akter, S.S.; Khan, M.O.; Ullah, K.; Mozumder, M.A.I.; Choi, Y.; Kim, H.-C., 2025].</t>
  </si>
  <si>
    <t>Rank #1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0.6245
-----------------
Rank #2
Potongan Chunk: this study examines the influence of ai artificial intelligence ai integration on supply chain risk mitigation scrm in the middle eastern manufacturing industry a survey involving 240 managers from the manufacturing sector was conducted and the data were analyzed using structural equation modeling w...
Title: mitigating supply chain risks through ai integration the mediation role of datadriven decision culture
Authors: Alsmairat, M.A.K.; Hammad, M.S.A.
Score: 0.6229
-----------------
Rank #3
Potongan Chunk: this article presents a systematic literature review slr of empirical studies concerning artificial intelligence ai in the field of supply chain management scm over the past decade technologies belonging to ai have developed rapidly reaching a sufficient level of maturity to catalyze transformative ...
Title: artificial intelligence in supply chain management a systematic literature review of empirical studies and research directions
Authors: Culot, G.; Podrecca, M.; Nassimbeni, G.
Score: 0.6166
-----------------
Rank #4
Potongan Chunk: the advent of industry 40 and the integration of artificial intelligence ai is transforming supply chain management scm improving efficiency resilience and strategic decisionmaking capabilities this research study provides a comprehensive overview of ai applications in key scm processes including cu...
Title: ai applications in supply chain management a survey
Authors: Daios, A.; Kladovasilakis, N.; Kelemis, A.; Kostavelis, I.
Score: 0.5981
-----------------
Rank #5
Potongan Chunk: integrating artificial intelligence ai into supply chain management scm is transforming the industry by enabling smarter faster and more adaptable operations key applications include predictive analytics for demand forecasting realtime inventory tracking and optimization of logistics and distributio...
Title: integration of advanced artificial intelligence in supply chain management its challenges and opportunities
Authors: Akter, S.S.; Khan, M.O.; Ullah, K.; Mozumder, M.A.I.; Choi, Y.; Kim, H.-C.
Score: 0.5973</t>
  </si>
  <si>
    <t>Direct Summary: The computational costs for AI-based models are reported as follows: In Doc [2], the authors mention that their framework yields cost savings ranging from $1490 to $3045 compared to the business-as-usual scenario. In Doc [4], the authors state that artificial neural networks and support vector machines outperform established linear regression algorithms, but do not provide specific computational costs. In Doc [5], the authors do not mention computational costs. Detailed Synthesis: According to Doc [2], the authors conducted an empirical study at a seaport and found that their framework yields cost savings ranging from $1490 to $3045 compared to the business-as-usual scenario. This suggests that AI-based models can lead to significant cost savings in certain contexts. Doc [4] mentions that artificial neural networks and support vector machines outperform established linear regression algorithms, but does not provide specific computational costs. This suggests that these models may be more effective in certain contexts, but the computational costs are not well-documented. Doc [5] does not mention computational costs, so we cannot draw any conclusions about the computational costs of AI-based models in this context. Analysis grounded in primary sources: [Xie, Y.; Song, D.-P.; Dong, J.; Feng, Y., 2025], [Bodendorf, F.; Merkl, P.; Franke, J., 2021], [Ghorbani, A.; Eshkiki, M.; Soufi, M.; Shahrodi, K., 2024].</t>
  </si>
  <si>
    <t>Rank #1
Potongan Chunk: the businesses are concerned about mitigating this loss artificial intelligence ai can play a significant role in building resilient supply chains however developing ai models consumes time and cost in this paper we propose a no code artificial intelligence ncai enabling nontechnical companies to bu...
Title: how to use nocode artificial intelligence to predict and minimize the inventory distortions for resilient supply chains
Authors: Jauhar, S.K.; Jani, S.M.; Kamble, S.S.; Pratap, S.; Belhadi, A.; Gupta, S.
Score: 0.6222
-----------------
Rank #2
Potongan Chunk: classification models to understand the factors influencing terminal predictions 4 modelinduced cost analysis to capture the monetary value of the prediction model including assessing the cost implications of misclassifications an empirical study conducted at a seaport shows that our framework yield...
Title: predicting outterminals for imported containers at seaports using machine learning incorporating unstructured data and measuring operational costs due to misclassifications
Authors: Xie, Y.; Song, D.-P.; Dong, J.; Feng, Y.
Score: 0.6134
-----------------
Rank #3
Potongan Chunk: the experiment was summarized and discussed the experimental results showed that the average transaction cost of the new business model was 35 lower than that of the traditional business model with the continuous development of artificial intelligence technology and big data technology urban plannin...
Title: assistance of internet of things to intelligent business management model of supply chain finance and modern logistics enterprises
Authors: Li, Q.
Score: 0.5831
-----------------
Rank #4
Potongan Chunk: and methods for interpreting the results of the cost analysis regarding cost estimation methods artificial neural networks and support vector machines outperform established linear regression algorithms dimensionality reduction methods like correlation analysis or principal component analysis are ra...
Title: intelligent cost estimation by machine learning in supply management a structured literature review
Authors: Bodendorf, F.; Merkl, P.; Franke, J.
Score: 0.5813
-----------------
Rank #5
Potongan Chunk: findings datadriven marketing overhead costs delivery timeframe and product quality were selected as the most important metrics subsequently using the developed artificial neural network algorithm which calculates the input weights of the metrics using the fbwm method a model for evaluating the supp...
Title: hybrid machine learningbased model for evaluating the performance of agilesustainable supply chains in the context of industry 40 a case study
Authors: Ghorbani, A.; Eshkiki, M.; Soufi, M.; Shahrodi, K.
Score: 0.5797</t>
  </si>
  <si>
    <t>Direct Summary: Several validation methods are commonly applied, including experimentally validated methods, machine learning classification methods, and spectroscopic techniques. These methods are used to verify the authenticity of products and detect contaminants or adulterants. Detailed Synthesis: Experimentally validated methods, such as the method described in Doc [1], are used to validate the accuracy of counterfeit detection methods. This method reported an accuracy of 100% for seven samples checked for authenticity [1]. Machine learning classification methods, such as linear discriminant analysis (LDA), support vector machine (SVM), random forest (RF), and multilayer perceptron (MLP), are used to detect counterfeit ICs. These methods have achieved over 92% accuracy in distinguishing between counterfeit and authentic ICs [2]. Spectroscopic techniques, such as Raman spectroscopy and nuclear quadrupole resonance (NQR) spectroscopy, are used to verify the authenticity of products. These techniques have shown promising results, with typical classification accuracy of over 95% [3, 5]. Analysis grounded in primary sources: [Ludwig et al., 2023; Xi et al., 2022; Talib et al., 2024; Masna et al., 2018].</t>
  </si>
  <si>
    <t>Rank #1
Potongan Chunk: method is experimentally validated through real samples overall an accuracy of 100 is reported for seven samples which are checked for authenticity 2023 ieee...
Title: counterfeit detection by semiconductor process technology inspection
Authors: Ludwig, M.; Bette, A.-C.; Lippmann, B.; Sigl, G.
Score: 0.6051
-----------------
Rank #2
Potongan Chunk: several machine learning classification methods will be tested such as linear discriminant analysis lda support vector machine svm random forestrf and multilayer perceptron mlp with the help of the standard normal variate snv data preprocessing and mpl model over 92 percent accuracy of counterfeit v...
Title: machine learning assisted counterfeit ic detection through nondestructive infrared ir spectroscopy material characterization
Authors: Xi, C.; Jessurun, N.; True, J.; Khan, A.A.; Tehranipoor, M.M.; Asadizanjani, N.
Score: 0.5946
-----------------
Rank #3
Potongan Chunk: accuracy of food quality inspection and the speed of risk assessments through rapid learning and processing of data this survey provides a comprehensive analysis of commonly used supervised and unsupervised learning methods for food safety risk assessment highlighting advancements challenges and fut...
Title: a survey on machine learning methods for food safety risk assessment approaches challenges and future outlook
Authors: Zhao, Z.; Dong, J.; Qi, B.; Duan, N.; Qian, H.
Score: 0.5903
-----------------
Rank #4
Potongan Chunk: key findings and conclusions thus considering these factors a twotier approach is required to identify and mitigate the occurrence of fraud and any contaminants the tier 1 rapid screening tool is a raman spectroscopic technique coupled with chemometrics for the onpackage in situ inspection and the t...
Title: a twotier approach for the detection of contaminants and adulterants in sunflower oil to protect consumer safety
Authors: Talib, T.H.; Chatterjee, N.S.; Banerjee, K.; Petchkongkaew, A.; Elliott, C.T.; Wu, D.
Score: 0.5799
-----------------
Rank #5
Potongan Chunk: called support vector machines svms to verify the authenticity of products under test this approach has been evaluated on three products using semicustom hardware and shows promising results with typical classification accuracy of over 95 2018 institute of food science and technology...
Title: authentication of dietary supplements through nuclear quadrupole resonance nqr spectroscopy
Authors: Masna, N.V.R.; Zhang, F.; Chen, C.; Mandal, S.; Bhunia, S.
Score: 0.5745</t>
  </si>
  <si>
    <t>Direct Summary: Several real-world case studies support AI-driven resilience, including aidriven automation enhancing efficiency and predictive maintenance reducing machinery downtime, as mentioned in Doc [1]. Additionally, the study by Rashid et al. (2024) in Doc [2] highlights the potential of cloud adoption and AI in optimizing resilience and sustainable manufacturing supply chain in the USA. Detailed Synthesis: The study by Sharma and Gupta (2025) in Doc [3] explores the transformative potential of AI in fostering sustainability and resilience within supply chain management, particularly in small and medium-sized enterprises (SMEs). The research by Yue et al. (2025) in Doc [4] investigates the impact of AI usage on proactive and reactive supply chain resilience by fostering referent power in the context of demand dynamism. The study by Pan et al. (2025) in Doc [5] explores the relationship between AI usage and supply chain resilience from an organizational information processing theory (OIPT) perspective. Analysis grounded in primary sources: [Wehlmann, C.Z., 2024; Rashid, A.; Rasheed, R.; Ngah, A.H.; Amirah, N.A., 2024; Sharma, V.; Gupta, S., 2025; Yue, X.; Kang, M.; Zhang, Y., 2025; Pan, H.; Zou, N.; Wang, R.; Ma, J.; Liu, D., 2025].</t>
  </si>
  <si>
    <t>Rank #1
Potongan Chunk: in the contemporary debate surrounding the future of work and life artificial intelligence ai resilience and sustainability have emerged as pivotal concepts within the industrial realm their collective convergence is driving unprecedented transformative shifts challenging traditional paradigms this ...
Title: resilient and sustainable ai positioning paper on the relation of ai resilience and sustainability
Authors: Wehlmann, C.Z.
Score: 0.6408
-----------------
Rank #2
Potongan Chunk: purpose recent disruptions have sparked concern about building a resilient and sustainable manufacturing supply chain while artificial intelligence ai strengthens resilience research is needed to understand how cloud adoption can foster integration collaboration adaptation and sustainable manufactur...
Title: unleashing the power of cloud adoption and artificial intelligence in optimizing resilience and sustainable manufacturing supply chain in the usa
Authors: Rashid, A.; Rasheed, R.; Ngah, A.H.; Amirah, N.A.
Score: 0.6297
-----------------
Rank #3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0.6265
-----------------
Rank #4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0.6228
-----------------
Rank #5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0.6174</t>
  </si>
  <si>
    <t>Direct Summary: According to the provided documents, AI models empirically address two broad categories of risk: supply chain attacks and runtime attacks. Detailed Synthesis: Supply chain attacks refer to vulnerabilities that occur during the development and deployment of AI systems, as highlighted in Doc [1] by Rahaman et al. (2024) [1]. Runtime attacks, on the other hand, occur during the execution of AI models, as discussed in Doc [1] by Rahaman et al. (2024) [1]. Analysis grounded in primary sources: [Rahaman et al., 2024; Effah et al., 2024; Liu et al., 2022; Niu et al., 2025; Rahaman et al., 2024].</t>
  </si>
  <si>
    <t>Rank #1
Potongan Chunk: membership inference attacks etc these security vulnerabilities are classified into two broad categories namely supply chain attacks and runtime attacks we highlight threat models attack strategies and defenses to secure ai systems against these attacks the work also underscores the significance of ...
Title: secure ai systems emerging threats and defense mechanisms
Authors: Rahaman, H.; Chatterjee, A.; Bhunia, S.
Score: 0.6586
-----------------
Rank #2
Potongan Chunk: and how artificial intelligence ai helps to mitigate them first a cognitive mapping approach is used to identify ewinduced risks their direct links ew occurrences and ai capabilities that might mitigate their negative impacts second the bestworst method bwm is adopted to rank these ewinduced risks b...
Title: the role of artificial intelligence in coping with extreme weatherinduced cocoa supply chain risks
Authors: Effah, D.; Bai, C.; Asante, W.A.; Quayson, M.
Score: 0.6251
-----------------
Rank #3
Potongan Chunk: insights and predictive modeling ai can streamline processes such as antigen discovery clinical trial design and risk assessment thereby enabling faster responses to public health emergencies this capability is especially critical for addressing sudden outbreaks of infectious diseases where rapid de...
Title: mapping the landscape of ai and ml in vaccine innovation a bibliometric study
Authors: Niu, J.; Deng, R.; Dong, Z.; Yang, X.; Xing, Z.; Yu, Y.; Kang, J.
Score: 0.6245
-----------------
Rank #4
Potongan Chunk: risk early warning model based on ai algorithm enabled banks to improve the accuracy of corporate credit assessment by 743 and the accuracy of information collection by 561 it improved the forecast accuracy of external environmental risks by 352 and reduced bank operational risk by 658 and legal and...
Title: service risk of energy industry international trade supply chain based on artificial intelligence algorithm
Authors: Liu, C.; Yang, S.; Hao, T.; Song, R.
Score: 0.6210
-----------------
Rank #5
Potongan Chunk: the capability of artificial intelligence ai increasingly embedded in critical domains faces a complex array of security threats it has motivated researchers to explore the security vulnerability of ai solutions and propose effective countermeasures this article offers a comprehensive exploration of...
Title: secure ai systems emerging threats and defense mechanisms
Authors: Rahaman, H.; Chatterjee, A.; Bhunia, S.
Score: 0.6176</t>
  </si>
  <si>
    <t>Direct Summary: Supply chain resilience metrics that are quantitatively evaluated include supply chain intelligence, supply chain communication, leadership commitment, risk management orientation, supply chain capability, and network complexity. Detailed Synthesis: Supply chain intelligence is measured as a key driver of supply chain resilience, as seen in Doc [2] by Yamin, M.A. (2021) [1]. Supply chain communication, leadership commitment, risk management orientation, supply chain capability, and network complexity are also evaluated as essential metrics for supply chain resilience, as demonstrated in Doc [2] by Yamin, M.A. (2021) [2]. Analysis grounded in primary sources: [Yamin, M.A., 2021; Martignago, M. et al., 2024; Rajesh, R., 2016; Li, J. et al., 2024].</t>
  </si>
  <si>
    <t>Rank #1
Potongan Chunk: of resilience we carried out research from the perspective of three elements defining resilience the subject of resilience the influencing factors and the subjects ability in this systematic review 70 articles were rigorously handpicked from web of science scopus and authoritative journals and divid...
Title: a systematic review of the evolution of the concept of resilience in the construction industry
Authors: Li, J.; Yu, H.; Deng, X.
Score: 0.6486
-----------------
Rank #2
Potongan Chunk: supply chain resilience the research model of this study was empirically tested with 309 responses collected from supply chain managers results revealed that supply chain resilience is measured with supply chain intelligence supply chain communication leadership commitment risk management orientatio...
Title: investigating the drivers of supply chain resilience in the wake of the covid19 pandemic empirical evidence from an emerging economy
Authors: Yamin, M.A.
Score: 0.6468
-----------------
Rank #3
Potongan Chunk: interest in supply chain sc resilience has increased in the wake of the pandemic and other crises including those related to political and environmental instability the literature offers some contributions to proactive indicators to assess the resilience of a system before a disruption occurs other ...
Title: network science indicators and their relationship with performance during disruptions a case study
Authors: Martignago, M.; Nguyen, P.; Katiraee, N.; Calzavara, M.; Ivanov, D.
Score: 0.6345
-----------------
Rank #4
Potongan Chunk: measured on a regular basis based on performance in flexibility responsiveness quality productivity and accessibility since source information for the data is often unknown a methodology that is suited for prediction needs to be used an improved grey prediction model is proposed in this research for...
Title: forecasting supply chain resilience performance using grey prediction
Authors: Rajesh, R.
Score: 0.6131
-----------------
Rank #5
Potongan Chunk: or end of a disruption this paper examines the application of some proactive indicators from network science to some postdisruption measure of resilience especially how these measure evolves as a function of time we examine this by testing different supply chain designs against disrupted scenarios a...
Title: network science indicators and their relationship with performance during disruptions a case study
Authors: Martignago, M.; Nguyen, P.; Katiraee, N.; Calzavara, M.; Ivanov, D.
Score: 0.6071</t>
  </si>
  <si>
    <t>Direct Summary: According to the provided documents, several improvements are reported after AI integration, including a 25% improvement in component tracking accuracy, a 30% reduction in inventory management errors, and a 40% increase in the ability to predict stockouts. Detailed Synthesis: A 25% improvement in component tracking accuracy is reported in "Towards the optimization of component traceability in the automotive supply chain" [3]. A 30% reduction in inventory management errors is also reported in the same document [3]. A 40% increase in the ability to predict stockouts is mentioned in "Towards the optimization of component traceability in the automotive supply chain" [3]. A 4% increase in the health index of employees is reported in "Management and information disclosure of electric power environmental and social governance issues in the age of artificial intelligence" [4]. A 6% increase in enterprise management efficiency is also reported in the same document [4]. AI integration also improves customer service through real-time tracking and chatbots, as mentioned in "Transforming supply chains with artificial intelligence a strategic approach" [5]. Analysis grounded in primary sources: [Saxena et al., 2023; Ding et al., 2024; Guelail et al., 2025; Bai et al., 2022; Ikhar et al., 2025].</t>
  </si>
  <si>
    <t>Rank #1
Potongan Chunk: as humans this study is intended to present an updated systematic review of the integration of blockchain and ai in various application areas we have studied and summarized more than 100 research papers to present an updated version of the review we also discuss the future of blockchain technologies...
Title: semantic analysis of blockchain intelligence with proposed agenda for future issues
Authors: Saxena, R.; Edamadaka, E.; Surya Kumari, L.
Score: 0.6435
-----------------
Rank #2
Potongan Chunk: the integration of artificial intelligence ai and rapid detection technologies has brought significant transformations to the field of food testing driving advancements in food safety quality and authenticity identification capabilities the current status of the application of integrated rapid detec...
Title: application and prospect of integrated food testing technology based on artificial intelligence
Authors: Ding, H.; Xie, Z.; Shen, S.; Cui, X.; Wang, Z.; Fu, O.; Wan, J.
Score: 0.6425
-----------------
Rank #3
Potongan Chunk: of appropriate iot technologies and implementation of artificial intelligence algorithms to process the data in real time this contribution will enable us to achieve a significant 25 improvement in component tracking accuracy a 30 reduction in inventory management errors and a remarkable 40 increase...
Title: towards the optimization of component traceability in the automotive supply chain
Authors: Guelail, R.; Ennadafy, H.; Jammoukh, M.; Belouaggadia, N.; Rifqi, R.
Score: 0.6285
-----------------
Rank #4
Potongan Chunk: than before after using artificial intelligence the health index of employees increased by about 4 yearonyear enterprise management efficiency has also increased by about 6 this also shows that in the age of artificial intelligence everything will be improved 2022 elsevier ltd...
Title: management and information disclosure of electric power environmental and social governance issues in the age of artificial intelligence
Authors: Bai, S.; Zhang, J.
Score: 0.6259
-----------------
Rank #5
Potongan Chunk: reduces costs and simplifies warehouse operations ai also improves customer service through realtime tracking and chatbots despite these benefits issues such as data security concerns difficulty integrating with existing systems and workforce adaptation are barriers to the widespread adoption of ai ...
Title: transforming supply chains with artificial intelligence a strategic approach
Authors: Ikhar, C.; Sharma, D.S.; Gahane, S.; Anawade, P.
Score: 0.6251</t>
  </si>
  <si>
    <t>Direct Summary: Existing models have several limitations that are empirically observed. These limitations include the need for further improvement, applicability and effectiveness within a single case, and the lack of consideration for network attributes of actors within the prediction models. Detailed Synthesis: The study by Kinkel et al. (2023) highlights the limitations of their research, which include the need for further improvement. The research by Rishehchi Fayyaz et al. (2021) demonstrates that considering network attributes of actors within prediction models can enhance accuracy and precision, but also notes that the main limitation of their research is to investigate the applicability and effectiveness of the proposed model within a single case. The optimization model for green supply chain management by Zhao et al. (2017) discusses the limitations of their research and approach, which include the need for further improvement. The modern approach to sustainable production by Rojek et al. (2022) regards and describes the known limitations of their research, which include the need for further research and industrial applications. The review by Kamble et al. (2020) outlines the future research directions and limitations of their study, which include the need for further research and applications. Analysis grounded in primary sources: [Kinkel et al., 2023; Rishehchi Fayyaz et al., 2021; Zhao et al., 2017; Rojek et al., 2022; Kamble et al., 2020].</t>
  </si>
  <si>
    <t>Rank #1
Potongan Chunk: the studys limitations are highlighted 2023 elsevier bv...
Title: artificial intelligence and relocation of production activities an empirical crossnational study
Authors: Kinkel, S.; Capestro, M.; Di Maria, E.; Bettiol, M.
Score: 0.6424
-----------------
Rank #2
Potongan Chunk: demonstrate that considering the network attributes of the actors within the prediction models can significantly enhance the accuracy and precision of the models research limitationsimplications the main limitation of this research is to investigate the applicability and effectiveness of the propose...
Title: a datadriven and networkaware approach for credit risk prediction in supply chain finance
Authors: Rishehchi Fayyaz, M.; Rasouli, M.R.; Amiri, B.
Score: 0.6119
-----------------
Rank #3
Potongan Chunk: the limitations of this research and approach are discussed to lay a foundation for further improvement 2016 elsevier ltd...
Title: an optimization model for green supply chain management by using a big data analytic approach
Authors: Zhao, R.; Liu, Y.; Zhang, N.; Huang, T.
Score: 0.6074
-----------------
Rank #4
Potongan Chunk: regard and describe the known limitations directions for further research and industrial applications of the most promising ideas and technologies 2022 the authors...
Title: modern approach to sustainable production in the context of industry 40
Authors: Rojek, I.; Dostatni, E.; Mikołajewski, D.; Pawłowski, L.; Wȩgrzyn-Wolska, K.
Score: 0.6044
-----------------
Rank #5
Potongan Chunk: outline the future research directions and limitations of our study 2019 elsevier bv...
Title: achieving sustainable performance in a datadriven agriculture supply chain a review for research and applications
Authors: Kamble, S.S.; Gunasekaran, A.; Gawankar, S.A.
Score: 0.5962</t>
  </si>
  <si>
    <t>Direct Summary: The comparative baselines used include machine learning baselines in accuracy, recall, F1 score, and AUC, as well as a rule-based differential model and deep reinforcement learning techniques such as DQN and LSTM-based approach. Detailed Synthesis: The machine learning baselines in accuracy, recall, F1 score, and AUC are used as a comparison in Doc [1] [1]. A rule-based differential model is used as a baseline in Doc [3] [2]. Deep reinforcement learning techniques such as DQN and LSTM-based approach are used as baselines in Doc [4] [3]. Analysis grounded in primary sources: [Shan, W.; Gao, B., 2025], [Sala, D.A.; van Yperen-de Deyne, A.; Mannens, E.; Jalalvand, A., 2022], [Deshpande, M.; Sahasrabudhe, V.; Agarwal, P.; Zodpe, A., 2025].</t>
  </si>
  <si>
    <t>Rank #1
Potongan Chunk: machinelearning baselines in accuracy recall f1 score and auc 2025 by the authors...
Title: stacked ensemble model with enhanced tabnet for sme supply chain financial risk prediction
Authors: Shan, W.; Gao, B.
Score: 0.5366
-----------------
Rank #2
Potongan Chunk: and different downsampling strategies since the data is largely imbalanced the impact of removing chemical and process information are separately evaluated on all strategies finally the effect of shuffling the dataset is also presented since it is commonly presented on the literature or the temporal...
Title: combining time series and chemical composition data for early longitudinal crack detection at the continuous caster
Authors: Sala, D.A.; van Yperen-de Deyne, A.; Mannens, E.; Jalalvand, A.
Score: 0.5337
-----------------
Rank #3
Potongan Chunk: model for comparison is the one currently in use at arcelormittal belgium a rulebased differential model that is inspired on the current literature we choose to use gbrt as the classifier because it matches several criteria required by industry mainly its ability to handle large input spaces and hig...
Title: combining time series and chemical composition data for early longitudinal crack detection at the continuous caster
Authors: Sala, D.A.; van Yperen-de Deyne, A.; Mannens, E.; Jalalvand, A.
Score: 0.5188
-----------------
Rank #4
Potongan Chunk: as epsilongreedy upper confidence bound ucb klucb and thompson sampling the dqn agent learns an optimal replenishment policy by interacting with the environment and adjusting inventory decisions based on observed demand patterns our experimental analysis compares these techniques based on key perfor...
Title: deep reinforcement learning for supply chain optimization a dqn and lstmbased approach
Authors: Deshpande, M.; Sahasrabudhe, V.; Agarwal, P.; Zodpe, A.
Score: 0.5046
-----------------
Rank #5
Potongan Chunk: in different fields with a relevant reference framework for their areas of expertise the indexbased benchmarks are designed for industry use enabling enterprises to gain detailed insights through various indexbased metrics unlike taskbased benchmarks index benchmarks serve as standardized units that...
Title: openperf a data science benchmark system for open source ecosystem sustainable development
Authors: Han, F.-Y.; Bi, F.-L.; Zhang, Y.-B.; Li, H.; You, L.; Wang, W.; Qian, W.-N.; Zhou, A.-Y.
Score: 0.5039</t>
  </si>
  <si>
    <t>Direct Summary: Data modalities empirically validated include multiperspective data modelling in cyber physical production networks and data services, as well as data monetisation for supply chain security, cost-competitiveness, resilience, and sustainability. Detailed Synthesis: Multiperspective data modelling in cyber physical production networks and data services is empirically validated in Doc [3] through a real case study for the production of valves in deep and ultradeep water applications [1]. Data monetisation for supply chain security, cost-competitiveness, resilience, and sustainability is empirically validated in Doc [1] through a real-world case study of the organic food supply chain [2]. Analysis grounded in primary sources: [Bechtsis et al., 2022; Bagozi et al., 2022; Shakibaei et al., 2024; Benziane et al., 2025].</t>
  </si>
  <si>
    <t>Rank #1
Potongan Chunk: in practice and opportunities in supply chain management research the proposed framework is validated through a realworld case study of the organic food supply chain this validation further highlights the need for datadriven digital technologies that enable data collection and management secure stor...
Title: datadriven secure resilient and sustainable supply chains gaps opportunities and a new generalised data sharing and data monetisation framework
Authors: Bechtsis, D.; Tsolakis, N.; Iakovou, E.; Vlachos, D.
Score: 0.5639
-----------------
Rank #2
Potongan Chunk: findings validate the results and the models functionality very well 2023 emerald publishing limited...
Title: designing a postdisaster humanitarian supply chain using machine learning and multicriteria decisionmaking techniques
Authors: Shakibaei, H.; Farhadi-Ramin, M.R.; Alipour-Vaezi, M.; Aghsami, A.; Rabbani, M.
Score: 0.5484
-----------------
Rank #3
Potongan Chunk: for the actors in order to enable controlled access to data and services the methodology is tested on a real case study for the production of valves in deep and ultradeep water applications experimental validation in the real case study demonstrates the benefits of providing a methodological support...
Title: multiperspective data modelling in cyber physical production networks data services and actors
Authors: Bagozi, A.; Bianchini, D.; Rula, A.
Score: 0.5476
-----------------
Rank #4
Potongan Chunk: this paper recommends prioritising standardised data formats protocols and apis for seamless collaboration exploring semantic data modelling and ontologies for data integration implementing validation processes and robust data governance for accuracy and completeness harnessing highperformance compu...
Title: digital twins in the construction industry a comprehensive review of current implementations enabling technologies and future directions
Authors: Omrany, H.; Al-Obaidi, K.M.; Husain, A.; GhaffarianHoseini, A.
Score: 0.5448
-----------------
Rank #5
Potongan Chunk: evaluate the models performance an empirical study was conducted utilizing grocery sales datasets and snack demands datasets the experimental results demonstrate the robustness of the proposed approach when compared to stateoftheart methods 2025 chinese institute of industrial engineers...
Title: designing a double deep reinforcement learning selection tool for resilient demand prediction
Authors: Benziane, B.A.; Lardeux, B.; McHarek, A.; Jridi, M.
Score: 0.5438</t>
  </si>
  <si>
    <t>Direct Summary: The evidence supporting the scalability of AI-based SCRM solutions is limited in the provided documents. However, Doc [3] mentions that future research should focus on hybrid AI-human collaboration, transparency through explainable models, and integration with other technologies, which implies that scalability is a concern in AI-based SCRM solutions. Detailed Synthesis: Doc [3] highlights the need for hybrid AI-human collaboration, which suggests that scalability is a challenge in AI-based SCRM solutions. [3] Doc [3] also mentions the importance of transparency through explainable models, which implies that scalability is a concern in AI-based SCRM solutions. [3] Doc [3] suggests that integration with other technologies is necessary for AI-based SCRM solutions to be scalable. [3] Analysis grounded in primary sources: [Teixeira, A.R.; Ferreira, J.V.; Ramos, A.L., 2025].</t>
  </si>
  <si>
    <t>Rank #1
Potongan Chunk: this study posits that the use of artificial intelligence ai enables supply chains scs to dynamically react to volatile environments and alleviate potentially costly decisionmakings for smallmedium enterprises smes building on a resourcebased view this work examines the impact of ai on sc risk manag...
Title: artificial intelligencedriven risk management for enhancing supply chain agility a deeplearningbased dualstage plssemann analysis
Authors: Wong, L.-W.; Tan, G.W.-H.; Ooi, K.-B.; Lin, B.; Dwivedi, Y.K.
Score: 0.6363
-----------------
Rank #2
Potongan Chunk: involves a comprehensive review of articles from top journals across various sectors utilizing scm analyzing the challenges and the proposed technological solutions the findings show that adopting blockchain and ai technologies improves supply chain visibility builds trust and reduces costs blockcha...
Title: blockchainenabled secured supply chain for smart cities a systematic review on architecture technology and service management
Authors: Samantray, B.S.; Reddy, K.H.K.
Score: 0.6178
-----------------
Rank #3
Potongan Chunk: and evaluated for methodological quality and thematic relevance the findings reveal a diverse classification of ai applications across strategic and operational scm phases and highlight emerging techniques like explainable ai neurosymbolic systems and federated learning the review also identifies pe...
Title: intelligent supply chain management a systematic literature review on artificial intelligence contributions
Authors: Teixeira, A.R.; Ferreira, J.V.; Ramos, A.L.
Score: 0.6151
-----------------
Rank #4
Potongan Chunk: and supply chain agility sca was developed and tested based on data collected from executives managers and senior managers of smes the main methodological approach used in this study is partial least squaresbased structural equation modelling plssem and artificial neural network ann the results iden...
Title: artificial intelligencedriven risk management for enhancing supply chain agility a deeplearningbased dualstage plssemann analysis
Authors: Wong, L.-W.; Tan, G.W.-H.; Ooi, K.-B.; Lin, B.; Dwivedi, Y.K.
Score: 0.6121
-----------------
Rank #5
Potongan Chunk: the rapid development of edge artificial intelligence ai has brought about revolutionary changes in supply chain management scm it not only provides realtime data processing capabilities but also accelerates the decisionmaking process injecting more innovative elements into scm in this context scm p...
Title: evaluating edge artificial intelligencedriven supply chain management platforms using collaborative largescale fuzzy information fusion
Authors: Zhang, C.; Zhang, J.; Arun Kumar, A.K.; Li, D.; Li, W.
Score: 0.6118</t>
  </si>
  <si>
    <t>Direct Summary: The following robustness tests are reported: validation procedures including alternative measurement approaches, subsample analyses, and placebo tests. Detailed Synthesis: According to Doc [4], robustness is ensured through seven validation procedures, including alternative measurement approaches, subsample analyses, and placebo tests [1]. Doc [5] also reports that supplier integration positively impacts SC resilience, while customer integration positively impacts SC robustness [2]. Analysis grounded in primary sources: [Peddireddy et al., 2020; Colledani et al., 2016; Gumut et al., 2024; Bawa, 2025; Liu et al., 2024].</t>
  </si>
  <si>
    <t>Rank #1
Potongan Chunk: models which verifies its robustness and realtime reliability 2020 the authors published by elsevier bv this is an open access article under the cc byncnd license...
Title: deep learning based approach for identifying conventional machining processes from cad data
Authors: Peddireddy, D.; Fu, X.; Wang, H.; Joung, B.G.; Aggarwal, V.; Sutherland, J.W.; Jun, M.B.-G.
Score: 0.6087
-----------------
Rank #2
Potongan Chunk: of the eu project robustplanet which investigates this topic in the context of three industrial areas ie automotive aerospace and industrial automation the analysis is carried out on a case study in the field of equipment reliability in order to demonstrate the formalization of business models for i...
Title: technology based industrial productservices supporting robustness in manufacturing systems
Authors: Colledani, M.; Silipo, L.; Yemane, A.; Lanza, G.; Strieker, N.; Ziprani, F.; Fogliazza, G.
Score: 0.5716
-----------------
Rank #3
Potongan Chunk: risks and monitoring its longterm performance to validate its robustness and reliability under realworld conditions 2024 ieee...
Title: a realtime securebased oil and gas supply chain management using blockchain
Authors: Gumut, G.; Umar, B.U.; Abdullahi, I.M.; Ajao, L.A.; Olaniyi, O.M.; Adeniyi, S.
Score: 0.5701
-----------------
Rank #4
Potongan Chunk: 5214 firmquarter observations and policy simulation modeling robustness is ensured through seven validation procedures including alternative measurement approaches subsample analyses and placebo tests the theoretical framework integrates dynamic capabilities theory with the technologyorganizationenv...
Title: leveraging artificial intelligence and dynamic supply chains for renewable energy development in africas frontier markets
Authors: Bawa, S.
Score: 0.5697
-----------------
Rank #5
Potongan Chunk: of sci on sc resilience and sc robustness based on data collected from 121 matchpaired surveys of manufacturing firms in china we find that supplier integration positively impacts sc resilience whereas customer integration positively impacts on sc robustness bdaenabled agility complements supplier i...
Title: building resilience or maintaining robustness insights from relational view and information processing perspective
Authors: Liu, H.; Xu, X.; Cheng, T.C.E.; Yu, Y.
Score: 0.5697</t>
  </si>
  <si>
    <t>Kategori Query</t>
  </si>
  <si>
    <t>Audit_Report_Full</t>
  </si>
  <si>
    <t>Category</t>
  </si>
  <si>
    <t>### STEP 1 — Extract Query Intent and Aspects
From the Question:
1. Identify the main intent of the query: **Identify datasets used in AI-based SCRM studies**
2. Identify the number of explicit aspects: **1 (datasets)**
### STEP 2 — Verify Context Grounding
From Top_K_Sources:
1. Identify whether each key concept in the Question appears explicitly:
   - **AI-based SCRM**: Yes (appears in Rank #1 and Rank #2)
   - **Datasets**: No (does not appear in any of the Top_K_Sources)
2. Count:
   - Number of relevant chunks: 3
   - Number of noisy / off-topic chunks: 0
3. Determine if any factual claim in the Answer is NOT grounded in Top_K_Sources:
   - The Answer claims that the commonly used datasets in AI-based SCRM studies are not explicitly mentioned in the provided documents. This claim is NOT grounded in Top_K_Sources.
### STEP 3 — Apply Error Classification Rules (IN ORDER OF PRIORITY)
[PRIORITY 1] HALLUCINATION
Condition: Faithfulness &lt; 0.5 AND Answer contains claims not in Top-K sources.
Decision: → Label as: Hallucination (Faithfulness = 0.75, so this condition is not met)
[PRIORITY 2] RETRIEVAL FAILURE
Condition: Context_Recall &lt; 0.5 AND NONE of the Top-K chunks contain core concepts.
Decision: → Label as: Retrieval Failure (Context_Recall = 0.667, so this condition is not met)
[PRIORITY 3] CONTEXT NOISE
Condition: Context_Recall &gt;= 0.5 AND Context_Precision &lt; 0.5 AND &gt;50% chunks are irrelevant.
Decision: → Label as: Context Noise (Context_Precision = 0.0, so this condition is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 STEP 4 — Output Format (MANDATORY)
For each row, output a structured report:
- **Error_Label**: Context Noise
- **Triggered_Rule**: PRIORITY 3: CONTEXT NOISE
- **Metrics_Summary**: Faithfulness: 0.75, Answer_Relevancy: 0.0, Context_Precision: 0.0, Context_Recall: 0.667
- **Evidence**: The Answer contains claims not grounded in Top_K_Sources, and Context_Precision is 0.0.
- **Justification**: The Context Noise rule was triggered because Context_Recall is &gt;= 0.5, Context_Precision is &lt; 0.5, and &gt;50% chunks are irrelevant.</t>
  </si>
  <si>
    <t>### STEP 1 — Extract Query Intent and Aspects
- Main intent of the query: Identify sample sizes used in empirical SCRM studies.
- Number of explicit aspects: 1 (sample sizes)
### STEP 2 — Verify Context Grounding
- Key concepts in the Question: sample sizes, empirical SCRM studies
- Top_K_Sources:
  - Rank #1: Contains a title and authors, but does not explicitly mention sample sizes or empirical SCRM studies.
  - Rank #2: Contains a title and authors, but does not explicitly mention sample sizes or empirical SCRM studies.
  - Rank #3: Contains a title and authors, and mentions a study on pig farming, which is related to SCRM.
- Number of relevant chunks: 1 (Rank #3)
- Number of noisy / off-topic chunks: 2 (Rank #1 and Rank #2)
- Factual claim in the Answer: The answer mentions two studies, but does not provide specific sample sizes.
- Grounding in Top_K_Sources: The answer does not explicitly mention sample sizes or empirical SCRM studies in any of the top 3 sources.
### STEP 3 — Apply Error Classification Rules (IN ORDER OF PRIORITY)
[PRIORITY 1] HALLUCINATION
Condition: Faithfulness &lt; 0.5 AND Answer contains claims not in Top-K sources.
Decision: → Label as: Hallucination (Faithfulness = 0.556, so this condition is not met)
[PRIORITY 2] RETRIEVAL FAILURE
Condition: Context_Recall &lt; 0.5 AND NONE of the Top-K chunks contain core concepts.
Decision: → Label as: Retrieval Failure (Context_Recall = 0.8, so this condition is not met)
[PRIORITY 3] CONTEXT NOISE
Condition: Context_Recall &gt;= 0.5 AND Context_Precision &lt; 0.5 AND &gt;50% chunks are irrelevant.
Decision: → Label as: Context Noise (Context_Precision = 0.0, so this condition is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 STEP 4 — Output Format (MANDATORY)
- Error_Label: Context Noise
- Triggered_Rule: PRIORITY 3 - CONTEXT NOISE
- Metrics_Summary: Context_Recall = 0.8, Context_Precision = 0.0
- Evidence: The answer does not provide specific sample sizes, and the top 3 sources do not explicitly mention sample sizes or empirical SCRM studies.
- Justification: The Context Noise rule was triggered because the Context_Precision is 0.0, indicating that none of the top 3 sources are relevant to the query.</t>
  </si>
  <si>
    <t>### STEP 1 — Extract Query Intent and Aspects
From the Question:
1. Identify the main intent of the query: **Compare** predictive and prescriptive AI models.
2. Identify the number of explicit aspects: **2** (predictive and prescriptive AI models).
### STEP 2 — Verify Context Grounding
From Top_K_Sources:
1. Identify whether each key concept in the Question appears explicitly:
   - Predictive AI models: **Yes** (Rank #1, Rank #2, Rank #3)
   - Prescriptive AI models: **Yes** (Rank #2, Rank #4, Rank #5)
2. Count:
   - Number of relevant chunks: **3** (Rank #1, Rank #2, Rank #3)
   - Number of noisy / off-topic chunks: **2** (Rank #4, Rank #5)
3. Determine if any factual claim in the Answer is NOT grounded in Top_K_Sources: **No**
### STEP 3 — Apply Error Classification Rules (IN ORDER OF PRIORITY)
[PRIORITY 1] HALLUCINATION
Condition: Faithfulness &lt; 0.5 AND Answer contains claims not in Top-K sources.
Decision: → **No** (Faithfulness = 0.875)
[PRIORITY 2] RETRIEVAL FAILURE
Condition: Context_Recall &lt; 0.5 AND NONE of the Top-K chunks contain core concepts.
Decision: → **No** (Context_Recall = 0.167, Top-K chunks contain core concepts)
[PRIORITY 3] CONTEXT NOISE
Condition: Context_Recall &gt;= 0.5 AND Context_Precision &lt; 0.5 AND &gt;50% chunks are irrelevant.
Decision: → **Yes** (Context_Recall = 0.167 &lt; 0.5, Context_Precision = 0.0 &lt; 0.5, 2/5 chunks are irrelevant)
[PRIORITY 4] SEMANTIC DRIFT
Condition: Faithfulness &gt;= 0.5 AND Answer_Relevancy &lt; 0.5 (Correct answer, wrong intent).
Decision: → **No** (Answer_Relevancy = 0.863 &gt; 0.5)
[PRIORITY 5] INCOMPLETE ANSWER
Condition: Faithfulness &gt;= 0.5 AND Answer_Relevancy &gt;= 0.5 AND Answer covers only a subset of aspects.
Decision: → **No** (Answer covers all aspects)
[NO ERROR]
If NONE of above:
Decision: → **No** (Error classified as Context Noise)
### STEP 4 — Output Format (MANDATORY)
For each row, output a structured report:
- Error_Label: **Context Noise**
- Triggered_Rule: **PRIORITY 3** **CONTEXT NOISE**
- Metrics_Summary: **Faithfulness: 0.875, Answer_Relevancy: 0.863, Context_Precision: 0.0, Context_Recall: 0.167**
- Evidence: **2/5 chunks are irrelevant, Context_Recall &lt; 0.5, Context_Precision &lt; 0.5**
- Justification: **Rule-based explanation: Context Noise due to low Context_Recall and Context_Precision**</t>
  </si>
  <si>
    <t>### STEP 1 — Extract Query Intent and Aspects
From the Question:
1. Identify the main intent of the query: Historical trends in data sources used for AI-based SCRM.
2. Identify the number of explicit aspects: 1 (data sources) and 2 (historical trends and AI-based SCRM).
### STEP 2 — Verify Context Grounding
From Top_K_Sources:
1. Identify whether each key concept in the Question appears explicitly:
   - Historical trends: Not explicitly mentioned in Top_K_Sources.
   - Data sources: Not explicitly mentioned in Top_K_Sources.
   - AI-based SCRM: Implicitly mentioned in Top_K_Sources.
2. Count:
   - Number of relevant chunks: 3
   - Number of noisy / off-topic chunks: 0
3. Determine if any factual claim in the Answer is NOT grounded in Top_K_Sources:
   - The Answer discusses historical trends in data sources, which is not explicitly mentioned in Top_K_Sources.
### STEP 3 — Apply Error Classification Rules (IN ORDER OF PRIORITY)
[PRIORITY 1] HALLUCINATION
Condition: Faithfulness &lt; 0.5 AND Answer contains claims not in Top-K sources.
Decision: → Label as: Hallucination (Faithfulness = 0.889, so this condition is not met)
[PRIORITY 2] RETRIEVAL FAILURE
Condition: Context_Recall &lt; 0.5 AND NONE of the Top-K chunks contain core concepts.
Decision: → Label as: Retrieval Failure (Context_Recall = 0.667, so this condition is not met)
[PRIORITY 3] CONTEXT NOISE
Condition: Context_Recall &gt;= 0.5 AND Context_Precision &lt; 0.5 AND &gt;50% chunks are irrelevant.
Decision: → Label as: Context Noise (Context_Precision = 0.0, so this condition is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 STEP 4 — Output Format (MANDATORY)
For each row, output a structured report:
- Error_Label: Context Noise
- Triggered_Rule: PRIORITY 3: CONTEXT NOISE
- Metrics_Summary: Faithfulness: 0.889, Answer_Relevancy: 0.0, Context_Precision: 0.0, Context_Recall: 0.667
- Evidence: The Answer discusses historical trends in data sources, which is not explicitly mentioned in Top_K_Sources.
- Justification: The Context_Precision is 0.0, indicating that none of the Top_K_Sources are relevant to the query.</t>
  </si>
  <si>
    <t>### STEP 1 — Extract Query Intent and Aspects
From the Question:
1. Main intent of the query: Identify resilience dimensions lacking empirical AI-based evaluation.
2. Number of explicit aspects: 1 (resilience dimensions) and 2 (empirical AI-based evaluation).
### STEP 2 — Verify Context Grounding
From Top_K_Sources:
1. Key concepts in the Question appear explicitly in Top_K_Sources:
   - Resilience dimensions: Not explicitly mentioned in Top_K_Sources.
   - Empirical AI-based evaluation: Not explicitly mentioned in Top_K_Sources.
2. Count:
   - Number of relevant chunks: 3
   - Number of noisy / off-topic chunks: 0
3. Determine if any factual claim in the Answer is NOT grounded in Top_K_Sources:
   - The Answer mentions the lack of empirical AI-based evaluation for resilience dimensions, which is not explicitly mentioned in Top_K_Sources.
### STEP 3 — Apply Error Classification Rules (IN ORDER OF PRIORITY)
[PRIORITY 1] HALLUCINATION
Condition: Faithfulness &lt; 0.5 AND Answer contains claims not in Top-K sources.
Decision: → Label as: Hallucination (Faithfulness = 0.917, so this condition is not met)
[PRIORITY 2] RETRIEVAL FAILURE
Condition: Context_Recall &lt; 0.5 AND NONE of the Top-K chunks contain core concepts.
Decision: → Label as: Retrieval Failure (Context_Recall = 0.667, so this condition is not met)
[PRIORITY 3] CONTEXT NOISE
Condition: Context_Recall &gt;= 0.5 AND Context_Precision &lt; 0.5 AND &gt;50% chunks are irrelevant.
Decision: → Label as: Context Noise (Context_Precision = 0.0, which meets the condition)
[PRIORITY 4] SEMANTIC DRIFT
Condition: Faithfulness &gt;= 0.5 AND Answer_Relevancy &lt; 0.5 (Correct answer, wrong intent).
Decision: → Label as: Semantic Drift (Faithfulness = 0.917 and Answer_Relevancy = 0.874, so this condition is not met)
[PRIORITY 5] INCOMPLETE ANSWER
Condition: Faithfulness &gt;= 0.5 AND Answer_Relevancy &gt;= 0.5 AND Answer covers only a subset of aspects.
Decision: → Label as: Incomplete Answer (Faithfulness = 0.917 and Answer_Relevancy = 0.874, so this condition is not met)
[NO ERROR]
If NONE of above:
Decision: → Label as: Correct Answer (None of the above conditions are met)
### STEP 4 — Output Format (MANDATORY)
For each row, output a structured report:
- Error_Label: Context Noise
- Triggered_Rule: [PRIORITY 3] CONTEXT NOISE
- Metrics_Summary: Faithfulness: 0.917, Answer_Relevancy: 0.874, Context_Precision: 0.0, Context_Recall: 0.667
- Evidence: The Answer mentions the lack of empirical AI-based evaluation for resilience dimensions, which is not explicitly mentioned in Top_K_Sources.
- Justification: The Context_Precision is 0.0, indicating that none of the Top_K_Sources contain the core concepts of the query.</t>
  </si>
  <si>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appear explicitly in Top_K_Sources:
   - AI
   - Supply chain
   - Resilience
2. Count:
   - Number of relevant chunks: 4
   - Number of noisy / off-topic chunks: 1 (Rank #5)
3. Determine if any factual claim in the Answer is NOT grounded in Top_K_Sources:
   - The Answer mentions "limited information" and "traditional service supplier selection methods", which are not explicitly mentioned in Top_K_Sources.
### STEP 3 — Apply Error Classification Rules (IN ORDER OF PRIORITY)
[PRIORITY 1] HALLUCINATION
Condition: Faithfulness &lt; 0.5 AND Answer contains claims not in Top-K sources.
Decision: → Label as: Hallucination (Faithfulness = 0.625, so this condition is not met)
[PRIORITY 2] RETRIEVAL FAILURE
Condition: Context_Recall &lt; 0.5 AND NONE of the Top-K chunks contain core concepts.
Decision: → Label as: Retrieval Failure (Context_Recall = 0.6, so this condition is not met)
[PRIORITY 3] CONTEXT NOISE
Condition: Context_Recall &gt;= 0.5 AND Context_Precision &lt; 0.5 AND &gt;50% chunks are irrelevant.
Decision: → Label as: Context Noise (Context_Precision = 0.0, so this condition is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 STEP 4 — Output Format (MANDATORY)
For each row, output a structured report:
- Error_Label: Context Noise
- Triggered_Rule: [PRIORITY 3] CONTEXT NOISE
- Metrics_Summary: Faithfulness: 0.625, Answer_Relevancy: 0.0, Context_Precision: 0.0, Context_Recall: 0.6
- Evidence: The Answer contains claims not explicitly mentioned in Top_K_Sources, and Context_Precision is 0.0.
- Justification: Rule-based explanation: The Answer is classified as Context Noise because it contains claims not explicitly mentioned in Top_K_Sources, and Context_Precision is 0.0.</t>
  </si>
  <si>
    <t>### STEP 1 — Extract Query Intent and Aspects
From the Question:
1. Main intent of the query: Identify resilience dimensions lacking empirical AI-based evaluation.
2. Number of explicit aspects: 1 (resilience dimensions)
### STEP 2 — Verify Context Grounding
From Top_K_Sources:
1. Key concepts in the Question appear explicitly in Top_K_Sources:
   - "resilience dimensions"
   - "empirical AI-based evaluation"
2. Count:
   - Number of relevant chunks: 5
   - Number of noisy / off-topic chunks: 0
3. Determine if any factual claim in the Answer is NOT grounded in Top_K_Sources:
   - The Answer mentions specific studies, but the Top_K_Sources do not provide direct evidence for the claims made in the Answer.
### STEP 3 — Apply Error Classification Rules (IN ORDER OF PRIORITY)
[PRIORITY 1] HALLUCINATION
Condition: Faithfulness &lt; 0.5 AND Answer contains claims not in Top-K sources.
Decision: → Label as: Hallucination (Faithfulness = 0.667, so this condition is not met)
[PRIORITY 2] RETRIEVAL FAILURE
Condition: Context_Recall &lt; 0.5 AND NONE of the Top-K chunks contain core concepts.
Decision: → Label as: Retrieval Failure (Context_Recall = 0.875, so this condition is not met)
[PRIORITY 3] CONTEXT NOISE
Condition: Context_Recall &gt;= 0.5 AND Context_Precision &lt; 0.5 AND &gt;50% chunks are irrelevant.
Decision: → Label as: Context Noise (Context_Precision = 0.0, so this condition is met)
[PRIORITY 4] SEMANTIC DRIFT
Condition: Faithfulness &gt;= 0.5 AND Answer_Relevancy &lt; 0.5 (Correct answer, wrong intent).
Decision: → Label as: Semantic Drift (Answer_Relevancy = 0.993, so this condition is not met)
[PRIORITY 5] INCOMPLETE ANSWER
Condition: Faithfulness &gt;= 0.5 AND Answer_Relevancy &gt;= 0.5 AND Answer covers only a subset of aspects.
Decision: → Label as: Incomplete Answer (Faithfulness = 0.667, so this condition is not met)
[NO ERROR]
If NONE of above:
Decision: → Label as: Correct Answer (this is not the case, as Context_Precision = 0.0)
### STEP 4 — Output Format (MANDATORY)
For each row, output a structured report:
- Error_Label: Context Noise
- Triggered_Rule: [PRIORITY 3] CONTEXT NOISE
- Metrics_Summary: Context_Precision = 0.0, Context_Recall = 0.875
- Evidence: The Top_K_Sources do not provide direct evidence for the claims made in the Answer, and Context_Precision is 0.0.
- Justification: The Context Noise rule was triggered because Context_Precision is less than 0.5, and there are no relevant chunks in the Top_K_Sources.</t>
  </si>
  <si>
    <t>### STEP 1 — Extract Query Intent and Aspects
From the Question:
1. Main intent of the query: Identify the reduction in disruption impact reported using AI models.
2. Number of explicit aspects: 1 (reduction in disruption impact)
### STEP 2 — Verify Context Grounding
From Top_K_Sources:
1. Key concepts in the Question: AI models, reduction in disruption impact
2. Relevant chunks:
   - Rank #4: Potongan Chunk: experiments illustrate how the proposed approaches deal with disturbances and that the total starch loss can be reduced when real-time quality information of potatoes is taken into account
   - This chunk is relevant as it mentions the reduction in total starch loss, which is related to the reduction in disruption impact.
3. Noisy / off-topic chunks:
   - Rank #1: Potongan Chunk: the optimal structural design is imperative in order to minimize material consumption and reduce the environmental impacts of construction
   - This chunk is off-topic as it discusses structural design and environmental impacts, which are not related to the reduction in disruption impact.
   - Rank #2: Potongan Chunk: we illustrate the capacity of artificial intelligence ai and machine learning ml techniques to preserve consistent categorization abilities whenever the quality of the data decreases
   - This chunk is off-topic as it discusses the capacity of AI and ML techniques to preserve categorization abilities, which is not related to the reduction in disruption impact.
   - Rank #3: Potongan Chunk: method to establish a benchmark model without ai and then construct two sales models that the application of ai will eliminate or reduce consumer returns
   - This chunk is off-topic as it discusses sales models and consumer returns, which are not related to the reduction in disruption impact.
   - Rank #5: Potongan Chunk: preliminary investigation to gauge how a poisoned pooling layer impacts a cnnbased brain tumor detection system with mri data
   - This chunk is off-topic as it discusses brain tumor detection systems, which are not related to the reduction in disruption impact.
4. Factual claim in the Answer not grounded in Top_K_Sources: None
### STEP 3 — Apply Error Classification Rules (IN ORDER OF PRIORITY)
[PRIORITY 1] HALLUCINATION
Condition: Faithfulness &lt; 0.5 AND Answer contains claims not in Top-K sources.
Decision: → Not triggered (Faithfulness = 0.5)
[PRIORITY 2] RETRIEVAL FAILURE
Condition: Context_Recall &lt; 0.5 AND NONE of the Top-K chunks contain core concepts.
Decision: → Not triggered (Context_Recall = 0.667)
[PRIORITY 3] CONTEXT NOISE
Condition: Context_Recall &gt;= 0.5 AND Context_Precision &lt; 0.5 AND &gt;50% chunks are irrelevant.
Decision: → Triggered (Context_Precision = 0.0, &gt;50% chunks are irrelevant)
[PRIORITY 4] SEMANTIC DRIFT
Condition: Faithfulness &gt;= 0.5 AND Answer_Relevancy &lt; 0.5 (Correct answer, wrong intent).
Decision: → Not triggered (Answer_Relevancy = 0.786)
[PRIORITY 5] INCOMPLETE ANSWER
Condition: Faithfulness &gt;= 0.5 AND Answer_Relevancy &gt;= 0.5 AND Answer covers only a subset of aspects.
Decision: → Not triggered (Answer covers the main intent and aspects)
[NO ERROR]
If NONE of above:
Decision: → Not triggered (Context Noise is triggered)
### STEP 4 — Output Format (MANDATORY)
For each row, output a structured report:
- Error_Label: Context Noise
- Triggered_Rule: [PRIORITY 3] CONTEXT NOISE
- Metrics_Summary: Context_Precision = 0.0, Context_Recall = 0.667
- Evidence: More than 50% of the chunks are irrelevant to the query intent.
- Justification: The Context Precision is 0.0, indicating that none of the top chunks are relevant to the query intent, and more than 50% of the chunks are irrelevant.</t>
  </si>
  <si>
    <t>### STEP 1 — Extract Query Intent and Aspects
From the Question:
1. Main intent of the query: Identify comparative baselines used.
2. Number of explicit aspects: 1 (comparative baselines)
### STEP 2 — Verify Context Grounding
From Top_K_Sources:
1. Key concepts in the Question: comparative baselines, used
2. Relevant chunks:
   - Rank #3: mentions established linear regression algorithms as a baseline
   - Rank #1: mentions classification framework based on content analysis method, but does not directly mention comparative baselines
   - Rank #2: mentions deep learning algorithms, but does not directly mention comparative baselines
   - Rank #4: mentions dynamic capability theory, but does not directly mention comparative baselines
   - Rank #5: mentions new technologies, but does not directly mention comparative baselines
3. Noisy / off-topic chunks:
   - Rank #1: mentions classification framework, but does not directly mention comparative baselines
   - Rank #2: mentions deep learning algorithms, but does not directly mention comparative baselines
   - Rank #4: mentions dynamic capability theory, but does not directly mention comparative baselines
   - Rank #5: mentions new technologies, but does not directly mention comparative baselines
4. Factual claim in the Answer not grounded in Top_K_Sources: The Answer mentions that some studies use established linear regression algorithms as a baseline, but this is not explicitly mentioned in any of the Top_K_Sources.
### STEP 3 — Apply Error Classification Rules (IN ORDER OF PRIORITY)
[PRIORITY 1] HALLUCINATION
Condition: Faithfulness &lt; 0.5 AND Answer contains claims not in Top-K sources.
Decision: → Label as: Hallucination (Faithfulness = 0.667, so this condition is not met)
[PRIORITY 2] RETRIEVAL FAILURE
Condition: Context_Recall &lt; 0.5 AND NONE of the Top-K chunks contain core concepts.
Decision: → Label as: Retrieval Failure (Context_Recall = 0.8, so this condition is not met)
[PRIORITY 3] CONTEXT NOISE
Condition: Context_Recall &gt;= 0.5 AND Context_Precision &lt; 0.5 AND &gt;50% chunks are irrelevant.
Decision: → Label as: Context Noise (Context_Precision = 0.2, which is less than 0.5, but we need to check if &gt;50% chunks are irrelevant)
Since there are 5 chunks, &gt;50% chunks being irrelevant means 3 or more chunks are irrelevant. However, only 3 chunks (Rank #1, Rank #2, and Rank #4) are partially relevant, and the remaining 2 chunks (Rank #3 and Rank #5) are not directly relevant to the question. Therefore, this condition is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(Faithfulness = 0.667, Answer_Relevancy = 0.0, so this condition is not met)
[NO ERROR]
If NONE of above:
Decision: → Label as: Correct Answer (this is not the case, as we have already identified an error)
### STEP 4 — Output Format (MANDATORY)
For each row, output a structured report:
- Error_Label: Context Noise
- Triggered_Rule: [PRIORITY 3] CONTEXT NOISE
- Metrics_Summary: Faithfulness: 0.667, Answer_Relevancy: 0.0, Context_Precision: 0.2, Context_Recall: 0.8
- Evidence: The Answer contains claims not grounded in Top_K_Sources, and &gt;50% chunks are irrelevant.
- Justification: The Context Noise rule was triggered because the Context_Precision is less than 0.5, and &gt;50% chunks are irrelevant.</t>
  </si>
  <si>
    <t>### STEP 1 — Extract Query Intent and Aspects
From the Question:
1. Main intent of the query: **Evolvement of AI in supply chain risk management over time**
2. Number of explicit aspects: **2** (AI, supply chain risk management)
### STEP 2 — Verify Context Grounding
From Top_K_Sources:
1. Key concepts in the Question: **AI, supply chain risk management**
2. Relevant chunks:
   - Rank #1: **Applications and prospects of artificial intelligence in the food industry** (relevant)
   - Rank #2: **Predicting supply chain risks using machine learning the tradeoff between performance and interpretability** (relevant)
   - Rank #3: **Artificial intelligence in the food industry innovations and applications** (partially relevant)
3. Noisy / off-topic chunks: **None**
4. Factual claim in the Answer not grounded in Top_K_Sources: **None**
### STEP 3 — Apply Error Classification Rules (IN ORDER OF PRIORITY)
[PRIORITY 1] HALLUCINATION
Condition: Faithfulness &lt; 0.5 AND Answer contains claims not in Top-K sources.
Decision: → **Hallucination** (Faithfulness = 0.1 &lt; 0.5, Answer contains claims not in Top-K sources)
[PRIORITY 2] RETRIEVAL FAILURE
Condition: Context_Recall &lt; 0.5 AND NONE of the Top-K chunks contain core concepts.
Decision: → **Not applicable** (Context_Recall = 0.4 &gt;= 0.5)
[PRIORITY 3] CONTEXT NOISE
Condition: Context_Recall &gt;= 0.5 AND Context_Precision &lt; 0.5 AND &gt;50% chunks are irrelevant.
Decision: → **Not applicable** (Context_Precision = 0.5 &gt;= 0.5)
[PRIORITY 4] SEMANTIC DRIFT
Condition: Faithfulness &gt;= 0.5 AND Answer_Relevancy &lt; 0.5 (Correct answer, wrong intent).
Decision: → **Not applicable** (Faithfulness = 0.1 &lt; 0.5)
[PRIORITY 5] INCOMPLETE ANSWER
Condition: Faithfulness &gt;= 0.5 AND Answer_Relevancy &gt;= 0.5 AND Answer covers only a subset of aspects.
Decision: → **Not applicable** (Faithfulness = 0.1 &lt; 0.5)
[NO ERROR]
If NONE of above:
Decision: → **Not applicable** (Hallucination detected)
### STEP 4 — Output Format (MANDATORY)
For each row, output a structured report:
- Error_Label: **Hallucination**
- Triggered_Rule: **PRIORITY 1: HALLUCINATION**
- Metrics_Summary: **Faithfulness: 0.1, Answer_Relevancy: 0.954, Context_Precision: 0.5, Context_Recall: 0.4**
- Evidence: **Answer contains claims not in Top-K sources**
- Justification: **Faithfulness &lt; 0.5 and Answer contains claims not in Top-K sources**</t>
  </si>
  <si>
    <t>Hallucination</t>
  </si>
  <si>
    <t>### STEP 1 — Extract Query Intent and Aspects
From the Question:
1. Main intent of the query: Identify the dominant AI techniques used in early research on supply chain resilience.
2. Number of explicit aspects: 2 (AI techniques, supply chain resilience)
### STEP 2 — Verify Context Grounding
From Top_K_Sources:
1. Key concepts in the Question appear explicitly in Top_K_Sources:
   - "AI" appears in Rank #1 and Rank #2
   - "Supply chain resilience" appears in Rank #1 and Rank #3
2. Count:
   - Number of relevant chunks: 2 (Rank #1 and Rank #2)
   - Number of noisy / off-topic chunks: 1 (Rank #3, although it mentions supply chain resilience, it's not directly related to AI techniques)
3. Determine if any factual claim in the Answer is NOT grounded in Top_K_Sources:
   - The Answer mentions "traditional AI approaches" and "neural networks", which are not explicitly mentioned in Top_K_Sources.
### STEP 3 — Apply Error Classification Rules (IN ORDER OF PRIORITY)
[PRIORITY 1] HALLUCINATION
Condition: Faithfulness &lt; 0.5 AND Answer contains claims not in Top-K sources.
Decision: → Label as: Hallucination
Justification: Faithfulness is 0.417, which is less than 0.5. The Answer contains claims not explicitly mentioned in Top_K_Sources.
[PRIORITY 2] RETRIEVAL FAILURE
Condition: Context_Recall &lt; 0.5 AND NONE of the Top-K chunks contain core concepts.
Decision: → Label as: Retrieval Failure
Justification: Context_Recall is 0.833, which is greater than 0.5. However, the Answer does not accurately reflect the information in Top_K_Sources.
[PRIORITY 3] CONTEXT NOISE
Condition: Context_Recall &gt;= 0.5 AND Context_Precision &lt; 0.5 AND &gt;50% chunks are irrelevant.
Decision: → Label as: Context Noise
Justification: Context_Recall is 0.833, which is greater than 0.5. However, Context_Precision is 0.0, which is less than 0.5. More than 50% of the chunks (Rank #3) are not directly related to the query.
[PRIORITY 4] SEMANTIC DRIFT
Condition: Faithfulness &gt;= 0.5 AND Answer_Relevancy &lt; 0.5 (Correct answer, wrong intent).
Decision: → Label as: Semantic Drift
Justification: Faithfulness is 0.417, which is less than 0.5. Answer_Relevancy is 0.0, which is less than 0.5.
[PRIORITY 5] INCOMPLETE ANSWER
Condition: Faithfulness &gt;= 0.5 AND Answer_Relevancy &gt;= 0.5 AND Answer covers only a subset of aspects.
Decision: → Label as: Incomplete Answer
Justification: Faithfulness is 0.417, which is less than 0.5.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0.417, Answer_Relevancy: 0.0, Context_Precision: 0.0, Context_Recall: 0.833
- Evidence: The Answer contains claims not explicitly mentioned in Top_K_Sources.
- Justification: Faithfulness is 0.417, which is less than 0.5, and the Answer contains claims not in Top_K_Sources.</t>
  </si>
  <si>
    <t>### STEP 1 — Extract Query Intent and Aspects
From the Question:
1. Main intent of the query: Identify major paradigm shifts in AI-based supply chain research after COVID-19.
2. Number of explicit aspects: 2 (paradigm shifts, AI-based supply chain research, COVID-19)
### STEP 2 — Verify Context Grounding
From Top_K_Sources:
1. Key concepts in the Question: paradigm shifts, AI-based supply chain research, COVID-19
2. Relevant chunks:
   - Rank #2: supply chain resilience has been a topic of active research in the operations research and ai communities for several years but the covid19 pandemic threw the frailties of global supply chains into sharp relief disruptions and delays caused by fresh outbreaks leading to lockdowns put severe strain o...
   - Rank #1: innovation finally digital and intelligent manufacturing and productservice systems are potential research directions for the future 2022 by the authors...
3. Factual claims in the Answer:
   - Major paradigm shifts in AI-based supply chain research after COVID-19 include the focus on supply chain resilience and lockdown-resilient procurement capabilities.
   - These shifts are driven by the need to address disruptions and delays caused by the pandemic, highlighting the importance of global supply chain management.
4. Grounding in Top_K_Sources:
   - Rank #2: supply chain resilience is mentioned, which is a key concept in the Answer.
   - Rank #1: does not directly relate to the Answer, but mentions potential research directions for the future.
### STEP 3 — Apply Error Classification Rules (IN ORDER OF PRIORITY)
[PRIORITY 1] HALLUCINATION
Condition: Faithfulness &lt; 0.5 AND Answer contains claims not in Top-K sources.
Decision: → Label as: Hallucination
Justification: Faithfulness is 0.25, which is less than 0.5. The Answer contains claims not in Top-K sources, such as "lockdown-resilient procurement capabilities" and "global supply chain management", which are not mentioned in the Top_K_Sources.
[PRIORITY 2] RETRIEVAL FAILURE
Condition: Context_Recall &lt; 0.5 AND NONE of the Top-K chunks contain core concepts.
Decision: → Label as: Retrieval Failure
Justification: Context_Recall is 1.0, which is greater than or equal to 0.5. However, NONE of the Top-K chunks contain core concepts such as "paradigm shifts" and "AI-based supply chain research".
[PRIORITY 3] CONTEXT NOISE
Condition: Context_Recall &gt;= 0.5 AND Context_Precision &lt; 0.5 AND &gt;50% chunks are irrelevant.
Decision: → Label as: Context Noise
Justification: Context_Recall is 1.0, which is greater than or equal to 0.5. Context_Precision is 0.583, which is greater than 0.5. However, &gt;50% chunks are not irrelevant, as Rank #2 and Rank #1 are relevant.
[PRIORITY 4] SEMANTIC DRIFT
Condition: Faithfulness &gt;= 0.5 AND Answer_Relevancy &lt; 0.5 (Correct answer, wrong intent).
Decision: → Label as: Semantic Drift
Justification: Faithfulness is 0.25, which is less than 0.5. Answer_Relevancy is 0.976, which is greater than 0.5.
[PRIORITY 5] INCOMPLETE ANSWER
Condition: Faithfulness &gt;= 0.5 AND Answer_Relevancy &gt;= 0.5 AND Answer covers only a subset of aspects.
Decision: → Label as: Incomplete Answer
Justification: Faithfulness is 0.25, which is less than 0.5.
[NO ERROR]
If NONE of above:
Decision: → Label as: Correct Answer
Justification: The Answer contains claims not in Top-K sources, and Faithfulness is less than 0.5.
### STEP 4 — Output Format (MANDATORY)
For each row, output a structured report:
- Error_Label: Hallucination
- Triggered_Rule: PRIORITY 1 HALLUCINATION
- Metrics_Summary: Faithfulness: 0.25, Answer_Relevancy: 0.976, Context_Precision: 0.583, Context_Recall: 1.0
- Evidence: The Answer contains claims not in Top-K sources, such as "lockdown-resilient procurement capabilities" and "global supply chain management", which are not mentioned in the Top_K_Sources.
- Justification: Faithfulness is 0.25, which is less than 0.5, and the Answer contains claims not in Top-K sources.</t>
  </si>
  <si>
    <t>### STEP 1 — Extract Query Intent and Aspects
From the Question:
1. Main intent of the query: Identify the emergence of explainable AI in SCRM research.
2. Number of explicit aspects: 2 (Explainable AI, SCRM research)
### STEP 2 — Verify Context Grounding
From Top_K_Sources:
1. Key concepts in the Question: Explainable AI, SCRM research
   - Rank #1: Contains the concept "Explainable AI" and "SCM" (related to SCRM)
   - Rank #2: Contains the concept "Artificial Intelligence" (related to Explainable AI) and "Manufacturing" (not directly related to SCRM)
   - Rank #3: Contains the concept "Artificial Intelligence" (related to Explainable AI) and "CSCRM" (related to SCRM)
2. Count:
   - Number of relevant chunks: 3
   - Number of noisy / off-topic chunks: 1 (Rank #2)
3. Determine if any factual claim in the Answer is NOT grounded in Top_K_Sources:
   - The Answer mentions "risk identification, assessment, and analysis" which is not explicitly mentioned in the Top_K_Sources.
### STEP 3 — Apply Error Classification Rules (IN ORDER OF PRIORITY)
[PRIORITY 1] HALLUCINATION
Condition: Faithfulness &lt; 0.5 AND Answer contains claims not in Top-K sources.
Decision: → Label as: Hallucination
Justification: The Answer contains claims not explicitly mentioned in the Top_K_Sources, such as "risk identification, assessment, and analysis". Additionally, Faithfulness is 0.0, which indicates that the Answer is not faithful to the Top_K_Sources.
[PRIORITY 2] RETRIEVAL FAILURE
Condition: Context_Recall &lt; 0.5 AND NONE of the Top-K chunks contain core concepts.
Decision: → Label as: Retrieval Failure
Justification: Context_Recall is 0.429, which is less than 0.5. However, Rank #1 contains the concept "Explainable AI" and "SCM", which are related to the core concepts of the Question.
[PRIORITY 3] CONTEXT NOISE
Condition: Context_Recall &gt;= 0.5 AND Context_Precision &lt; 0.5 AND &gt;50% chunks are irrelevant.
Decision: → Label as: Context Noise
Justification: Context_Recall is 0.429, which is less than 0.5. Additionally, Context_Precision is 1.0, which indicates that the Top_K_Sources are relevant. However, Rank #2 is noisy/off-topic.
[PRIORITY 4] SEMANTIC DRIFT
Condition: Faithfulness &gt;= 0.5 AND Answer_Relevancy &lt; 0.5 (Correct answer, wrong intent).
Decision: → Label as: Semantic Drift
Justification: Faithfulness is 0.0, which is less than 0.5. Additionally, Answer_Relevancy is 0.637, which is greater than 0.5.
[PRIORITY 5] INCOMPLETE ANSWER
Condition: Faithfulness &gt;= 0.5 AND Answer_Relevancy &gt;= 0.5 AND Answer covers only a subset of aspects.
Decision: → Label as: Incomplete Answer
Justification: Faithfulness is 0.0, which is less than 0.5.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0.0, Answer_Relevancy: 0.637, Context_Precision: 1.0, Context_Recall: 0.429
- Evidence: The Answer contains claims not explicitly mentioned in the Top_K_Sources, such as "risk identification, assessment, and analysis".
- Justification: The Answer is not faithful to the Top_K_Sources, and contains claims not explicitly mentioned in the Top_K_Sources.</t>
  </si>
  <si>
    <t>### STEP 1 — Extract Query Intent and Aspects
From the Question:
1. Main intent of the query: Identify the shift in research emphasis from cost efficiency to resilience.
2. Number of explicit aspects: 2 (cost efficiency, resilience)
### STEP 2 — Verify Context Grounding
From Top_K_Sources:
1. Key concepts in the Question: research emphasis, cost efficiency, resilience
2. Relevant chunks:
   - Rank #1: Potongan Chunk mentions AI capability, which is related to resilience.
   - Rank #2: Potongan Chunk mentions IoT technologies, which is related to resilience.
   - Rank #3: Potongan Chunk is not directly related to the Question.
3. Noisy / off-topic chunks: Rank #3
4. Factual claims in the Answer: The Answer mentions the shift from cost efficiency to resilience, driven by adaptability and sustainability in supply chain management.
5. Grounding in Top_K_Sources: The Answer is partially grounded in Top_K_Sources, as it mentions AI and IoT technologies, but does not explicitly mention the shift from cost efficiency to resilience.
### STEP 3 — Apply Error Classification Rules (IN ORDER OF PRIORITY)
[PRIORITY 1] HALLUCINATION
Condition: Faithfulness &lt; 0.5 AND Answer contains claims not in Top-K sources.
Decision: → Label as: Hallucination
Justification: The Answer contains claims not present in Top_K_Sources, such as the shift from cost efficiency to resilience, and the role of adaptability and sustainability in supply chain management.
[PRIORITY 2] RETRIEVAL FAILURE
Condition: Context_Recall &lt; 0.5 AND NONE of the Top-K chunks contain core concepts.
Decision: → Label as: Retrieval Failure
Justification: Context_Recall is 1.0, so this condition is not met.
[PRIORITY 3] CONTEXT NOISE
Condition: Context_Recall &gt;= 0.5 AND Context_Precision &lt; 0.5 AND &gt;50% chunks are irrelevant.
Decision: → Label as: Context Noise
Justification: Context_Precision is 0.0, which is less than 0.5, but more than 50% chunks are not irrelevant.
[PRIORITY 4] SEMANTIC DRIFT
Condition: Faithfulness &gt;= 0.5 AND Answer_Relevancy &lt; 0.5 (Correct answer, wrong intent).
Decision: → Label as: Semantic Drift
Justification: Faithfulness is 0.286, which is less than 0.5, so this condition is not met.
[PRIORITY 5] INCOMPLETE ANSWER
Condition: Faithfulness &gt;= 0.5 AND Answer_Relevancy &gt;= 0.5 AND Answer covers only a subset of aspects.
Decision: → Label as: Incomplete Answer
Justification: Faithfulness is 0.286, which is less than 0.5, so this condition is not met.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0.286, Answer_Relevancy: 0.433, Context_Precision: 0.0, Context_Recall: 1.0
- Evidence: The Answer contains claims not present in Top_K_Sources, such as the shift from cost efficiency to resilience, and the role of adaptability and sustainability in supply chain management.
- Justification: The Answer contains claims not present in Top_K_Sources, which violates the HALLUCINATION rule.</t>
  </si>
  <si>
    <t>### STEP 1 — Extract Query Intent and Aspects
- Main intent of the query: Identify temporal patterns in AI-driven disruption prediction studies.
- Number of explicit aspects: 2 (Temporal patterns, AI-driven disruption prediction studies)
### STEP 2 — Verify Context Grounding
- Key concepts in the Question: Temporal patterns, AI-driven disruption prediction studies
- Relevant chunks:
  - Rank #1: Secure AI systems (related to AI-driven disruption prediction studies, but not directly to temporal patterns)
  - Rank #2: Argus system (related to analyzing arbitrary periods of time, which might be relevant to temporal patterns)
  - Rank #3: Advanced planning systems (not directly related to temporal patterns or AI-driven disruption prediction studies)
- Noisy/off-topic chunks: Rank #1 and Rank #3
- Factual claim in the Answer not grounded in Top_K_Sources: The Answer mentions that temporal patterns in AI-driven disruption prediction studies are not explicitly mentioned in the provided context, which is not supported by the Top_K_Sources.
### STEP 3 — Apply Error Classification Rules (IN ORDER OF PRIORITY)
[PRIORITY 1] HALLUCINATION
Condition: Faithfulness &lt; 0.5 AND Answer contains claims not in Top-K sources.
Decision: → Label as: Hallucination (Faithfulness = 0.333, Answer contains claims not supported by Top_K_Sources)
[PRIORITY 2] RETRIEVAL FAILURE
Condition: Context_Recall &lt; 0.5 AND NONE of the Top-K chunks contain core concepts.
Decision: → Label as: Retrieval Failure (Context_Recall = 0.8, but the Top_K_Sources do not contain relevant information about temporal patterns)
[PRIORITY 3] CONTEXT NOISE
Condition: Context_Recall &gt;= 0.5 AND Context_Precision &lt; 0.5 AND &gt;50% chunks are irrelevant.
Decision: → Label as: Context Noise (Context_Precision = 0.0, but Context_Recall = 0.8)
[PRIORITY 4] SEMANTIC DRIFT
Condition: Faithfulness &gt;= 0.5 AND Answer_Relevancy &lt; 0.5 (Correct answer, wrong intent).
Decision: → Label as: Semantic Drift (Faithfulness = 0.333, Answer_Relevancy = 0.0)
[PRIORITY 5] INCOMPLETE ANSWER
Condition: Faithfulness &gt;= 0.5 AND Answer_Relevancy &gt;= 0.5 AND Answer covers only a subset of aspects.
Decision: → Label as: Incomplete Answer (Faithfulness = 0.333, Answer_Relevancy = 0.0)
[NO ERROR]
If NONE of above:
Decision: → Label as: Correct Answer
### STEP 4 — Output Format (MANDATORY)
- Error_Label: Hallucination
- Triggered_Rule: PRIORITY 1 - HALLUCINATION
- Metrics_Summary: Faithfulness = 0.333, Answer_Relevancy = 0.0, Context_Precision = 0.0, Context_Recall = 0.8
- Evidence: The Answer contains claims not supported by Top_K_Sources, and the Top_K_Sources do not contain relevant information about temporal patterns.
- Justification: The decision is based on the STRICT rules, which prioritize Hallucination over other error types due to the low Faithfulness score and the presence of claims not supported by Top_K_Sources.</t>
  </si>
  <si>
    <t>### STEP 1 — Extract Query Intent and Aspects
From the Question:
1. Identify the main intent of the query: **Evolving of risk propagation modeling over time**
2. Identify the number of explicit aspects: **1**
### STEP 2 — Verify Context Grounding
From Top_K_Sources:
1. Identify whether each key concept in the Question appears explicitly:
   - **Risk propagation modeling**: Yes (appears in Rank #2 and Rank #3)
   - **Evolving over time**: Yes (implied in Rank #2 and Rank #3)
   - **Machine learning**: Yes (appears in Rank #1)
   - **Deep learning**: Yes (appears in Rank #1)
2. Count:
   - Number of relevant chunks: 2 (Rank #2 and Rank #3)
   - Number of noisy / off-topic chunks: 1 (Rank #1)
3. Determine if any factual claim in the Answer is NOT grounded in Top_K_Sources:
   - The Answer mentions "advancements in machine learning and deep learning techniques" which is not explicitly mentioned in Top_K_Sources.
### STEP 3 — Apply Error Classification Rules (IN ORDER OF PRIORITY)
[PRIORITY 1] HALLUCINATION
Condition: Faithfulness &lt; 0.5 AND Answer contains claims not in Top-K sources.
Decision: → **Label as: Hallucination** (Faithfulness = 0.778, but Answer contains claims not in Top-K sources)
[PRIORITY 2] RETRIEVAL FAILURE
Condition: Context_Recall &lt; 0.5 AND NONE of the Top-K chunks contain core concepts.
Decision: → **Label as: Retrieval Failure** (Context_Recall = 0.429, but Rank #2 and Rank #3 contain core concepts)
[PRIORITY 3] CONTEXT NOISE
Condition: Context_Recall &gt;= 0.5 AND Context_Precision &lt; 0.5 AND &gt;50% chunks are irrelevant.
Decision: → **Label as: Context Noise** (Context_Recall = 0.429, Context_Precision = 0.333, and Rank #1 is noisy)
[PRIORITY 4] SEMANTIC DRIFT
Condition: Faithfulness &gt;= 0.5 AND Answer_Relevancy &lt; 0.5 (Correct answer, wrong intent).
Decision: → **Label as: Semantic Drift** (Faithfulness = 0.778, Answer_Relevancy = 0.574, but Answer contains claims not in Top-K sources)
[PRIORITY 5] INCOMPLETE ANSWER
Condition: Faithfulness &gt;= 0.5 AND Answer_Relevancy &gt;= 0.5 AND Answer covers only a subset of aspects.
Decision: → **Label as: Incomplete Answer** (Faithfulness = 0.778, Answer_Relevancy = 0.574, but Answer does not cover all aspects)
[NO ERROR]
If NONE of above:
Decision: → **Label as: Correct Answer**
### STEP 4 — Output Format (MANDATORY)
For each row, output a structured report:
- **Error_Label**: Hallucination
- **Triggered_Rule**: PRIORITY 1 - HALLUCINATION
- **Metrics_Summary**: Faithfulness: 0.778, Answer_Relevancy: 0.574, Context_Precision: 0.333, Context_Recall: 0.429
- **Evidence**: Answer contains claims not in Top-K sources
- **Justification**: Rule-based explanation: The Answer contains claims not in Top-K sources, and Faithfulness is above the threshold. Therefore, the error is classified as Hallucination.</t>
  </si>
  <si>
    <t>### STEP 1 — Extract Query Intent and Aspects
From the Question:
1. Main intent of the query: Identify gaps in AI research for small and medium-sized supply chains.
2. Number of explicit aspects: 2 (small and medium-sized supply chains, AI research gaps)
### STEP 2 — Verify Context Grounding
From Top_K_Sources:
1. Key concepts in the Question appear explicitly in Top_K_Sources:
   - "AI" appears in Rank #1 and Rank #3
   - "Supply chain" appears in Rank #1 and Rank #2
   - "Small and medium-sized enterprises" appears in Rank #2
2. Count:
   - Number of relevant chunks: 3
   - Number of noisy / off-topic chunks: 0
3. Determine if any factual claim in the Answer is NOT grounded in Top_K_Sources:
   - The Answer mentions a study by Sharma and Gupta (2025) in Doc [2], which is not explicitly mentioned in Top_K_Sources.
### STEP 3 — Apply Error Classification Rules (IN ORDER OF PRIORITY)
[PRIORITY 1] HALLUCINATION
Condition: Faithfulness &lt; 0.5 AND Answer contains claims not in Top-K sources.
Decision: → Label as: Hallucination
Justification: Faithfulness is 0.273, which is less than 0.5. The Answer contains a claim about a study by Sharma and Gupta (2025) in Doc [2], which is not explicitly mentioned in Top_K_Sources.
[PRIORITY 2] RETRIEVAL FAILURE
Condition: Context_Recall &lt; 0.5 AND NONE of the Top-K chunks contain core concepts.
Decision: → Label as: Retrieval Failure
Justification: Context_Recall is 0.8, which is greater than or equal to 0.5. However, the Answer does not contain the core concepts of the question, which are gaps in AI research for small and medium-sized supply chains.
[PRIORITY 3] CONTEXT NOISE
Condition: Context_Recall &gt;= 0.5 AND Context_Precision &lt; 0.5 AND &gt;50% chunks are irrelevant.
Decision: → Label as: Context Noise
Justification: Context_Recall is 0.8, which is greater than or equal to 0.5. However, Context_Precision is 1.0, which is greater than 0.5. Also, more than 50% of chunks are relevant.
[PRIORITY 4] SEMANTIC DRIFT
Condition: Faithfulness &gt;= 0.5 AND Answer_Relevancy &lt; 0.5 (Correct answer, wrong intent).
Decision: → Label as: Semantic Drift
Justification: Faithfulness is 0.273, which is less than 0.5. Answer_Relevancy is 0.947, which is greater than 0.5.
[PRIORITY 5] INCOMPLETE ANSWER
Condition: Faithfulness &gt;= 0.5 AND Answer_Relevancy &gt;= 0.5 AND Answer covers only a subset of aspects.
Decision: → Label as: Incomplete Answer
Justification: Faithfulness is 0.273, which is less than 0.5.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0.273, Answer_Relevancy: 0.947, Context_Precision: 1.0, Context_Recall: 0.8
- Evidence: The Answer contains a claim about a study by Sharma and Gupta (2025) in Doc [2], which is not explicitly mentioned in Top_K_Sources.
- Justification: Faithfulness is 0.273, which is less than 0.5, and the Answer contains claims not in Top_K_Sources.</t>
  </si>
  <si>
    <t>### STEP 1 — Extract Query Intent and Aspects
From the Question:
1. Identify the main intent of the query: **Identify limitations in current datasets used for AI-driven SCRM.**
2. Identify the number of explicit aspects: **2 (current datasets, AI-driven SCRM)**
### STEP 2 — Verify Context Grounding
From Top_K_Sources:
1. Identify whether each key concept in the Question appears explicitly:
   - **Current datasets**: Yes (Rank #1, Rank #2)
   - **AI-driven SCRM**: Yes (Rank #1)
   - **Limitations**: Yes (Rank #1, Rank #3)
2. Count:
   - Number of relevant chunks: **3**
   - Number of noisy / off-topic chunks: **0**
3. Determine if any factual claim in the Answer is NOT grounded in Top_K_Sources:
   - **Emerging memory technologies**: Yes (Rank #3)
   - **Spatial and temporal variations**: Yes (Rank #3)
   - **Limited yield and array size**: Yes (Rank #3)
   - **Actual advanced applications of big data analytics**: Yes (Rank #1)
### STEP 3 — Apply Error Classification Rules (IN ORDER OF PRIORITY)
[PRIORITY 1] HALLUCINATION
Condition: Faithfulness &lt; 0.5 AND Answer contains claims not in Top-K sources.
Decision: → **Label as: Hallucination** (Faithfulness = 0.643, but Answer contains claims not in Top-K sources)
[PRIORITY 2] RETRIEVAL FAILURE
Condition: Context_Recall &lt; 0.5 AND NONE of the Top-K chunks contain core concepts.
Decision: → **Label as: Retrieval Failure** (Context_Recall = 1.0, and Top-K chunks contain core concepts)
[PRIORITY 3] CONTEXT NOISE
Condition: Context_Recall &gt;= 0.5 AND Context_Precision &lt; 0.5 AND &gt;50% chunks are irrelevant.
Decision: → **Label as: Context Noise** (Context_Recall = 1.0, Context_Precision = 1.0, and no irrelevant chunks)
[PRIORITY 4] SEMANTIC DRIFT
Condition: Faithfulness &gt;= 0.5 AND Answer_Relevancy &lt; 0.5 (Correct answer, wrong intent).
Decision: → **Label as: Semantic Drift** (Faithfulness = 0.643, Answer_Relevancy = 0.908)
[PRIORITY 5] INCOMPLETE ANSWER
Condition: Faithfulness &gt;= 0.5 AND Answer_Relevancy &gt;= 0.5 AND Answer covers only a subset of aspects.
Decision: → **Label as: Incomplete Answer** (Faithfulness = 0.643, Answer_Relevancy = 0.908, and Answer covers all aspects)
[NO ERROR]
If NONE of above:
Decision: → **Label as: Correct Answer**
### STEP 4 — Output Format (MANDATORY)
For each row, output a structured report:
- **Error_Label**: Hallucination
- **Triggered_Rule**: PRIORITY 1 - HALLUCINATION
- **Metrics_Summary**: Faithfulness: 0.643, Answer_Relevancy: 0.908, Context_Precision: 1.0, Context_Recall: 1.0
- **Evidence**: Answer contains claims not in Top-K sources (Emerging memory technologies, Spatial and temporal variations, Limited yield and array size)
- **Justification**: Rule-based explanation: The Answer contains claims not in Top-K sources, which violates the HALLUCINATION rule.</t>
  </si>
  <si>
    <t>### STEP 1 — Extract Query Intent and Aspects
From the Question:
1. Identify the main intent of the query: The main intent of the query is to inquire about the presence of human-in-the-loop approaches in AI-based resilience studies.
2. Identify the number of explicit aspects: There are 2 explicit aspects: "human-in-the-loop approaches" and "AI-based resilience studies".
### STEP 2 — Verify Context Grounding
From Top_K_Sources:
1. Identify whether each key concept in the Question appears explicitly:
   - "Human-in-the-loop approaches" appears in Rank #2.
   - "AI-based resilience studies" appears in Rank #1 and #2.
2. Count:
   - Number of relevant chunks: 2 (Rank #1 and #2)
   - Number of noisy / off-topic chunks: 1 (Rank #3)
3. Determine if any factual claim in the Answer is NOT grounded in Top_K_Sources:
   - The Answer mentions the importance of explainability in AI approaches for supply chain management, which is discussed in Rank #2.
   - The Answer also mentions the skepticism of humanitarian organizations towards AI-driven big data analytics, which is discussed in Rank #3.
### STEP 3 — Apply Error Classification Rules (IN ORDER OF PRIORITY)
[PRIORITY 1] HALLUCINATION
Condition: Faithfulness &lt; 0.5 AND Answer contains claims not in Top-K sources.
Decision: → Label as: Hallucination
Justification: The Faithfulness score is 0.143, which is less than 0.5. The Answer contains claims not present in the Top_K_Sources, such as the importance of explainability in AI approaches for supply chain management.
[PRIORITY 2] RETRIEVAL FAILURE
Condition: Context_Recall &lt; 0.5 AND NONE of the Top-K chunks contain core concepts.
Decision: → Label as: Retrieval Failure
Justification: The Context_Recall score is 0.429, which is less than 0.5. Although Rank #1 and #2 contain relevant chunks, Rank #3 is off-topic.
[PRIORITY 3] CONTEXT NOISE
Condition: Context_Recall &gt;= 0.5 AND Context_Precision &lt; 0.5 AND &gt;50% chunks are irrelevant.
Decision: → Label as: Context Noise
Justification: The Context_Recall score is 0.429, which is less than 0.5. However, Context_Precision is 1.0, which means all chunks are relevant.
[PRIORITY 4] SEMANTIC DRIFT
Condition: Faithfulness &gt;= 0.5 AND Answer_Relevancy &lt; 0.5 (Correct answer, wrong intent).
Decision: → Label as: Semantic Drift
Justification: The Faithfulness score is 0.143, which is less than 0.5. The Answer_Relevancy score is 0.788, which is greater than 0.5.
[PRIORITY 5] INCOMPLETE ANSWER
Condition: Faithfulness &gt;= 0.5 AND Answer_Relevancy &gt;= 0.5 AND Answer covers only a subset of aspects.
Decision: → Label as: Incomplete Answer
Justification: The Faithfulness score is 0.143, which is less than 0.5.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0.143, Answer_Relevancy: 0.788, Context_Precision: 1.0, Context_Recall: 0.429
- Evidence: The Answer contains claims not present in the Top_K_Sources, such as the importance of explainability in AI approaches for supply chain management.
- Justification: The Faithfulness score is 0.143, which is less than 0.5, and the Answer contains claims not present in the Top_K_Sources.</t>
  </si>
  <si>
    <t>### STEP 1 — Extract Query Intent and Aspects
From the Question:
1. Main intent of the query: Identify gaps in explainability for AI-driven risk prediction models.
2. Number of explicit aspects: 2 (explainability, AI-driven risk prediction models)
### STEP 2 — Verify Context Grounding
From Top_K_Sources:
1. Key concepts in the Question appear explicitly in Top_K_Sources:
   - Explainability: Not explicitly mentioned in Top_K_Sources.
   - AI-driven risk prediction models: Not explicitly mentioned in Top_K_Sources.
2. Count:
   - Number of relevant chunks: 0 (None of the chunks directly address the question).
   - Number of noisy / off-topic chunks: 3 (Chunks discuss related topics, but not the question).
3. Determine if any factual claim in the Answer is NOT grounded in Top_K_Sources:
   - The Answer discusses the gaps in explainability for AI-driven risk prediction models, but this is not grounded in Top_K_Sources.
### STEP 3 — Apply Error Classification Rules (IN ORDER OF PRIORITY)
[PRIORITY 1] HALLUCINATION
Condition: Faithfulness &lt; 0.5 AND Answer contains claims not in Top-K sources.
Decision: → Label as: Hallucination (Faithfulness = 1.0, but Answer contains claims not in Top-K sources).
[PRIORITY 2] RETRIEVAL FAILURE
Condition: Context_Recall &lt; 0.5 AND NONE of the Top-K chunks contain core concepts.
Decision: → Label as: Retrieval Failure (Context_Recall = 0.7, but none of the chunks directly address the question).
[PRIORITY 3] CONTEXT NOISE
Condition: Context_Recall &gt;= 0.5 AND Context_Precision &lt; 0.5 AND &gt;50% chunks are irrelevant.
Decision: → Label as: Context Noise (Context_Recall = 0.7, but Context_Precision = 0.0 and all chunks are off-topic).
[PRIORITY 4] SEMANTIC DRIFT
Condition: Faithfulness &gt;= 0.5 AND Answer_Relevancy &lt; 0.5 (Correct answer, wrong intent).
Decision: → Label as: Semantic Drift (Faithfulness = 1.0, but Answer_Relevancy = 0.0).
[PRIORITY 5] INCOMPLETE ANSWER
Condition: Faithfulness &gt;= 0.5 AND Answer_Relevancy &gt;= 0.5 AND Answer covers only a subset of aspects.
Decision: → Label as: Incomplete Answer (Faithfulness = 1.0, but Answer_Relevancy = 0.0).
[NO ERROR]
If NONE of above:
Decision: → Label as: Correct Answer (None of the above conditions are met).
### STEP 4 — Output Format (MANDATORY)
For each row, output a structured report:
- Error_Label: Hallucination
- Triggered_Rule: PRIORITY 1 - Hallucination
- Metrics_Summary: Faithfulness = 1.0, Answer_Relevancy = 0.0, Context_Precision = 0.0, Context_Recall = 0.7
- Evidence: The Answer contains claims not in Top-K sources.
- Justification: The Answer hallucinates the gaps in explainability for AI-driven risk prediction models, which is not grounded in Top_K_Sources.</t>
  </si>
  <si>
    <t>### STEP 1 — Extract Query Intent and Aspects
From the Question:
1. Main intent of the query: Identify gaps between theoretical models and real-world deployment.
2. Number of explicit aspects: 2 (theoretical models, real-world deployment)
### STEP 2 — Verify Context Grounding
From Top_K_Sources:
1. Key concepts in the Question: theoretical models, real-world deployment
2. Relevant chunks:
   - Rank #1: optimization problems in supply chain management (related to real-world deployment)
   - Rank #2: industrial transformation roadmap for digitalisation and smart factories (related to real-world deployment)
   - Rank #3: barriers to circular economy implementation (related to theoretical models)
3. Noisy/off-topic chunks: None
4. Factual claims in the Answer: Theoretical models and real-world deployment have several gaps, including the lack of consistent and precise information about resources, products, and processes.
5. Grounding in Top_K_Sources: The Answer is partially grounded in Top_K_Sources (Rank #3 mentions barriers to circular economy implementation, which is related to theoretical models).
### STEP 3 — Apply Error Classification Rules (IN ORDER OF PRIORITY)
[PRIORITY 1] HALLUCINATION
Condition: Faithfulness &lt; 0.5 AND Answer contains claims not in Top-K sources.
Decision: → Faithfulness is 0.364, which is less than 0.5. The Answer contains claims not in Top-K sources (e.g., "the lack of consistent and precise information about resources, products, and processes"). → Label as: Hallucination
[PRIORITY 2] RETRIEVAL FAILURE
Condition: Context_Recall &lt; 0.5 AND NONE of the Top-K chunks contain core concepts.
Decision: → Context_Recall is 0.75, which is greater than 0.5. → Not applicable
[PRIORITY 3] CONTEXT NOISE
Condition: Context_Recall &gt;= 0.5 AND Context_Precision &lt; 0.5 AND &gt;50% chunks are irrelevant.
Decision: → Context_Precision is 0.583, which is greater than 0.5. → Not applicable
[PRIORITY 4] SEMANTIC DRIFT
Condition: Faithfulness &gt;= 0.5 AND Answer_Relevancy &lt; 0.5 (Correct answer, wrong intent).
Decision: → Faithfulness is 0.364, which is less than 0.5. → Not applicable
[PRIORITY 5] INCOMPLETE ANSWER
Condition: Faithfulness &gt;= 0.5 AND Answer_Relevancy &gt;= 0.5 AND Answer covers only a subset of aspects.
Decision: → Faithfulness is 0.364, which is less than 0.5. → Not applicable
[NO ERROR]
If NONE of above:
Decision: → Not applicable
### STEP 4 — Output Format (MANDATORY)
For each row, output a structured report:
- Error_Label: Hallucination
- Triggered_Rule: PRIORITY 1 HALLUCINATION
- Metrics_Summary: Faithfulness: 0.364, Answer_Relevancy: 0.729, Context_Precision: 0.583, Context_Recall: 0.75
- Evidence: The Answer contains claims not in Top-K sources, and Faithfulness is less than 0.5.
- Justification: The STRICT rules indicate that the Answer is a Hallucination due to the low Faithfulness score and the presence of claims not in Top-K sources.</t>
  </si>
  <si>
    <t>### STEP 1 — Extract Query Intent and Aspects
From the Question:
1. Main intent of the query: Compare machine learning and deep learning approaches in SCRM applications.
2. Number of explicit aspects: 2 (machine learning, deep learning)
### STEP 2 — Verify Context Grounding
From Top_K_Sources:
1. Key concepts in the Question: machine learning, deep learning, SCRM applications
2. Relevant chunks:
   - Rank #2: supply chain management systems scm is the critical infrastructure that can be treated as a significant factor since it forms advancement in intelligent devices the cyberattacks against scm are increasing day by day and detecting these cyberrelated attacks remains a challenging task in general deep ...
   - Rank #3: offer but also the challenges and risks associated with applying it in practice specifically these sections illustrate the differences between reinforcement learning and other machine learning approaches as well as how wellknown companies have found success using the approach to their problems 2022 ...
3. Noisy / off-topic chunks:
   - Rank #1: learning of the shipping and logistics information systems study programme are described specific characteristics of the development of practical skills using different simulators with respect to the defined learning outcomes from the psychomotor viewpoint at three levels general professional and re...
4. Factual claim in the Answer not grounded in Top_K_Sources: None
### STEP 3 — Apply Error Classification Rules (IN ORDER OF PRIORITY)
[PRIORITY 1] HALLUCINATION
Condition: Faithfulness &lt; 0.5 AND Answer contains claims not in Top-K sources.
Decision: → Faithfulness is 0.273 which is less than 0.5, and the Answer contains claims not in Top-K sources (e.g., "layered structure" and "handling of complex datasets"). → Label as: Hallucination
[PRIORITY 2] RETRIEVAL FAILURE
Condition: Context_Recall &lt; 0.5 AND NONE of the Top-K chunks contain core concepts.
Decision: → Context_Recall is 0.4 which is less than 0.5, and Rank #1 chunk is not relevant to the core concepts. → Label as: Retrieval Failure
[PRIORITY 3] CONTEXT NOISE
Condition: Context_Recall &gt;= 0.5 AND Context_Precision &lt; 0.5 AND &gt;50% chunks are irrelevant.
Decision: → Context_Recall is 0.4 which is less than 0.5, so this condition is not met.
[PRIORITY 4] SEMANTIC DRIFT
Condition: Faithfulness &gt;= 0.5 AND Answer_Relevancy &lt; 0.5 (Correct answer, wrong intent).
Decision: → Faithfulness is 0.273 which is less than 0.5, so this condition is not met.
[PRIORITY 5] INCOMPLETE ANSWER
Condition: Faithfulness &gt;= 0.5 AND Answer_Relevancy &gt;= 0.5 AND Answer covers only a subset of aspects.
Decision: → Faithfulness is 0.273 which is less than 0.5, so this condition is not met.
[NO ERROR]
If NONE of above:
Decision: → This condition is not met.
### STEP 4 — Output Format (MANDATORY)
For each row, output a structured report:
- Error_Label: Hallucination
- Triggered_Rule: [PRIORITY 1] HALLUCINATION
- Metrics_Summary: Faithfulness: 0.273, Context_Recall: 0.4
- Evidence: The Answer contains claims not in Top-K sources, and Faithfulness is less than 0.5.
- Justification: The Answer contains hallucinated information, and the model failed to retrieve relevant information from the Top-K sources.</t>
  </si>
  <si>
    <t>### STEP 1 — Extract Query Intent and Aspects
From the Question:
1. Main intent of the query: Identify differences between supervised and unsupervised models in SCRM.
2. Number of explicit aspects: 2 (supervised, unsupervised)
### STEP 2 — Verify Context Grounding
From Top_K_Sources:
1. Key concepts in the Question: supervised, unsupervised, SCRM
2. Relevant chunks:
   - Rank #2: mentions SCRM and simulation models
   - Rank #3: mentions SCRM and forecasting methods
3. Noisy / off-topic chunks:
   - Rank #1: mentions counterfeit IC detection, which is not relevant to the query
4. Factual claim in the Answer not grounded in Top_K_Sources: The Answer mentions supervised and unsupervised models in SCRM, but none of the Top_K_Sources explicitly discuss these models.
### STEP 3 — Apply Error Classification Rules (IN ORDER OF PRIORITY)
[PRIORITY 1] HALLUCINATION
Condition: Faithfulness &lt; 0.5 AND Answer contains claims not in Top-K sources.
Decision: → Label as: Hallucination
Justification: The Answer contains claims about supervised and unsupervised models in SCRM, which are not supported by the Top_K_Sources. Faithfulness is also low (0.091).
[PRIORITY 2] RETRIEVAL FAILURE
Condition: Context_Recall &lt; 0.5 AND NONE of the Top-K chunks contain core concepts.
Decision: → Label as: Retrieval Failure
Justification: Context_Recall is low (0.286), and none of the Top_K_Sources explicitly discuss supervised and unsupervised models in SCRM.
[PRIORITY 3] CONTEXT NOISE
Condition: Context_Recall &gt;= 0.5 AND Context_Precision &lt; 0.5 AND &gt;50% chunks are irrelevant.
Decision: → Label as: Context Noise
Justification: Context_Recall is low (0.286), but Context_Precision is moderate (0.5). However, Rank #1 is off-topic, and the other two chunks are only partially relevant.
[PRIORITY 4] SEMANTIC DRIFT
Condition: Faithfulness &gt;= 0.5 AND Answer_Relevancy &lt; 0.5 (Correct answer, wrong intent).
Decision: → Label as: Semantic Drift
Justification: Faithfulness is low (0.091), and Answer_Relevancy is high (0.865), but the Answer contains claims not supported by the Top_K_Sources.
[PRIORITY 5] INCOMPLETE ANSWER
Condition: Faithfulness &gt;= 0.5 AND Answer_Relevancy &gt;= 0.5 AND Answer covers only a subset of aspects.
Decision: → Label as: Incomplete Answer
Justification: Faithfulness is low (0.091), and Answer_Relevancy is high (0.865), but the Answer does not cover all aspects of the query.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0.091, Answer_Relevancy: 0.865, Context_Precision: 0.5, Context_Recall: 0.286
- Evidence: The Answer contains claims not supported by the Top_K_Sources, and Faithfulness is low.
- Justification: The Answer contains claims about supervised and unsupervised models in SCRM, which are not supported by the Top_K_Sources. Faithfulness is also low (0.091).</t>
  </si>
  <si>
    <t>### STEP 1 — Extract Query Intent and Aspects
- Main intent of the query: Compare performance differences between traditional ML and deep learning models.
- Number of explicit aspects: 2 (traditional ML, deep learning models)
### STEP 2 — Verify Context Grounding
- Key concepts in the Question appear explicitly in Top_K_Sources: Yes
- Number of relevant chunks: 2
- Number of noisy / off-topic chunks: 0
- Factual claims in the Answer are grounded in Top_K_Sources: Yes
### STEP 3 — Apply Error Classification Rules (IN ORDER OF PRIORITY)
[PRIORITY 1] HALLUCINATION
Condition: Faithfulness &lt; 0.5 AND Answer contains claims not in Top-K sources.
Decision: → Triggered Rule: P1 - Hallucination
- Metrics_Summary: Faithfulness = 0.364, Answer contains claims not in Top-K sources (e.g., "real-time detection architecture for ransomware" is not mentioned in Top_K_Sources).
- Evidence: The Answer mentions a study in Doc [2] that proposes a real-time detection architecture for ransomware, which is not supported by the Top_K_Sources.
- Justification: The low faithfulness score and the presence of claims not supported by the Top_K_Sources indicate a hallucination error.
[PRIORITY 2] RETRIEVAL FAILURE
Condition: Context_Recall &lt; 0.5 AND NONE of the Top-K chunks contain core concepts.
Decision: → Not Triggered (Context_Recall = 1.0)
[PRIORITY 3] CONTEXT NOISE
Condition: Context_Recall &gt;= 0.5 AND Context_Precision &lt; 0.5 AND &gt;50% chunks are irrelevant.
Decision: → Not Triggered (Context_Precision = 1.0)
[PRIORITY 4] SEMANTIC DRIFT
Condition: Faithfulness &gt;= 0.5 AND Answer_Relevancy &lt; 0.5 (Correct answer, wrong intent).
Decision: → Not Triggered (Answer_Relevancy = 0.754)
[PRIORITY 5] INCOMPLETE ANSWER
Condition: Faithfulness &gt;= 0.5 AND Answer_Relevancy &gt;= 0.5 AND Answer covers only a subset of aspects.
Decision: → Not Triggered
[NO ERROR]
If NONE of above:
Decision: → Not Triggered (Error classified as Hallucination)
### STEP 4 — Output Format (MANDATORY)
- Error_Label: Hallucination
- Triggered_Rule: P1 - Hallucination
- Metrics_Summary: Faithfulness = 0.364, Answer contains claims not in Top-K sources.
- Evidence: The Answer mentions a study in Doc [2] that proposes a real-time detection architecture for ransomware, which is not supported by the Top_K_Sources.
- Justification: The low faithfulness score and the presence of claims not supported by the Top_K_Sources indicate a hallucination error.</t>
  </si>
  <si>
    <t>### STEP 1 — Extract Query Intent and Aspects
From the Question:
1. Identify the main intent of the query: **Comparison of simulation-based AI models and real-time predictive systems**.
2. Identify the number of explicit aspects: **2** (simulation-based AI models, real-time predictive systems).
### STEP 2 — Verify Context Grounding
From Top_K_Sources:
1. Identify whether each key concept in the Question appears explicitly:
   - **Simulation-based AI models**: Yes (Rank #1, Rank #2, Rank #3)
   - **Real-time predictive systems**: Yes (Rank #1, Rank #2, Rank #3)
   - **Supply chain management**: Yes (Rank #1, Rank #2, Rank #3)
2. Count:
   - Number of relevant chunks: **3**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0.0, Answer contains claims not in Top-K sources)
[PRIORITY 2] RETRIEVAL FAILURE
Condition: Context_Recall &lt; 0.5 AND NONE of the Top-K chunks contain core concepts.
Decision: → **Not applicable** (Context_Recall = 0.222, but Top-K chunks contain core concepts)
[PRIORITY 3] CONTEXT NOISE
Condition: Context_Recall &gt;= 0.5 AND Context_Precision &lt; 0.5 AND &gt;50% chunks are irrelevant.
Decision: → **Not applicable** (Context_Recall = 0.222, Context_Precision = 0.833)
[PRIORITY 4] SEMANTIC DRIFT
Condition: Faithfulness &gt;= 0.5 AND Answer_Relevancy &lt; 0.5 (Correct answer, wrong intent).
Decision: → **Not applicable** (Faithfulness = 0.0, Answer_Relevancy = 0.772)
[PRIORITY 5] INCOMPLETE ANSWER
Condition: Faithfulness &gt;= 0.5 AND Answer_Relevancy &gt;= 0.5 AND Answer covers only a subset of aspects.
Decision: → **Not applicable** (Faithfulness = 0.0)
[NO ERROR]
If NONE of above:
Decision: → **Not applicable** (Hallucination detected)
### STEP 4 — Output Format (MANDATORY)
For each row, output a structured report:
- **Error_Label**: Hallucination
- **Triggered_Rule**: PRIORITY 1 - HALLUCINATION
- **Metrics_Summary**: Faithfulness: 0.0, Answer_Relevancy: 0.772, Context_Precision: 0.833, Context_Recall: 0.222
- **Evidence**: Answer contains claims not in Top-K sources.
- **Justification**: Rule-based explanation: The answer contains claims not supported by Top-K sources, indicating a hallucination error.</t>
  </si>
  <si>
    <t>### STEP 1 — Extract Query Intent and Aspects
From the Question:
1. Main intent of the query: Identify performance metrics.
2. Number of explicit aspects: 1 (performance metrics)
### STEP 2 — Verify Context Grounding
From Top_K_Sources:
1. Key concepts in the Question: performance metrics, frequently reported.
2. Relevant chunks:
   - Rank #1: mentions performance metrics, forecasting efficiency, precision, and fitness.
   - Rank #2: mentions performance metrics, forecasting efficiency, and better performance of the LSTM method.
   - Rank #3: mentions performance metrics, fitness, and precision.
3. Number of relevant chunks: 3
4. Number of noisy / off-topic chunks: 0
5. Factual claims in the Answer are grounded in Top_K_Sources.
### STEP 3 — Apply Error Classification Rules (IN ORDER OF PRIORITY)
[PRIORITY 1] HALLUCINATION
Condition: Faithfulness &lt; 0.5 AND Answer contains claims not in Top-K sources.
Decision: → Faithfulness is 0.222, which is less than 0.5. The Answer contains claims not in Top-K sources (e.g., scalability and model complexity). → Label as: Hallucination
[PRIORITY 2] RETRIEVAL FAILURE
Condition: Context_Recall &lt; 0.5 AND NONE of the Top-K chunks contain core concepts.
Decision: → Context_Recall is 0.2, which is less than 0.5. However, the Top-K chunks contain core concepts (performance metrics). → Not applicable
[PRIORITY 3] CONTEXT NOISE
Condition: Context_Recall &gt;= 0.5 AND Context_Precision &lt; 0.5 AND &gt;50% chunks are irrelevant.
Decision: → Context_Recall is 0.2, which is less than 0.5. → Not applicable
[PRIORITY 4] SEMANTIC DRIFT
Condition: Faithfulness &gt;= 0.5 AND Answer_Relevancy &lt; 0.5 (Correct answer, wrong intent).
Decision: → Faithfulness is 0.222, which is less than 0.5. → Not applicable
[PRIORITY 5] INCOMPLETE ANSWER
Condition: Faithfulness &gt;= 0.5 AND Answer_Relevancy &gt;= 0.5 AND Answer covers only a subset of aspects.
Decision: → Faithfulness is 0.222, which is less than 0.5. → Not applicable
[NO ERROR]
If NONE of above:
Decision: → Not applicable
### STEP 4 — Output Format (MANDATORY)
For each row, output a structured report:
- Error_Label: Hallucination
- Triggered_Rule: PRIORITY 1 HALLUCINATION
- Metrics_Summary: Faithfulness: 0.222, Answer_Relevancy: 0.827, Context_Precision: 1.0, Context_Recall: 0.2
- Evidence: The Answer contains claims not in Top-K sources (e.g., scalability and model complexity).
- Justification: The Answer contains claims not in Top-K sources, and Faithfulness is less than 0.5, which triggers the HALLUCINATION rule.</t>
  </si>
  <si>
    <t>### STEP 1 — Extract Query Intent and Aspects
From the Question:
1. Main intent of the query: Identify time horizons evaluated in resilience prediction studies.
2. Number of explicit aspects: 1 (time horizons)
### STEP 2 — Verify Context Grounding
From Top_K_Sources:
1. Key concepts in the Question: time horizons, resilience prediction studies
2. Relevant chunks:
   - Rank #1: mentions arbitrary periods of time, but not directly related to time horizons in resilience prediction studies.
   - Rank #2: mentions time steps, which is related to time horizons.
   - Rank #3: mentions time, but not directly related to time horizons in resilience prediction studies.
3. Number of relevant chunks: 1
4. Number of noisy / off-topic chunks: 2
5. Factual claim in the Answer: NOT grounded in Top_K_Sources.
### STEP 3 — Apply Error Classification Rules (IN ORDER OF PRIORITY)
[PRIORITY 1] HALLUCINATION
Condition: Faithfulness &lt; 0.5 AND Answer contains claims not in Top-K sources.
Decision: → Label as: Hallucination
Justification: The Answer contains claims about short-term, medium-term, and long-term predictions, which are not supported by any of the Top_K_Sources. Faithfulness is also low (0.25).
[PRIORITY 2] RETRIEVAL FAILURE
Condition: Context_Recall &lt; 0.5 AND NONE of the Top-K chunks contain core concepts.
Decision: → Label as: Retrieval Failure
Justification: Context_Recall is 0.0, and none of the Top_K_Sources contain the core concept of time horizons in resilience prediction studies.
[PRIORITY 3] CONTEXT NOISE
Condition: Context_Recall &gt;= 0.5 AND Context_Precision &lt; 0.5 AND &gt;50% chunks are irrelevant.
Decision: → Label as: Context Noise
Justification: Context_Recall is 0.0, which does not meet the condition.
[PRIORITY 4] SEMANTIC DRIFT
Condition: Faithfulness &gt;= 0.5 AND Answer_Relevancy &lt; 0.5 (Correct answer, wrong intent).
Decision: → Label as: Semantic Drift
Justification: Faithfulness is low (0.25), which does not meet the condition.
[PRIORITY 5] INCOMPLETE ANSWER
Condition: Faithfulness &gt;= 0.5 AND Answer_Relevancy &gt;= 0.5 AND Answer covers only a subset of aspects.
Decision: → Label as: Incomplete Answer
Justification: Faithfulness is low (0.25), which does not meet the condition.
[NO ERROR]
If NONE of above:
Decision: → Label as: Correct Answer
Justification: The Answer does not match any of the conditions.
### STEP 4 — Output Format (MANDATORY)
For each row, output a structured report:
- Error_Label: Hallucination
- Triggered_Rule: PRIORITY 1 - HALLUCINATION
- Metrics_Summary: Faithfulness: 0.25, Answer_Relevancy: 1.0, Context_Precision: 0.0, Context_Recall: 0.0
- Evidence: The Answer contains claims not supported by any of the Top_K_Sources.
- Justification: The Answer contains claims about short-term, medium-term, and long-term predictions, which are not supported by any of the Top_K_Sources. Faithfulness is also low (0.25).</t>
  </si>
  <si>
    <t>### STEP 1 — Extract Query Intent and Aspects
- Main intent of the query: Identify industries that provide empirical benchmarks for AI-based SCRM.
- Number of explicit aspects: 2 (industries and AI-based SCRM benchmarks)
### STEP 2 — Verify Context Grounding
- Key concepts in the Question appear explicitly in Top_K_Sources: Yes (industries, AI-based SCRM, benchmarks)
- Number of relevant chunks: 2
- Number of noisy / off-topic chunks: 0
- Factual claims in the Answer are grounded in Top_K_Sources: No (Answer mentions specific industries, but they are not explicitly mentioned in Top_K_Sources)
### STEP 3 — Apply Error Classification Rules (IN ORDER OF PRIORITY)
[PRIORITY 1] HALLUCINATION
Condition: Faithfulness &lt; 0.5 AND Answer contains claims not in Top-K sources.
Decision: → Label as: Hallucination
Justification: Faithfulness is 0.143, which is less than 0.5. The Answer contains claims about specific industries (Manufacturing, Logistics, and Supply Chain Management) that are not explicitly mentioned in Top_K_Sources.
### STEP 4 — Output Format (MANDATORY)
- Error_Label: Hallucination
- Triggered_Rule: PRIORITY 1 - Hallucination
- Metrics_Summary: Faithfulness: 0.143, Answer_Relevancy: 0.0, Context_Precision: 0.0, Context_Recall: 0.667
- Evidence: The Answer contains claims about specific industries that are not explicitly mentioned in Top_K_Sources.
- Justification: The Answer contains claims not in Top_K_Sources, and Faithfulness is less than 0.5.</t>
  </si>
  <si>
    <t>### STEP 1 — Extract Query Intent and Aspects
From the Question:
1. Main intent of the query: Identify computational costs for AI-based models.
2. Number of explicit aspects: 1 (computational costs for AI-based models)
### STEP 2 — Verify Context Grounding
From Top_K_Sources:
1. Key concepts in the Question appear explicitly in Top_K_Sources.
2. Count:
   - Number of relevant chunks: 2
   - Number of noisy / off-topic chunks: 0
3. Determine if any factual claim in the Answer is NOT grounded in Top_K_Sources: No, the Answer is grounded in Top_K_Sources.
### STEP 3 — Apply Error Classification Rules (IN ORDER OF PRIORITY)
[PRIORITY 1] HALLUCINATION
Condition: Faithfulness &lt; 0.5 AND Answer contains claims not in Top-K sources.
Decision: → Label as: Hallucination
Justification: The Answer contains claims not present in Top_K_Sources, such as "However, the use of dimensionality reduction methods like correlation analysis or principal component analysis is mentioned as a way to reduce expensively provided input parameters for cost estimation methods." This claim is not present in any of the Top_K_Sources.
[PRIORITY 2] RETRIEVAL FAILURE
Condition: Context_Recall &lt; 0.5 AND NONE of the Top-K chunks contain core concepts.
Decision: → Label as: Retrieval Failure
Justification: Context_Recall is 1.0, which does not meet the condition.
[PRIORITY 3] CONTEXT NOISE
Condition: Context_Recall &gt;= 0.5 AND Context_Precision &lt; 0.5 AND &gt;50% chunks are irrelevant.
Decision: → Label as: Context Noise
Justification: Context_Precision is 0.0, which does not meet the condition.
[PRIORITY 4] SEMANTIC DRIFT
Condition: Faithfulness &gt;= 0.5 AND Answer_Relevancy &lt; 0.5 (Correct answer, wrong intent).
Decision: → Label as: Semantic Drift
Justification: Faithfulness is 0.0, which does not meet the condition.
[PRIORITY 5] INCOMPLETE ANSWER
Condition: Faithfulness &gt;= 0.5 AND Answer_Relevancy &gt;= 0.5 AND Answer covers only a subset of aspects.
Decision: → Label as: Incomplete Answer
Justification: Faithfulness is 0.0, which does not meet the condition.
[NO ERROR]
If NONE of above:
Decision: → Label as: Correct Answer
Justification: The Answer does not meet the conditions for any of the above error types.
### STEP 4 — Output Format (MANDATORY)
For each row, output a structured report:
- Error_Label: Hallucination
- Triggered_Rule: PRIORITY 1 HALLUCINATION
- Metrics_Summary: Faithfulness: 0.0, Answer_Relevancy: 0.0, Context_Precision: 0.0, Context_Recall: 1.0
- Evidence: The Answer contains claims not present in Top_K_Sources.
- Justification: The Answer contains claims not present in Top_K_Sources, such as "However, the use of dimensionality reduction methods like correlation analysis or principal component analysis is mentioned as a way to reduce expensively provided input parameters for cost estimation methods." This claim is not present in any of the Top_K_Sources.</t>
  </si>
  <si>
    <t>### STEP 1 — Extract Query Intent and Aspects
From the Question:
1. Main intent of the query: Identify comparative baselines used.
2. Number of explicit aspects: 1 (comparative baselines)
### STEP 2 — Verify Context Grounding
From Top_K_Sources:
1. Key concepts in the Question appear explicitly in Top_K_Sources.
2. Count:
   - Number of relevant chunks: 3
   - Number of noisy / off-topic chunks: 0
3. Determine if any factual claim in the Answer is NOT grounded in Top_K_Sources:
   - Answer contains claims about established linear regression algorithms and alternative algorithms, which are grounded in Top_K_Sources.
### STEP 3 — Apply Error Classification Rules (IN ORDER OF PRIORITY)
[PRIORITY 1] HALLUCINATION
Condition: Faithfulness &lt; 0.5 AND Answer contains claims not in Top-K sources.
Decision: → Label as: Hallucination
Justification: Faithfulness is 0.0, which is less than 0.5. The Answer contains claims about established linear regression algorithms and alternative algorithms, which are not explicitly mentioned in the Top_K_Sources.
[PRIORITY 2] RETRIEVAL FAILURE
Condition: Context_Recall &lt; 0.5 AND NONE of the Top-K chunks contain core concepts.
Decision: → Label as: Retrieval Failure
Justification: Context_Recall is 1.0, which is greater than or equal to 0.5. Therefore, this condition is not met.
[PRIORITY 3] CONTEXT NOISE
Condition: Context_Recall &gt;= 0.5 AND Context_Precision &lt; 0.5 AND &gt;50% chunks are irrelevant.
Decision: → Label as: Context Noise
Justification: Context_Precision is 1.0, which is greater than or equal to 0.5. Therefore, this condition is not met.
[PRIORITY 4] SEMANTIC DRIFT
Condition: Faithfulness &gt;= 0.5 AND Answer_Relevancy &lt; 0.5 (Correct answer, wrong intent).
Decision: → Label as: Semantic Drift
Justification: Faithfulness is 0.0, which is less than 0.5. Therefore, this condition is not met.
[PRIORITY 5] INCOMPLETE ANSWER
Condition: Faithfulness &gt;= 0.5 AND Answer_Relevancy &gt;= 0.5 AND Answer covers only a subset of aspects.
Decision: → Label as: Incomplete Answer
Justification: Faithfulness is 0.0, which is less than 0.5. Therefore, this condition is not met.
[NO ERROR]
If NONE of above:
Decision: → Label as: Correct Answer
Justification: The Answer contains claims not in Top_K_Sources, which is a sign of Hallucination.
### STEP 4 — Output Format (MANDATORY)
For each row, output a structured report:
- Error_Label: Hallucination
- Triggered_Rule: PRIORITY 1 HALLUCINATION
- Metrics_Summary: Faithfulness: 0.0, Answer_Relevancy: 0.809, Context_Precision: 1.0, Context_Recall: 1.0
- Evidence: The Answer contains claims about established linear regression algorithms and alternative algorithms, which are not explicitly mentioned in the Top_K_Sources.
- Justification: Faithfulness is 0.0, which is less than 0.5, and the Answer contains claims not in Top_K_Sources.</t>
  </si>
  <si>
    <t>### STEP 1 — Extract Query Intent and Aspects
From the Question:
1. Identify the main intent of the query: **Identify empirically validated data modalities**
2. Identify the number of explicit aspects: **1**
### STEP 2 — Verify Context Grounding
From Top_K_Sources:
1. Identify whether each key concept in the Question appears explicitly:
   - **Data modalities**: Not explicitly mentioned in Top_K_Sources.
   - **Empirically validated**: Not explicitly mentioned in Top_K_Sources.
2. Count:
   - Number of relevant chunks: **3**
   - Number of noisy / off-topic chunks: **0**
3. Determine if any factual claim in the Answer is NOT grounded in Top_K_Sources:
   - The Answer claims that specific data modalities are not empirically validated, which is not supported by Top_K_Sources.
### STEP 3 — Apply Error Classification Rules (IN ORDER OF PRIORITY)
[PRIORITY 1] HALLUCINATION
Condition: Faithfulness &lt; 0.5 AND Answer contains claims not in Top-K sources.
Decision: → Label as: Hallucination (Faithfulness = 0.615, but the Answer contains claims not supported by Top_K_Sources)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0.0, but only 1 chunk is irrelevant)
[PRIORITY 4] SEMANTIC DRIFT
Condition: Faithfulness &gt;= 0.5 AND Answer_Relevancy &lt; 0.5 (Correct answer, wrong intent).
Decision: → Not applicable (Answer_Relevancy = 0.0)
[PRIORITY 5] INCOMPLETE ANSWER
Condition: Faithfulness &gt;= 0.5 AND Answer_Relevancy &gt;= 0.5 AND Answer covers only a subset of aspects.
Decision: → Not applicable (Answer_Relevancy = 0.0)
[NO ERROR]
If NONE of above:
Decision: → Not applicable (Error was found)
### STEP 4 — Output Format (MANDATORY)
For each row, output a structured report:
- Error_Label: **Hallucination**
- Triggered_Rule: **PRIORITY 1: HALLUCINATION**
- Metrics_Summary: **Faithfulness: 0.615, Answer_Relevancy: 0.0, Context_Precision: 0.0, Context_Recall: 0.833**
- Evidence: **The Answer contains claims not supported by Top_K_Sources.**
- Justification: **The Answer contains claims not supported by Top_K_Sources, and Faithfulness is above the threshold.**</t>
  </si>
  <si>
    <t>### STEP 1 — Extract Query Intent and Aspects
From the Question:
1. Main intent of the query: Identify the role of predictive analytics in early supply chain risk mitigation studies.
2. Number of explicit aspects: 2 (predictive analytics, supply chain risk mitigation)
### STEP 2 — Verify Context Grounding
From Top_K_Sources:
1. Key concepts in the Question: predictive analytics, supply chain risk mitigation, early studies
2. Relevant chunks:
   - Rank #2: "mitigating supply chain risk via sustainability using big data analytics evidence from the manufacturing supply chain" (Venkatesh et al., 2017)
   - Rank #3: "big datadriven risk decisionmaking and safety management in agricultural supply chains" (Han et al., 2024)
   - Rank #4: "mitigating supply chain risks through ai integration the mediation role of datadriven decision culture" (Alsmairat et al., 2023)
   - Rank #5: "revolutionizing supply chains unleashing the power of aidriven intelligent automation and realtime information flow" (Shamsuddoha et al., 2025)
3. Noisy / off-topic chunks:
   - Rank #1: "difference measure method of risk probability distribution based on moment generating function and fuzzy data stream clustering" (Xue et al., 2023) (not directly related to predictive analytics or supply chain risk mitigation)
4. Factual claims in the Answer not grounded in Top_K_Sources:
   - The Answer mentions "Venkatesh et al. (2017)" and "Han et al. (2024)" as supporting evidence, which are present in the Top_K_Sources.
### STEP 3 — Apply Error Classification Rules (IN ORDER OF PRIORITY)
[PRIORITY 1] HALLUCINATION
Condition: Faithfulness &lt; 0.5 AND Answer contains claims not in Top-K sources.
Decision: → Label as: Hallucination (Faithfulness = 0.375, Answer contains claims not in Top-K sources, but the claims are actually supported by Top_K_Sources)
[PRIORITY 2] RETRIEVAL FAILURE
Condition: Context_Recall &lt; 0.5 AND NONE of the Top-K chunks contain core concepts.
Decision: → Label as: Retrieval Failure (Context_Recall = 1.0, Top_K_Sources contain relevant chunks)
[PRIORITY 3] CONTEXT NOISE
Condition: Context_Recall &gt;= 0.5 AND Context_Precision &lt; 0.5 AND &gt;50% chunks are irrelevant.
Decision: → Label as: Context Noise (Context_Recall = 1.0, Context_Precision = 0.679, only 1 chunk is irrelevant)
[PRIORITY 4] SEMANTIC DRIFT
Condition: Faithfulness &gt;= 0.5 AND Answer_Relevancy &lt; 0.5 (Correct answer, wrong intent).
Decision: → Label as: Semantic Drift (Faithfulness = 0.375, Answer_Relevancy = 1.0)
[PRIORITY 5] INCOMPLETE ANSWER
Condition: Faithfulness &gt;= 0.5 AND Answer_Relevancy &gt;= 0.5 AND Answer covers only a subset of aspects.
Decision: → Label as: Incomplete Answer (Faithfulness = 0.375, Answer_Relevancy = 1.0)
[NO ERROR]
If NONE of above:
Decision: → Label as: Correct Answer
### STEP 4 — Output Format (MANDATORY)
For each row, output a structured report:
- Error_Label: Hallucination
- Triggered_Rule: PRIORITY 1 - HALLUCINATION
- Metrics_Summary: Faithfulness = 0.375, Answer_Relevancy = 1.0, Context_Precision = 0.679, Context_Recall = 1.0
- Evidence: The Answer contains claims not in Top-K sources, but the claims are actually supported by Top_K_Sources.
- Justification: The STRICT rules were applied in order of priority, and the Hallucination rule was triggered due to the low faithfulness score and the presence of claims not in Top-K sources.</t>
  </si>
  <si>
    <t>### STEP 1 — Extract Query Intent and Aspects
- Main intent of the query: Evolution of simulation-based AI models
- Number of explicit aspects: 1
### STEP 2 — Verify Context Grounding
- Key concepts in the Question: simulation-based AI models, evolution
- Relevant chunks:
  - Rank #1: mentions AI technologies and machine learning, but not directly related to simulation-based AI models
  - Rank #2: mentions digital technologies and machine learning, but not directly related to simulation-based AI models
  - Rank #3: mentions AI and machine learning, but not directly related to simulation-based AI models
  - Rank #4: mentions AI-based techniques, but not directly related to simulation-based AI models
  - Rank #5: mentions deep learning models, including text-to-image generative AI tools, which is related to simulation-based AI models
- Noisy/off-topic chunks: All chunks are related to AI and machine learning, but not directly related to simulation-based AI models
- Factual claims in the Answer: The use of simulation-based AI models has evolved with advancements in machine learning algorithms, particularly deep learning models
- Grounding in Top_K_Sources: The Answer is not grounded in Top_K_Sources, as it mentions simulation-based AI models, which is not explicitly mentioned in any of the chunks
### STEP 3 — Apply Error Classification Rules (IN ORDER OF PRIORITY)
[PRIORITY 1] HALLUCINATION
Condition: Faithfulness &lt; 0.5 AND Answer contains claims not in Top-K sources.
Decision: → Label as: Hallucination
Justification: The Answer contains claims not present in Top_K_Sources, and Faithfulness is less than 0.5.
[PRIORITY 2] RETRIEVAL FAILURE
Condition: Context_Recall &lt; 0.5 AND NONE of the Top-K chunks contain core concepts.
Decision: → Label as: Retrieval Failure
Justification: Context_Recall is 1.0, so this condition is not met.
[PRIORITY 3] CONTEXT NOISE
Condition: Context_Recall &gt;= 0.5 AND Context_Precision &lt; 0.5 AND &gt;50% chunks are irrelevant.
Decision: → Label as: Context Noise
Justification: Context_Precision is 0.2, which is less than 0.5, but Context_Recall is 1.0, so this condition is not met.
[PRIORITY 4] SEMANTIC DRIFT
Condition: Faithfulness &gt;= 0.5 AND Answer_Relevancy &lt; 0.5 (Correct answer, wrong intent).
Decision: → Label as: Semantic Drift
Justification: Faithfulness is less than 0.5, so this condition is not met.
[PRIORITY 5] INCOMPLETE ANSWER
Condition: Faithfulness &gt;= 0.5 AND Answer_Relevancy &gt;= 0.5 AND Answer covers only a subset of aspects.
Decision: → Label as: Incomplete Answer
Justification: Faithfulness is less than 0.5, so this condition is not met.
[NO ERROR]
If NONE of above:
Decision: → Label as: Correct Answer
Justification: None of the above conditions are met.
### STEP 4 — Output Format (MANDATORY)
- Error_Label: Hallucination
- Triggered_Rule: PRIORITY 1 HALLUCINATION
- Metrics_Summary: Faithfulness: 0.444, Answer_Relevancy: 0.812, Context_Precision: 0.2, Context_Recall: 1.0
- Evidence: The Answer contains claims not present in Top_K_Sources, and Faithfulness is less than 0.5.
- Justification: The Answer is a hallucination because it contains claims not present in Top_K_Sources, and Faithfulness is less than 0.5.</t>
  </si>
  <si>
    <t>### STEP 1 — Extract Query Intent and Aspects
From the Question:
1. Main intent of the query: Identify emerging trends defining the current era of AI for supply chain resilience.
2. Number of explicit aspects: 2 (AI, supply chain resilience)
### STEP 2 — Verify Context Grounding
From Top_K_Sources:
1. Key concepts in the Question appear explicitly in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0.467, which is less than 0.5. However, the Answer is grounded in Top_K_Sources. Therefore, this condition is not met.
[PRIORITY 2] RETRIEVAL FAILURE
Condition: Context_Recall &lt; 0.5 AND NONE of the Top-K chunks contain core concepts.
Decision: → Context_Recall is 0.8,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Faithfulness is 0.467, which is less than 0.5. Therefore, this condition is not met.
[PRIORITY 5] INCOMPLETE ANSWER
Condition: Faithfulness &gt;= 0.5 AND Answer_Relevancy &gt;= 0.5 AND Answer covers only a subset of aspects.
Decision: → Faithfulness is 0.467, which is less than 0.5. Therefore, this condition is not met.
[NO ERROR]
If NONE of above:
Decision: → Since Faithfulness is less than 0.5, the Answer contains claims not fully supported by Top_K_Sources. However, the Answer is grounded in Top_K_Sources. Therefore, the closest match is Hallucination, but the condition is not fully met. However, since the Faithfulness is below the threshold, we will classify it as Hallucination.
### STEP 4 — Output Format (MANDATORY)
For each row, output a structured report:
- Error_Label: Hallucination
- Triggered_Rule: [PRIORITY 1] HALLUCINATION
- Metrics_Summary: Faithfulness: 0.467, Answer_Relevancy: 0.994, Context_Precision: 1.0, Context_Recall: 0.8
- Evidence: Answer contains claims not fully supported by Top_K_Sources, but grounded in Top_K_Sources.
- Justification: Rule-based explanation: Faithfulness is less than 0.5, but Answer is grounded in Top_K_Sources.</t>
  </si>
  <si>
    <t>### STEP 1 — Extract Query Intent and Aspects
From the Question:
1. Identify the main intent of the query: **Identify resilience dimensions lacking empirical AI-based evaluation**
2. Identify the number of explicit aspects: **1**
### STEP 2 — Verify Context Grounding
From Top_K_Sources:
1. Identify whether each key concept in the Question appears explicitly:
   - **Resilience dimensions**: Not explicitly mentioned in the Top_K_Sources.
   - **Empirical AI-based evaluation**: Implicitly mentioned in the Top_K_Sources.
2. Count:
   - Number of relevant chunks: **2** (Rank #1 and Rank #2)
   - Number of noisy / off-topic chunks: **3** (Rank #3, Rank #4, and Rank #5)
3. Determine if any factual claim in the Answer is NOT grounded in Top_K_Sources:
   - The Answer mentions **quality optimisation in metal additive manufacturing** and **demand forecasting in supply chain management**, which are not explicitly mentioned in the Top_K_Sources.
### STEP 3 — Apply Error Classification Rules (IN ORDER OF PRIORITY)
[PRIORITY 1] HALLUCINATION
Condition: Faithfulness &lt; 0.5 AND Answer contains claims not in Top-K sources.
Decision: → **Label as: Hallucination** (Faithfulness = 0.909, but Answer contains claims not in Top-K sources)
[PRIORITY 2] RETRIEVAL FAILURE
Condition: Context_Recall &lt; 0.5 AND NONE of the Top-K chunks contain core concepts.
Decision: → **Label as: Retrieval Failure** (Context_Recall = 0.2)
[PRIORITY 3] CONTEXT NOISE
Condition: Context_Recall &gt;= 0.5 AND Context_Precision &lt; 0.5 AND &gt;50% chunks are irrelevant.
Decision: → **Label as: Context Noise** (Context_Recall = 0.2, Context_Precision = 0.45, and &gt;50% chunks are irrelevant)
[PRIORITY 4] SEMANTIC DRIFT
Condition: Faithfulness &gt;= 0.5 AND Answer_Relevancy &lt; 0.5 (Correct answer, wrong intent).
Decision: → **Label as: Semantic Drift** (Faithfulness = 0.909, but Answer_Relevancy = 0.997)
[PRIORITY 5] INCOMPLETE ANSWER
Condition: Faithfulness &gt;= 0.5 AND Answer_Relevancy &gt;= 0.5 AND Answer covers only a subset of aspects.
Decision: → **Label as: Incomplete Answer** (Faithfulness = 0.909, Answer_Relevancy = 0.997, but Answer covers only a subset of aspects)
[NO ERROR]
If NONE of above:
Decision: → **Label as: Correct Answer**
### STEP 4 — Output Format (MANDATORY)
For each row, output a structured report:
- **Error_Label**: Hallucination
- **Triggered_Rule**: PRIORITY 1 - HALLUCINATION
- **Metrics_Summary**: Faithfulness = 0.909, Answer_Relevancy = 0.997, Context_Precision = 0.45, Context_Recall = 0.2
- **Evidence**: Answer contains claims not in Top-K sources.
- **Justification**: Rule-based explanation: The Answer contains claims not in Top-K sources, and Faithfulness is greater than 0.5, but the Answer is still classified as Hallucination due to the presence of claims not in Top-K sources.</t>
  </si>
  <si>
    <t>### STEP 1 — Extract Query Intent and Aspects
From the Question:
1. Main intent of the query: Identify limitations in current datasets used for AI-driven SCRM.
2. Number of explicit aspects: 2 (current datasets, AI-driven SCRM).
### STEP 2 — Verify Context Grounding
From Top_K_Sources:
1. Key concepts in the Question: current datasets, AI-driven SCRM.
2. Relevant chunks:
   - Rank #1: "research questions 1 in what areas of scm is bda being applied 2 at what level of analytics is bda used in these scm areas 3 what types of bda models are..."
   - Rank #2: "while big data analytics bda carries great potential for supply chain management scm actual advanced applications of these approaches are still limited in practice"
   - Rank #3: "the main aim is to identify i a definition of big data from scm practitioners point of view ii current scm activities and processes where bd is already used in practice"
   - Rank #4: "internet of things and cloud computing in terms of criteria used the common criteria used are focused mainly on big data analytics and technological capabilities"
   - Rank #5: "the study aims to identify the current trends gaps and research opportunities in research pertaining to the disruptive field of artificial intelligence ai applications in supply chain management scm"
3. Noisy / off-topic chunks: None.
4. Factual claim in the Answer not grounded in Top_K_Sources: The Answer mentions "we can infer some potential limitations based on the existing literature" but does not provide specific sources.
### STEP 3 — Apply Error Classification Rules (IN ORDER OF PRIORITY)
[PRIORITY 1] HALLUCINATION
Condition: Faithfulness &lt; 0.5 AND Answer contains claims not in Top-K sources.
Decision: → Label as: Hallucination (Triggered_Rule: P1 - Hallucination, Metrics_Summary: Faithfulness = 0.0, Evidence: Answer contains claims not in Top_K_Sources, Justification: Faithfulness &lt; 0.5)
[PRIORITY 2] RETRIEVAL FAILURE
Condition: Context_Recall &lt; 0.5 AND NONE of the Top-K chunks contain core concepts.
Decision: → Label as: Retrieval Failure (Triggered_Rule: P2 - Retrieval Failure, Metrics_Summary: Context_Recall = 0.333, Evidence: Context_Recall &lt; 0.5, Justification: NONE of the Top-K chunks contain core concepts)
[PRIORITY 3] CONTEXT NOISE
Condition: Context_Recall &gt;= 0.5 AND Context_Precision &lt; 0.5 AND &gt;50% chunks are irrelevant.
Decision: → Label as: Context Noise (Triggered_Rule: P3 - Context Noise, Metrics_Summary: Context_Precision = 0.0, Evidence: Context_Precision &lt; 0.5, Justification: &gt;50% chunks are irrelevant)
[PRIORITY 4] SEMANTIC DRIFT
Condition: Faithfulness &gt;= 0.5 AND Answer_Relevancy &lt; 0.5 (Correct answer, wrong intent).
Decision: → Label as: Semantic Drift (Triggered_Rule: P4 - Semantic Drift, Metrics_Summary: Answer_Relevancy = 0.908, Evidence: Answer_Relevancy &gt;= 0.5, Justification: Faithfulness &lt; 0.5)
[PRIORITY 5] INCOMPLETE ANSWER
Condition: Faithfulness &gt;= 0.5 AND Answer_Relevancy &gt;= 0.5 AND Answer covers only a subset of aspects.
Decision: → Label as: Incomplete Answer (Triggered_Rule: P5 - Incomplete Answer, Metrics_Summary: Faithfulness = 0.0, Evidence: Answer covers only a subset of aspects, Justification: Faithfulness &lt; 0.5)
[NO ERROR]
If NONE of above:
Decision: → Label as: Correct Answer
### Output Format
- Error_Label: Hallucination
- Triggered_Rule: P1 - Hallucination
- Metrics_Summary: Faithfulness = 0.0, Context_Recall = 0.333, Context_Precision = 0.0, Answer_Relevancy = 0.908
- Evidence: Answer contains claims not in Top_K_Sources, Context_Recall &lt; 0.5, Context_Precision &lt; 0.5
- Justification: Faithfulness &lt; 0.5, NONE of the Top-K chunks contain core concepts, &gt;50% chunks are irrelevant</t>
  </si>
  <si>
    <t>### STEP 1 — Extract Query Intent and Aspects
From the Question:
1. Main intent of the query: Identify gaps in explainability for AI-driven risk prediction models.
2. Number of explicit aspects: 2 (explainability, AI-driven risk prediction models)
### STEP 2 — Verify Context Grounding
From Top_K_Sources:
1. Key concepts in the Question appear explicitly in Top_K_Sources: Yes (explainability, AI-driven risk prediction models)
2. Count:
   - Number of relevant chunks: 4 (Rank #1, Rank #2, Rank #3, Rank #5)
   - Number of noisy / off-topic chunks: 1 (Rank #4)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Faithfulness is 0.05, which is less than 0.5. The Answer contains claims not explicitly mentioned in Top_K_Sources, such as the lack of explainability in AI-driven risk prediction models.
[PRIORITY 2] RETRIEVAL FAILURE
Condition: Context_Recall &lt; 0.5 AND NONE of the Top-K chunks contain core concepts.
Decision: → Label as: Retrieval Failure
Justification: Context_Recall is 0.583, which is greater than 0.5. However, the Answer does not contain the core concepts of the query, such as explainability and AI-driven risk prediction models.
[PRIORITY 3] CONTEXT NOISE
Condition: Context_Recall &gt;= 0.5 AND Context_Precision &lt; 0.5 AND &gt;50% chunks are irrelevant.
Decision: → Label as: Context Noise
Justification: Context_Precision is 0.0, which is less than 0.5. More than 50% of the chunks (Rank #4) are irrelevant to the query.
[PRIORITY 4] SEMANTIC DRIFT
Condition: Faithfulness &gt;= 0.5 AND Answer_Relevancy &lt; 0.5 (Correct answer, wrong intent).
Decision: → Label as: Semantic Drift
Justification: Faithfulness is 0.05, which is less than 0.5. Answer_Relevancy is 0.993, which is greater than 0.5. However, the Answer contains claims not explicitly mentioned in Top_K_Sources, such as the lack of explainability in AI-driven risk prediction models.
[PRIORITY 5] INCOMPLETE ANSWER
Condition: Faithfulness &gt;= 0.5 AND Answer_Relevancy &gt;= 0.5 AND Answer covers only a subset of aspects.
Decision: → Label as: Incomplete Answer
Justification: Faithfulness is 0.05, which is less than 0.5. Answer_Relevancy is 0.993, which is greater than 0.5. However, the Answer does not cover all aspects of the query, such as the explainability of AI-driven risk prediction models.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0.05, Answer_Relevancy: 0.993, Context_Precision: 0.0, Context_Recall: 0.583
- Evidence: The Answer contains claims not explicitly mentioned in Top_K_Sources, such as the lack of explainability in AI-driven risk prediction models.
- Justification: Faithfulness is 0.05, which is less than 0.5. The Answer contains claims not explicitly mentioned in Top_K_Sources, such as the lack of explainability in AI-driven risk prediction models.</t>
  </si>
  <si>
    <t>### STEP 1 — Extract Query Intent and Aspects
From the Question:
1. Main intent of the query: Identify future research opportunities emerging from gaps.
2. Number of explicit aspects: 1 (gaps)
### STEP 2 — Verify Context Grounding
From Top_K_Sources:
1. Key concepts in the Question appear explicitly in Top_K_Sources:
   - "gaps" appears in Rank #1, #2, #3, #4, and #5.
   - "future research opportunities" appears in Rank #1, #2, #3, #4, and #5.
2. Count:
   - Number of relevant chunks: 5
   - Number of noisy / off-topic chunks: 0
3. Determine if any factual claim in the Answer is NOT grounded in Top_K_Sources:
   - The Answer mentions "software security analysis", "sustainable industry development", "supply chain management", and "cybersecurity" which are all present in Top_K_Sources.
### STEP 3 — Apply Error Classification Rules (IN ORDER OF PRIORITY)
[PRIORITY 1] HALLUCINATION
Condition: Faithfulness &lt; 0.5 AND Answer contains claims not in Top-K sources.
Decision: → Label as: Hallucination
Justification: Faithfulness is 0.273, which is less than 0.5. The Answer contains claims not present in Top_K_Sources, such as "promoting a circular economy", "implementing digital technologies", and "establishing a future research agenda for technology-driven supply chains".
[PRIORITY 2] RETRIEVAL FAILURE
Condition: Context_Recall &lt; 0.5 AND NONE of the Top-K chunks contain core concepts.
Decision: → Label as: Retrieval Failure
Justification: Context_Recall is 0.615, which is greater than 0.5. However, the Answer does not cover all the core concepts present in the Question.
[PRIORITY 3] CONTEXT NOISE
Condition: Context_Recall &gt;= 0.5 AND Context_Precision &lt; 0.5 AND &gt;50% chunks are irrelevant.
Decision: → Label as: Context Noise
Justification: Context_Recall is 0.615, which is greater than or equal to 0.5. However, Context_Precision is 1.0, which is greater than 0.5. Also, more than 50% chunks are relevant.
[PRIORITY 4] SEMANTIC DRIFT
Condition: Faithfulness &gt;= 0.5 AND Answer_Relevancy &lt; 0.5 (Correct answer, wrong intent).
Decision: → Label as: Semantic Drift
Justification: Faithfulness is 0.273, which is less than 0.5. Answer_Relevancy is 0.0, which is less than 0.5.
[PRIORITY 5] INCOMPLETE ANSWER
Condition: Faithfulness &gt;= 0.5 AND Answer_Relevancy &gt;= 0.5 AND Answer covers only a subset of aspects.
Decision: → Label as: Incomplete Answer
Justification: Faithfulness is 0.273, which is less than 0.5.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0.273, Answer_Relevancy: 0.0, Context_Precision: 1.0, Context_Recall: 0.615
- Evidence: The Answer contains claims not present in Top_K_Sources, such as "promoting a circular economy", "implementing digital technologies", and "establishing a future research agenda for technology-driven supply chains".
- Justification: Faithfulness is 0.273, which is less than 0.5.</t>
  </si>
  <si>
    <t>### STEP 1 — Extract Query Intent and Aspects
From the Question:
1. Main intent of the query: Compare machine learning and deep learning approaches in SCRM applications.
2. Number of explicit aspects: 2 (machine learning, deep learning)
### STEP 2 — Verify Context Grounding
From Top_K_Sources:
1. Key concepts in the Question: machine learning, deep learning, SCRM applications
2. Relevant chunks:
   - Rank #1: "reinforcement learning and other machine learning approaches"
   - Rank #2: "machine learning, deep learning, natural language processing, and computer vision"
   - Rank #3: "machine learning, deep learning, and decisionmaking"
   - Rank #4: "supervised learning, decision trees, and clustering"
   - Rank #5: "deep learning, a class of machine learning algorithms"
3. Number of relevant chunks: 5
4. Number of noisy / off-topic chunks: 0
5. Factual claims in the Answer:
   - Machine learning is a broader field that encompasses various techniques.
   - Deep learning is a subset of machine learning that uses neural networks with multiple layers.
   - Deep learning is particularly useful for complex tasks such as image and speech recognition.
   - Machine learning is more suitable for tasks that require less complexity.
6. Grounding in Top_K_Sources:
   - Rank #1: "illustrates the differences between reinforcement learning and other machine learning approaches"
   - Rank #2: "machine learning, deep learning, natural language processing, and computer vision"
   - Rank #3: "machine learning, deep learning, and decisionmaking"
   - Rank #4: "supervised learning, decision trees, and clustering"
   - Rank #5: "deep learning, a class of machine learning algorithms"
   All factual claims in the Answer are grounded in Top_K_Sources.
### STEP 3 — Apply Error Classification Rules (IN ORDER OF PRIORITY)
[PRIORITY 1] HALLUCINATION
Condition: Faithfulness &lt; 0.5 AND Answer contains claims not in Top-K sources.
Decision: → Label as: Hallucination
Condition not met: Faithfulness = 0.0, but Answer contains claims not in Top-K sources (e.g., "Machine learning is a broader field that encompasses various techniques" is not explicitly mentioned in Top_K_Sources). However, the Answer also contains claims that are grounded in Top_K_Sources (e.g., "Deep learning is a subset of machine learning that uses neural networks with multiple layers"). Therefore, this rule is not triggered.
[PRIORITY 2] RETRIEVAL FAILURE
Condition: Context_Recall &lt; 0.5 AND NONE of the Top-K chunks contain core concepts.
Decision: → Label as: Retrieval Failure
Condition not met: Context_Recall = 0.286, which is less than 0.5. However, the Top_K_Sources contain core concepts related to machine learning and deep learning.
[PRIORITY 3] CONTEXT NOISE
Condition: Context_Recall &gt;= 0.5 AND Context_Precision &lt; 0.5 AND &gt;50% chunks are irrelevant.
Decision: → Label as: Context Noise
Condition not met: Context_Precision = 0.804, which is greater than 0.5.
[PRIORITY 4] SEMANTIC DRIFT
Condition: Faithfulness &gt;= 0.5 AND Answer_Relevancy &lt; 0.5 (Correct answer, wrong intent).
Decision: → Label as: Semantic Drift
Condition not met: Faithfulness = 0.0, which is less than 0.5.
[PRIORITY 5] INCOMPLETE ANSWER
Condition: Faithfulness &gt;= 0.5 AND Answer_Relevancy &gt;= 0.5 AND Answer covers only a subset of aspects.
Decision: → Label as: Incomplete Answer
Condition not met: Faithfulness = 0.0, which is less than 0.5.
[NO ERROR]
If NONE of above:
Decision: → Label as: Correct Answer
Condition not met: Faithfulness = 0.0, which is less than 0.5.
### STEP 4 — Output Format (MANDATORY)
For each row, output a structured report:
- Error_Label: Hallucination
- Triggered_Rule: PRIORITY 1 HALLUCINATION
- Metrics_Summary: Faithfulness = 0.0, Answer_Relevancy = 1.0, Context_Precision = 0.804, Context_Recall = 0.286
- Evidence: The Answer contains claims not in Top_K_Sources, but also contains claims that are grounded in Top_K_Sources.
- Justification: The Answer contains a mix of grounded and ungrounded claims, which triggers the Hallucination rule.
Note: The Faithfulness metric is 0.0, indicating that the Answer contains ungrounded claims. However, the Answer also contains claims that are grounded in Top_K_Sources. Therefore, the Hallucination rule is triggered, but with a caveat that the Answer also contains grounded claims.</t>
  </si>
  <si>
    <t>### STEP 1 — Extract Query Intent and Aspects
From the Question:
1. Identify the main intent of the query: **Compare** rule-based systems and data-driven AI in risk management.
2. Identify the number of explicit aspects: **2** (rule-based systems, data-driven AI).
### STEP 2 — Verify Context Grounding
From Top_K_Sources:
1. Identify whether each key concept in the Question appears explicitly:
   - "rule-based systems" appears in Rank #1 (Kioskli et al., 2025).
   - "data-driven AI" appears in Rank #1 (Kioskli et al., 2025) and Rank #2 (Cohen, 2022).
   - "risk management" appears in Rank #1 (Kioskli et al., 2025), Rank #2 (Cohen, 2022), Rank #3 (Kioskli, 2025), and Rank #4 (Pahune, 2025).
2. Count:
   - Number of relevant chunks: **4** (all Top_K_Sources are relevant).
   - Number of noisy / off-topic chunks: **0** (all chunks are relevant).
3. Determine if any factual claim in the Answer is NOT grounded in Top_K_Sources:
   - The Answer mentions "machine learning algorithms" which is not explicitly mentioned in any of the Top_K_Sources.
### STEP 3 — Apply Error Classification Rules (IN ORDER OF PRIORITY)
[PRIORITY 1] HALLUCINATION
Condition: Faithfulness &lt; 0.5 AND Answer contains claims not in Top-K sources.
Decision: → **Label as: Hallucination** (Faithfulness = 0.4, Answer contains "machine learning algorithms" not in Top_K_Sources).
[PRIORITY 2] RETRIEVAL FAILURE
Condition: Context_Recall &lt; 0.5 AND NONE of the Top-K chunks contain core concepts.
Decision: → **Label as: Retrieval Failure** (Context_Recall = 0.0, none of the Top_K_Sources contain all core concepts).
[PRIORITY 3] CONTEXT NOISE
Condition: Context_Recall &gt;= 0.5 AND Context_Precision &lt; 0.5 AND &gt;50% chunks are irrelevant.
Decision: → **Label as: Context Noise** (Context_Recall = 0.0, Context_Precision = 0.417, but none of the chunks are irrelevant).
[PRIORITY 4] SEMANTIC DRIFT
Condition: Faithfulness &gt;= 0.5 AND Answer_Relevancy &lt; 0.5 (Correct answer, wrong intent).
Decision: → **Label as: Semantic Drift** (Faithfulness = 0.4, Answer_Relevancy = 0.916, but the intent is not correct).
[PRIORITY 5] INCOMPLETE ANSWER
Condition: Faithfulness &gt;= 0.5 AND Answer_Relevancy &gt;= 0.5 AND Answer covers only a subset of aspects.
Decision: → **Label as: Incomplete Answer** (Faithfulness = 0.4, Answer_Relevancy = 0.916, but the Answer does not cover all aspects).
[NO ERROR]
If NONE of above:
Decision: → **Label as: Correct Answer** (none of the above conditions are met).
### STEP 4 — Output Format (MANDATORY)
For each row, output a structured report:
- **Error_Label:** Hallucination
- **Triggered_Rule:** PRIORITY 1 - HALLUCINATION
- **Metrics_Summary:** Faithfulness: 0.4, Answer_Relevancy: 0.916, Context_Precision: 0.417, Context_Recall: 0.0
- **Evidence:** The Answer contains claims not in Top_K_Sources ("machine learning algorithms").
- **Justification:** The STRICT rules indicate that the Answer is a Hallucination because it contains claims not in Top_K_Sources and the Faithfulness is below the threshold.</t>
  </si>
  <si>
    <t>### STEP 1 — Extract Query Intent and Aspects
From the Question:
1. Identify the main intent of the query: Compare AI approaches for short-term versus long-term supply chain resilience.
2. Identify the number of explicit aspects: 2 (short-term vs long-term supply chain resilience)
### STEP 2 — Verify Context Grounding
From Top_K_Sources:
1. Identify whether each key concept in the Question appears explicitly:
   - "AI approaches" appears in Rank #1, #2, #4, and #5.
   - "short-term" appears in Rank #2.
   - "long-term" appears in Rank #4.
   - "supply chain resilience" appears in Rank #1, #2, #4, and #5.
   - "Compare" is not explicitly mentioned, but the concept is implied in the Answer.
2. Count:
   - Number of relevant chunks: 4 (Rank #1, #2, #4, and #5)
   - Number of noisy / off-topic chunks: 1 (Rank #3)
3. Determine if any factual claim in the Answer is NOT grounded in Top_K_Sources:
   - The Answer mentions "study by Li et al. (2024)" and "research by Lin et al. (2025)", which are not explicitly mentioned in the Top_K_Sources.
### STEP 3 — Apply Error Classification Rules (IN ORDER OF PRIORITY)
[PRIORITY 1] HALLUCINATION
Condition: Faithfulness &lt; 0.5 AND Answer contains claims not in Top-K sources.
Decision: → Label as: Hallucination (Faithfulness = 0.0, and the Answer contains claims not in Top_K_Sources)
[PRIORITY 2] RETRIEVAL FAILURE
Condition: Context_Recall &lt; 0.5 AND NONE of the Top-K chunks contain core concepts.
Decision: → Label as: Retrieval Failure (Context_Recall = 0.667, and some Top_K chunks contain core concepts)
[PRIORITY 3] CONTEXT NOISE
Condition: Context_Recall &gt;= 0.5 AND Context_Precision &lt; 0.5 AND &gt;50% chunks are irrelevant.
Decision: → Label as: Context Noise (Context_Recall = 0.667, Context_Precision = 0.887, and only 1 chunk is irrelevant)
[PRIORITY 4] SEMANTIC DRIFT
Condition: Faithfulness &gt;= 0.5 AND Answer_Relevancy &lt; 0.5 (Correct answer, wrong intent).
Decision: → Label as: Semantic Drift (Faithfulness = 0.0, and Answer_Relevancy = 0.78)
[PRIORITY 5] INCOMPLETE ANSWER
Condition: Faithfulness &gt;= 0.5 AND Answer_Relevancy &gt;= 0.5 AND Answer covers only a subset of aspects.
Decision: → Label as: Incomplete Answer (Faithfulness = 0.0, and Answer_Relevancy = 0.78)
[NO ERROR]
If NONE of above:
Decision: → Label as: Correct Answer
### STEP 4 — Output Format (MANDATORY)
For each row, output a structured report:
- Error_Label: Hallucination
- Triggered_Rule: PRIORITY 1 - HALLUCINATION
- Metrics_Summary: Faithfulness = 0.0, Answer_Relevancy = 0.78, Context_Precision = 0.887, Context_Recall = 0.667
- Evidence: The Answer contains claims not in Top_K_Sources, and Faithfulness is 0.0.
- Justification: The STRICT rules indicate that the error is a Hallucination, as the Answer contains claims not in Top_K_Sources and Faithfulness is 0.0.</t>
  </si>
  <si>
    <t>### STEP 1 — Extract Query Intent and Aspects
From the Question:
1. Main intent of the query: Compare data requirements across AI models for SCRM.
2. Number of explicit aspects: 2 (data requirements, AI models, SCRM).
### STEP 2 — Verify Context Grounding
From Top_K_Sources:
1. Key concepts in the Question: data requirements, AI models, SCRM.
2. Each key concept appears explicitly in Top_K_Sources.
3. Count:
   - Number of relevant chunks: 4
   - Number of noisy / off-topic chunks: 0
4.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Faithfulness is 0.0, which is less than 0.5. The Answer contains claims not explicitly mentioned in Top_K_Sources, such as "some AI models may require large amounts of historical data to train machine learning algorithms" and "others may rely on real-time data to make predictions or optimize supply chain operations".
[PRIORITY 2] RETRIEVAL FAILURE
Condition: Context_Recall &lt; 0.5 AND NONE of the Top-K chunks contain core concepts.
Decision: → Label as: Retrieval Failure
Justification: Context_Recall is 1.0, which is greater than or equal to 0.5. However, the Answer contains claims not explicitly mentioned in Top_K_Sources.
[PRIORITY 3] CONTEXT NOISE
Condition: Context_Recall &gt;= 0.5 AND Context_Precision &lt; 0.5 AND &gt;50% chunks are irrelevant.
Decision: → Label as: Context Noise
Justification: Context_Precision is 1.0, which is greater than or equal to 0.5. Also, none of the chunks are irrelevant.
[PRIORITY 4] SEMANTIC DRIFT
Condition: Faithfulness &gt;= 0.5 AND Answer_Relevancy &lt; 0.5 (Correct answer, wrong intent).
Decision: → Label as: Semantic Drift
Justification: Faithfulness is 0.0, which is less than 0.5. Answer_Relevancy is 0.858, which is greater than or equal to 0.5.
[PRIORITY 5] INCOMPLETE ANSWER
Condition: Faithfulness &gt;= 0.5 AND Answer_Relevancy &gt;= 0.5 AND Answer covers only a subset of aspects.
Decision: → Label as: Incomplete Answer
Justification: Faithfulness is 0.0, which is less than 0.5.
[NO ERROR]
If NONE of above:
Decision: → Label as: Correct Answer
Justification: The Answer contains claims not explicitly mentioned in Top_K_Sources.
### STEP 4 — Output Format (MANDATORY)
For each row, output a structured report:
- Error_Label: Hallucination
- Triggered_Rule: PRIORITY 1 HALLUCINATION
- Metrics_Summary: Faithfulness: 0.0, Answer_Relevancy: 0.858, Context_Precision: 1.0, Context_Recall: 1.0
- Evidence: The Answer contains claims not explicitly mentioned in Top_K_Sources.
- Justification: Faithfulness is 0.0, which is less than 0.5. The Answer contains claims not explicitly mentioned in Top_K_Sources, such as "some AI models may require large amounts of historical data to train machine learning algorithms" and "others may rely on real-time data to make predictions or optimize supply chain operations".</t>
  </si>
  <si>
    <t>### STEP 1 — Extract Query Intent and Aspects
From the Question:
1. Main intent of the query: Compare explainable AI models and black-box models in SCRM.
2. Number of explicit aspects: 2 (explainable AI models, black-box models)
### STEP 2 — Verify Context Grounding
From Top_K_Sources:
1. Key concepts in the Question: Explainable AI models, black-box models, SCRM
2. Relevant chunks:
   - Rank #1: Potongan Chunk mentions SCRM and AI models.
   - Rank #2: Potongan Chunk mentions SCRM and AI models.
   - Rank #3: Potongan Chunk mentions SCRM, but not AI models.
   - Rank #4: Potongan Chunk mentions SCRM, but not AI models.
   - Rank #5: Potongan Chunk mentions SCRM and AI models.
3. Number of relevant chunks: 4
4. Number of noisy / off-topic chunks: 1 (Rank #3)
5. Factual claims in the Answer:
   - Explainable AI models provide transparency and interpretability.
   - Black-box models are opaque and difficult to understand.
   - Explainable AI models are essential in SCRM.
   - Black-box models may be more accurate, but lack transparency.
6. Grounding of factual claims:
   - Rank #1: Grounds the claim about explainable AI models.
   - Rank #2: Grounds the claim about black-box models.
   - Rank #5: Grounds the claim about AI models.
### STEP 3 — Apply Error Classification Rules (IN ORDER OF PRIORITY)
[PRIORITY 1] HALLUCINATION
Condition: Faithfulness &lt; 0.5 AND Answer contains claims not in Top-K sources.
Decision: → Label as: Hallucination
Justification: Faithfulness is 0.0, and the Answer contains claims not present in Top-K sources (e.g., "Explainable AI models are essential in SCRM to ensure accountability and trustworthiness of the system").
[PRIORITY 2] RETRIEVAL FAILURE
Condition: Context_Recall &lt; 0.5 AND NONE of the Top-K chunks contain core concepts.
Decision: → Label as: Retrieval Failure
Justification: Context_Recall is 0.0, and none of the Top-K chunks contain all core concepts (e.g., Rank #3 does not mention AI models).
[PRIORITY 3] CONTEXT NOISE
Condition: Context_Recall &gt;= 0.5 AND Context_Precision &lt; 0.5 AND &gt;50% chunks are irrelevant.
Decision: → Label as: Context Noise
Justification: Context_Recall is 0.0, which does not meet the condition.
[PRIORITY 4] SEMANTIC DRIFT
Condition: Faithfulness &gt;= 0.5 AND Answer_Relevancy &lt; 0.5 (Correct answer, wrong intent).
Decision: → Label as: Semantic Drift
Justification: Faithfulness is 0.0, which does not meet the condition.
[PRIORITY 5] INCOMPLETE ANSWER
Condition: Faithfulness &gt;= 0.5 AND Answer_Relevancy &gt;= 0.5 AND Answer covers only a subset of aspects.
Decision: → Label as: Incomplete Answer
Justification: Faithfulness is 0.0, which does not meet the condition.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0.0, Answer_Relevancy: 0.605, Context_Precision: 0.2, Context_Recall: 0.0
- Evidence: The Answer contains claims not present in Top-K sources.
- Justification: The Answer contains claims not present in Top-K sources, and Faithfulness is 0.0.</t>
  </si>
  <si>
    <t>### STEP 1 — Extract Query Intent and Aspects
From the Question:
1. Identify the main intent of the query: **Compare AI approaches in manufacturing and service supply chains**.
2. Identify the number of explicit aspects: **2** (manufacturing and service supply chains).
### STEP 2 — Verify Context Grounding
From Top_K_Sources:
1. Identify whether each key concept in the Question appears explicitly:
   - **Manufacturing**: Yes (Rank #1, Rank #4, Rank #5)
   - **Service**: Yes (Rank #1, Rank #2, Rank #3, Rank #4, Rank #5)
   - **Supply Chain**: Yes (Rank #1, Rank #2, Rank #3, Rank #4, Rank #5)
   - **AI**: Yes (Rank #1, Rank #2, Rank #3, Rank #4, Rank #5)
2. Count:
   - Number of relevant chunks: **5**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0.185 &lt; 0.5)
[PRIORITY 2] RETRIEVAL FAILURE
Condition: Context_Recall &lt; 0.5 AND NONE of the Top-K chunks contain core concepts.
Decision: → **Label as: Retrieval Failure** (Context_Recall = 1.0 ≥ 0.5)
[PRIORITY 3] CONTEXT NOISE
Condition: Context_Recall &gt;= 0.5 AND Context_Precision &lt; 0.5 AND &gt;50% chunks are irrelevant.
Decision: → **Label as: Context Noise** (Context_Precision = 0.589 ≥ 0.5)
[PRIORITY 4] SEMANTIC DRIFT
Condition: Faithfulness &gt;= 0.5 AND Answer_Relevancy &lt; 0.5 (Correct answer, wrong intent).
Decision: → **Label as: Semantic Drift** (Answer_Relevancy = 1.0 ≥ 0.5)
[PRIORITY 5] INCOMPLETE ANSWER
Condition: Faithfulness &gt;= 0.5 AND Answer_Relevancy &gt;= 0.5 AND Answer covers only a subset of aspects.
Decision: → **Label as: Incomplete Answer** (Faithfulness = 0.185 &lt; 0.5)
[NO ERROR]
If NONE of above:
Decision: → **Label as: Correct Answer**
### STEP 4 — Output Format (MANDATORY)
For each row, output a structured report:
- **Error_Label**: Hallucination
- **Triggered_Rule**: PRIORITY 1 - HALLUCINATION
- **Metrics_Summary**: Faithfulness: 0.185, Answer_Relevancy: 1.0, Context_Precision: 0.589, Context_Recall: 1.0
- **Evidence**: The Answer contains claims not supported by Top_K_Sources.
- **Justification**: The low Faithfulness score (0.185) indicates that the Answer contains claims not supported by Top_K_Sources, triggering the HALLUCINATION rule.</t>
  </si>
  <si>
    <t>### STEP 1 — Extract Query Intent and Aspects
From the Question:
1. Main intent: Compare static and adaptive AI models for resilience.
2. Number of explicit aspects: 2 (static AI models, adaptive AI models)
### STEP 2 — Verify Context Grounding
From Top_K_Sources:
1. Key concepts in the Question appear explicitly in Top_K_Sources:
   - "static and adaptive AI models"
   - "resilience"
2. Count:
   - Number of relevant chunks: 4
   - Number of noisy / off-topic chunks: 1 (Rank #2, #3, #4, #5 are relevant, but Rank #2 is slightly off-topic)
3. Determine if any factual claim in the Answer is NOT grounded in Top_K_Sources:
   - The Answer mentions "Direct Summary" and "Detailed Synthesis" which are not present in Top_K_Sources.
   - The Answer mentions "Doc [3]" and "Doc [4]" which are not present in Top_K_Sources.
### STEP 3 — Apply Error Classification Rules (IN ORDER OF PRIORITY)
[PRIORITY 1] HALLUCINATION
Condition: Faithfulness &lt; 0.5 AND Answer contains claims not in Top-K sources.
Decision: → Label as: Hallucination (Faithfulness = 0.125, Answer contains claims not in Top-K sources)
[PRIORITY 2] RETRIEVAL FAILURE
Condition: Context_Recall &lt; 0.5 AND NONE of the Top-K chunks contain core concepts.
Decision: → Label as: Retrieval Failure (Context_Recall = 0.8, Top-K chunks contain core concepts)
[PRIORITY 3] CONTEXT NOISE
Condition: Context_Recall &gt;= 0.5 AND Context_Precision &lt; 0.5 AND &gt;50% chunks are irrelevant.
Decision: → Label as: Context Noise (Context_Recall = 0.8, Context_Precision = 0.75, &lt;50% chunks are irrelevant)
[PRIORITY 4] SEMANTIC DRIFT
Condition: Faithfulness &gt;= 0.5 AND Answer_Relevancy &lt; 0.5 (Correct answer, wrong intent).
Decision: → Label as: Semantic Drift (Faithfulness = 0.125, Answer_Relevancy = 0.759)
[PRIORITY 5] INCOMPLETE ANSWER
Condition: Faithfulness &gt;= 0.5 AND Answer_Relevancy &gt;= 0.5 AND Answer covers only a subset of aspects.
Decision: → Label as: Incomplete Answer (Faithfulness = 0.125, Answer_Relevancy = 0.759)
[NO ERROR]
If NONE of above:
Decision: → Label as: Correct Answer
### STEP 4 — Output Format (MANDATORY)
For each row, output a structured report:
- Error_Label: Hallucination
- Triggered_Rule: PRIORITY 1 HALLUCINATION
- Metrics_Summary: Faithfulness = 0.125, Answer_Relevancy = 0.759, Context_Precision = 0.75, Context_Recall = 0.8
- Evidence: Answer contains claims not in Top-K sources, Faithfulness is low.
- Justification: Rule-based explanation: The Answer contains claims not in Top-K sources and Faithfulness is low, which indicates a hallucination error.</t>
  </si>
  <si>
    <t>### STEP 1 — Extract Query Intent and Aspects
From the Question:
1. Identify the main intent of the query: Compare AI methods before and after major global disruptions.
2. Identify the number of explicit aspects: 2 (before and after major global disruptions)
### STEP 2 — Verify Context Grounding
From Top_K_Sources:
1. Identify whether each key concept in the Question appears explicitly:
   - "Compare AI methods" is not explicitly mentioned, but "AI methods" is mentioned in the chunks.
   - "Before and after major global disruptions" is partially mentioned in the chunks (e.g., "before major global disruptions", "after major global disruptions").
2. Count:
   - Number of relevant chunks: 2 (Rank #1 and Rank #2)
   - Number of noisy / off-topic chunks: 3 (Rank #3, Rank #4, and Rank #5)
3. Determine if any factual claim in the Answer is NOT grounded in Top_K_Sources:
   - The Answer mentions "statistical machine learning models" and "data-driven innovations and AI technologies", which are partially grounded in Top_K_Sources.
### STEP 3 — Apply Error Classification Rules (IN ORDER OF PRIORITY)
[PRIORITY 1] HALLUCINATION
Condition: Faithfulness &lt; 0.5 AND Answer contains claims not in Top-K sources.
Decision: → Label as: Hallucination
Justification: The Answer contains claims not fully grounded in Top_K_Sources, and Faithfulness is low (0.25).
[PRIORITY 2] RETRIEVAL FAILURE
Condition: Context_Recall &lt; 0.5 AND NONE of the Top-K chunks contain core concepts.
Decision: → Label as: Retrieval Failure
Justification: Context_Recall is 1.0, so this condition is not met.
[PRIORITY 3] CONTEXT NOISE
Condition: Context_Recall &gt;= 0.5 AND Context_Precision &lt; 0.5 AND &gt;50% chunks are irrelevant.
Decision: → Label as: Context Noise
Justification: Context_Precision is 0.917, which is greater than 0.5, so this condition is not met.
[PRIORITY 4] SEMANTIC DRIFT
Condition: Faithfulness &gt;= 0.5 AND Answer_Relevancy &lt; 0.5 (Correct answer, wrong intent).
Decision: → Label as: Semantic Drift
Justification: Faithfulness is low (0.25), so this condition is not met.
[PRIORITY 5] INCOMPLETE ANSWER
Condition: Faithfulness &gt;= 0.5 AND Answer_Relevancy &gt;= 0.5 AND Answer covers only a subset of aspects.
Decision: → Label as: Incomplete Answer
Justification: Faithfulness is low (0.25), so this condition is not met.
[NO ERROR]
If NONE of above:
Decision: → Label as: Correct Answer
Justification: The Answer contains claims not fully grounded in Top_K_Sources, and Faithfulness is low (0.25).
### STEP 4 — Output Format (MANDATORY)
For each row, output a structured report:
- Error_Label: Hallucination
- Triggered_Rule: PRIORITY 1 - Hallucination
- Metrics_Summary: Faithfulness: 0.25, Answer_Relevancy: 0.739, Context_Precision: 0.917, Context_Recall: 1.0
- Evidence: The Answer contains claims not fully grounded in Top_K_Sources, and Faithfulness is low (0.25).
- Justification: The Answer contains claims not fully grounded in Top_K_Sources, and Faithfulness is low (0.25).</t>
  </si>
  <si>
    <t>### STEP 1 — Extract Query Intent and Aspects
From the Question:
1. Main intent of the query: Identify the most frequently reported performance metrics.
2. Number of explicit aspects: 1 (performance metrics)
### STEP 2 — Verify Context Grounding
From Top_K_Sources:
1. Key concepts in the Question: performance metrics, most frequently reported
2. Relevant chunks:
   - Rank #1: mentions process and operations optimisation, awareness and behaviour interventions, technological and engineering solutions (not directly related to performance metrics)
   - Rank #2: mentions dataset quality issues, model performance in practical deployment environments (not directly related to performance metrics)
   - Rank #3: mentions accuracy, LSTM technique (related to performance metrics)
   - Rank #4: mentions index-based metrics, benchmark-based reference (related to performance metrics)
   - Rank #5: mentions forecasting supply chain sporadic demand (not directly related to performance metrics)
3. Number of relevant chunks: 2 (Rank #3 and Rank #4)
4. Number of noisy / off-topic chunks: 3 (Rank #1, Rank #2, and Rank #5)
5. Factual claims in the Answer: The most frequently reported performance metrics are not explicitly stated in the provided documents.
6. Grounding in Top_K_Sources: The Answer contains claims not in Top-K sources (e.g., accuracy, precision, recall, MAE, MSE).
### STEP 3 — Apply Error Classification Rules (IN ORDER OF PRIORITY)
[PRIORITY 1] HALLUCINATION
Condition: Faithfulness &lt; 0.5 AND Answer contains claims not in Top-K sources.
Decision: → Label as: Hallucination (Faithfulness = 0.333, Answer contains claims not in Top-K sources)
[PRIORITY 2] RETRIEVAL FAILURE
Condition: Context_Recall &lt; 0.5 AND NONE of the Top-K chunks contain core concepts.
Decision: → Label as: Retrieval Failure (Context_Recall = 0.857, Top-K chunks contain core concepts)
[PRIORITY 3] CONTEXT NOISE
Condition: Context_Recall &gt;= 0.5 AND Context_Precision &lt; 0.5 AND &gt;50% chunks are irrelevant.
Decision: → Label as: Context Noise (Context_Recall = 0.857, Context_Precision = 0.639, &lt; 50% chunks are irrelevant)
[PRIORITY 4] SEMANTIC DRIFT
Condition: Faithfulness &gt;= 0.5 AND Answer_Relevancy &lt; 0.5 (Correct answer, wrong intent).
Decision: → Label as: Semantic Drift (Faithfulness = 0.333, Answer_Relevancy = 0.797)
[PRIORITY 5] INCOMPLETE ANSWER
Condition: Faithfulness &gt;= 0.5 AND Answer_Relevancy &gt;= 0.5 AND Answer covers only a subset of aspects.
Decision: → Label as: Incomplete Answer (Faithfulness = 0.333, Answer_Relevancy = 0.797)
[NO ERROR]
If NONE of above:
Decision: → Label as: Correct Answer
### STEP 4 — Output Format (MANDATORY)
For each row, output a structured report:
- Error_Label: Hallucination
- Triggered_Rule: PRIORITY 1 - HALLUCINATION
- Metrics_Summary: Faithfulness = 0.333, Answer_Relevancy = 0.797, Context_Precision = 0.639, Context_Recall = 0.857
- Evidence: The Answer contains claims not in Top-K sources (e.g., accuracy, precision, recall, MAE, MSE).
- Justification: The Answer is a hallucination because it contains claims not supported by the Top-K sources, and the faithfulness metric is below the threshold.</t>
  </si>
  <si>
    <t>### STEP 1 — Extract Query Intent and Aspects
From the Question:
1. Identify the main intent of the query: **Identify resilience metrics that are quantitatively evaluated.**
2. Identify the number of explicit aspects: **2 (resilience metrics, quantitatively evaluated)**
### STEP 2 — Verify Context Grounding
From Top_K_Sources:
1. Identify whether each key concept in the Question appears explicitly:
   - **Resilience metrics**: Yes (Rank #3, Rank #4, Rank #5)
   - **Quantitatively evaluated**: Yes (Rank #3, Rank #4, Rank #5)
2. Count:
   - Number of relevant chunks: **3** (Rank #3, Rank #4, Rank #5)
   - Number of noisy / off-topic chunks: **2** (Rank #1, Rank #2)
3. Determine if any factual claim in the Answer is NOT grounded in Top_K_Sources:
   - **No**
### STEP 3 — Apply Error Classification Rules (IN ORDER OF PRIORITY)
[PRIORITY 1] HALLUCINATION
Condition: Faithfulness &lt; 0.5 AND Answer contains claims not in Top-K sources.
Decision: → **Label as: Hallucination** (Faithfulness = 0.273, Answer contains claims not in Top-K sources)
[PRIORITY 2] RETRIEVAL FAILURE
Condition: Context_Recall &lt; 0.5 AND NONE of the Top-K chunks contain core concepts.
Decision: → **Label as: Retrieval Failure** (Context_Recall = 1.0, Top-K chunks contain core concepts)
[PRIORITY 3] CONTEXT NOISE
Condition: Context_Recall &gt;= 0.5 AND Context_Precision &lt; 0.5 AND &gt;50% chunks are irrelevant.
Decision: → **Label as: Context Noise** (Context_Recall = 1.0, Context_Precision = 0.333, &gt;50% chunks are not irrelevant)
[PRIORITY 4] SEMANTIC DRIFT
Condition: Faithfulness &gt;= 0.5 AND Answer_Relevancy &lt; 0.5 (Correct answer, wrong intent).
Decision: → **Label as: Semantic Drift** (Faithfulness = 0.273, Answer_Relevancy = 0.978)
[PRIORITY 5] INCOMPLETE ANSWER
Condition: Faithfulness &gt;= 0.5 AND Answer_Relevancy &gt;= 0.5 AND Answer covers only a subset of aspects.
Decision: → **Label as: Incomplete Answer** (Faithfulness = 0.273, Answer_Relevancy = 0.978)
[NO ERROR]
If NONE of above:
Decision: → **Label as: Correct Answer**
### STEP 4 — Output Format (MANDATORY)
For each row, output a structured report:
- **Error_Label**: Hallucination
- **Triggered_Rule**: PRIORITY 1 - HALLUCINATION
- **Metrics_Summary**: Faithfulness: 0.273, Answer_Relevancy: 0.978, Context_Precision: 0.333, Context_Recall: 1.0
- **Evidence**: Answer contains claims not in Top-K sources.
- **Justification**: Rule-based explanation: The faithfulness score is below the threshold, and the answer contains claims not present in the Top-K sources, indicating a hallucination error.</t>
  </si>
  <si>
    <t>### STEP 1 — Extract Query Intent and Aspects
From the Question:
1. Main intent of the query: Identify limitations empirically observed in existing models.
2. Number of explicit aspects: 1 (existing models)
### STEP 2 — Verify Context Grounding
From Top_K_Sources:
1. Key concepts in the Question: "existing models", "limitations", "empirically observed"
2. Relevant chunks:
   - Rank #2: "existing individual limitations of discrete simulation and machine learning can be overcome by integrating those essential methods..."
   - Rank #5: "the main research gaps and limitations of the current literature are assessed..."
3. Noisy / off-topic chunks:
   - Rank #1: "supervised machine learning for theory building and testing opportunities in operations management" (not directly related to limitations)
   - Rank #3: "big data analytics in supply chain management a stateoftheart literature review" (not directly related to limitations)
   - Rank #4: "leading edge rd on micronanobioinfo technologies and integrated systems an overview of eufunded activities" (not directly related to limitations)
4. Factual claim in the Answer not grounded in Top_K_Sources: None
### STEP 3 — Apply Error Classification Rules (IN ORDER OF PRIORITY)
[PRIORITY 1] HALLUCINATION
Condition: Faithfulness &lt; 0.5 AND Answer contains claims not in Top-K sources.
Decision: → Faithfulness is 0.375, which is less than 0.5. However, the Answer contains claims not in Top-K sources (e.g., "Direct Summary: Existing models in supply chain management and operations management have empirically observed limitations..."). Therefore, → Label as: Hallucination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Context_Precision is 0.867, which is greater than 0.5. Therefore, this condition is not met.
[PRIORITY 4] SEMANTIC DRIFT
Condition: Faithfulness &gt;= 0.5 AND Answer_Relevancy &lt; 0.5 (Correct answer, wrong intent).
Decision: → Faithfulness is 0.375, which is less than 0.5. Therefore, this condition is not met.
[PRIORITY 5] INCOMPLETE ANSWER
Condition: Faithfulness &gt;= 0.5 AND Answer_Relevancy &gt;= 0.5 AND Answer covers only a subset of aspects.
Decision: → Faithfulness is 0.375, which is less than 0.5. Therefore, this condition is not met.
[NO ERROR]
If NONE of above:
Decision: → Label as: Correct Answer
### STEP 4 — Output Format (MANDATORY)
For each row, output a structured report:
- Error_Label: Hallucination
- Triggered_Rule: PRIORITY 1 HALLUCINATION
- Metrics_Summary: Faithfulness: 0.375, Answer_Relevancy: 0.634, Context_Precision: 0.867, Context_Recall: 1.0
- Evidence: The Answer contains claims not in Top-K sources.
- Justification: The Answer contains claims not in Top-K sources, and Faithfulness is less than 0.5, which meets the condition for Hallucination.</t>
  </si>
  <si>
    <t>### STEP 1 — Extract Query Intent and Aspects
From the Question:
1. Identify the main intent of the query: **Identify robustness tests reported**
2. Identify the number of explicit aspects: **1**
### STEP 2 — Verify Context Grounding
From Top_K_Sources:
1. Identify whether each key concept in the Question appears explicitly:
   - **Robustness tests**: appears in Rank #4 (Title: aiotblockchain security for supply chain threats in iec 61850 substations using informerpowered reinforcement learning)
   - **Reported**: appears in Rank #1 (Title: leveraging deep learning to strengthen the cyberresilience of renewable energy supply chains a survey)
   - **Key concepts**: appears in Rank #2 (Title: what do we know about hugging face a systematic literature review and quantitative validation of qualitative claims)
2. Count:
   - Number of relevant chunks: **4** (Rank #1, Rank #2, Rank #3, Rank #4)
   - Number of noisy / off-topic chunks: **1** (Rank #5)
3. Determine if any factual claim in the Answer is NOT grounded in Top_K_Sources:
   - The Answer mentions **Informer-Powered Reinforcement Learning**, which is not explicitly mentioned in any of the Top_K_Sources.
### STEP 3 — Apply Error Classification Rules (IN ORDER OF PRIORITY)
[PRIORITY 1] HALLUCINATION
Condition: Faithfulness &lt; 0.5 AND Answer contains claims not in Top-K sources.
Decision: → **Label as: Hallucination**
Justification: The Answer contains claims not explicitly mentioned in any of the Top_K_Sources, and the Faithfulness score is low (0.2).
[PRIORITY 2] RETRIEVAL FAILURE
Condition: Context_Recall &lt; 0.5 AND NONE of the Top-K chunks contain core concepts.
Decision: → **Not applicable**
Justification: Context_Recall is 1.0, which is greater than 0.5.
[PRIORITY 3] CONTEXT NOISE
Condition: Context_Recall &gt;= 0.5 AND Context_Precision &lt; 0.5 AND &gt;50% chunks are irrelevant.
Decision: → **Not applicable**
Justification: Context_Precision is 0.75, which is greater than 0.5, and only 1 out of 5 chunks is irrelevant.
[PRIORITY 4] SEMANTIC DRIFT
Condition: Faithfulness &gt;= 0.5 AND Answer_Relevancy &lt; 0.5 (Correct answer, wrong intent).
Decision: → **Not applicable**
Justification: Faithfulness is 0.2, which is less than 0.5.
[PRIORITY 5] INCOMPLETE ANSWER
Condition: Faithfulness &gt;= 0.5 AND Answer_Relevancy &gt;= 0.5 AND Answer covers only a subset of aspects.
Decision: → **Not applicable**
Justification: Faithfulness is 0.2, which is less than 0.5.
[NO ERROR]
If NONE of above:
Decision: → **Not applicable**
Justification: The Answer contains claims not explicitly mentioned in any of the Top_K_Sources.
### STEP 4 — Output Format (MANDATORY)
For each row, output a structured report:
- **Error_Label**: Hallucination
- **Triggered_Rule**: PRIORITY 1 HALLUCINATION
- **Metrics_Summary**: Faithfulness: 0.2, Answer_Relevancy: 0.413, Context_Precision: 0.75, Context_Recall: 1.0
- **Evidence**: The Answer contains claims not explicitly mentioned in any of the Top_K_Sources.
- **Justification**: The Answer contains claims not explicitly mentioned in any of the Top_K_Sources, and the Faithfulness score is low (0.2).</t>
  </si>
  <si>
    <t>### STEP 1 — Extract Query Intent and Aspects
From the Question:
1. Identify the main intent of the query: **Analyzing the impact of machine learning adoption on SCRM research after 2015**
2. Identify the number of explicit aspects: **2** (Machine Learning, SCRM Research)
### STEP 2 — Verify Context Grounding
From Top_K_Sources:
1. Identify whether each key concept in the Question appears explicitly:
   - **Machine Learning**: Yes (Rank #1, Rank #2, Rank #3)
   - **SCRM Research**: Yes (Rank #1, Rank #2, Rank #3)
   - **2015**: Yes (Rank #3)
2. Count:
   - Number of relevant chunks: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**Triggered Rule: P1 - Hallucination**
- **Error_Label: Hallucination**
- **Triggered_Rule: P1 - Hallucination**
- **Metrics_Summary: Faithfulness: 0.455, Answer contains claims not in Top-K sources**
- **Evidence: The answer mentions a study demonstrating a shift in focus towards ML-based approaches for SCRM after 2019, which is not explicitly mentioned in the Top-K sources.**
- **Justification: The faithfulness score is below the threshold, and the answer contains claims not supported by the Top-K sources, indicating a hallucination error.**
### STEP 4 — Output Format (MANDATORY)
For each row, output a structured report:
- **Error_Label: Hallucination**
- **Triggered_Rule: P1 - Hallucination**
- **Metrics_Summary: Faithfulness: 0.455, Answer contains claims not in Top-K sources**
- **Evidence: The answer mentions a study demonstrating a shift in focus towards ML-based approaches for SCRM after 2019, which is not explicitly mentioned in the Top-K sources.**
- **Justification: The faithfulness score is below the threshold, and the answer contains claims not supported by the Top-K sources, indicating a hallucination error.**</t>
  </si>
  <si>
    <t>### STEP 1 — Extract Query Intent and Aspects
From the Question:
1. Main intent of the query: **Evolvement of simulation-based AI models**
2. Number of explicit aspects: **1**
### STEP 2 — Verify Context Grounding
From Top_K_Sources:
1. Key concepts in the Question appear explicitly in Top_K_Sources:
   - "simulation-based AI models" appears in Rank #1 and Rank #3
   - "evolved" appears in Rank #1
   - "computational methods" appears in Rank #1
   - "machine learning" appears in Rank #1
   - "deep learning" appears in Rank #1
   - "text-to-image generative AI tools" appears in Rank #1
2. Count:
   - Number of relevant chunks: **3** (Rank #1, Rank #2, Rank #3)
   - Number of noisy / off-topic chunks: **0**
3. Determine if any factual claim in the Answer is NOT grounded in Top_K_Sources:
   - The Answer mentions "traditional programming-based techniques" which is not explicitly mentioned in Top_K_Sources.
### STEP 3 — Apply Error Classification Rules (IN ORDER OF PRIORITY)
[PRIORITY 1] HALLUCINATION
Condition: Faithfulness &lt; 0.5 AND Answer contains claims not in Top-K sources.
Decision: → Label as: Hallucination
Justification: Faithfulness is 0.154, which is less than 0.5. The Answer contains claims not in Top_K_Sources, such as "traditional programming-based techniques".
[PRIORITY 2] RETRIEVAL FAILURE
Condition: Context_Recall &lt; 0.5 AND NONE of the Top-K chunks contain core concepts.
Decision: → Label as: Retrieval Failure
Justification: Context_Recall is 0.75, which is greater than or equal to 0.5. Therefore, this condition is not met.
[PRIORITY 3] CONTEXT NOISE
Condition: Context_Recall &gt;= 0.5 AND Context_Precision &lt; 0.5 AND &gt;50% chunks are irrelevant.
Decision: → Label as: Context Noise
Justification: Context_Precision is 1.0, which is greater than 0.5. Therefore, this condition is not met.
[PRIORITY 4] SEMANTIC DRIFT
Condition: Faithfulness &gt;= 0.5 AND Answer_Relevancy &lt; 0.5 (Correct answer, wrong intent).
Decision: → Label as: Semantic Drift
Justification: Faithfulness is 0.154, which is less than 0.5. Therefore, this condition is not met.
[PRIORITY 5] INCOMPLETE ANSWER
Condition: Faithfulness &gt;= 0.5 AND Answer_Relevancy &gt;= 0.5 AND Answer covers only a subset of aspects.
Decision: → Label as: Incomplete Answer
Justification: Faithfulness is 0.154, which is less than 0.5. Therefore, this condition is not met.
[NO ERROR]
If NONE of above:
Decision: → Label as: Correct Answer
Justification: The Answer contains claims not in Top_K_Sources and Faithfulness is less than 0.5.
### STEP 4 — Output Format (MANDATORY)
For each row, output a structured report:
- Error_Label: Hallucination
- Triggered_Rule: [PRIORITY 1] HALLUCINATION
- Metrics_Summary: Faithfulness: 0.154, Answer_Relevancy: 0.955, Context_Precision: 1.0, Context_Recall: 0.75
- Evidence: The Answer contains claims not in Top_K_Sources, such as "traditional programming-based techniques".
- Justification: Faithfulness is 0.154, which is less than 0.5, and the Answer contains claims not in Top_K_Sources.</t>
  </si>
  <si>
    <t>### STEP 1 — Extract Query Intent and Aspects
From the Question:
1. Main intent of the query: Identify the emergence of explainable AI in SCRM research.
2. Number of explicit aspects: 2 (explainable AI, SCRM research)
### STEP 2 — Verify Context Grounding
From Top_K_Sources:
1. Key concepts in the Question appear explicitly:
   - Explainable AI: Yes (Rank #1)
   - SCRM research: Yes (Rank #1, #2, #3)
2. Count:
   - Number of relevant chunks: 3
   - Number of noisy / off-topic chunks: 0
3. Determine if any factual claim in the Answer is NOT grounded in Top_K_Sources:
   - The Answer contains claims not in Top_K_Sources (e.g., "The emergence of various SC platforms has altered the nature of SC"). However, these claims are supported by the Top_K_Sources (e.g., Rank #1 mentions "the emergence of various supply chain sc platforms in modern times has altered the nature of sc").
### STEP 3 — Apply Error Classification Rules (IN ORDER OF PRIORITY)
[PRIORITY 1] HALLUCINATION
Condition: Faithfulness &lt; 0.5 AND Answer contains claims not in Top-K sources.
Decision: → Label as: Hallucination (Triggered_Rule: P1 - Hallucination, Metrics_Summary: Faithfulness = 0.333, Evidence: Answer contains claims not in Top_K_Sources, Justification: Faithfulness &lt; 0.5 and Answer contains claims not in Top_K_Sources)
[PRIORITY 2] RETRIEVAL FAILURE
Condition: Context_Recall &lt; 0.5 AND NONE of the Top-K chunks contain core concepts.
Decision: → Not triggered (Context_Recall = 0.429 &gt; 0.5)
[PRIORITY 3] CONTEXT NOISE
Condition: Context_Recall &gt;= 0.5 AND Context_Precision &lt; 0.5 AND &gt;50% chunks are irrelevant.
Decision: → Not triggered (Context_Precision = 1.0 &gt; 0.5)
[PRIORITY 4] SEMANTIC DRIFT
Condition: Faithfulness &gt;= 0.5 AND Answer_Relevancy &lt; 0.5 (Correct answer, wrong intent).
Decision: → Not triggered (Answer_Relevancy = 0.747 &gt; 0.5)
[PRIORITY 5] INCOMPLETE ANSWER
Condition: Faithfulness &gt;= 0.5 AND Answer_Relevancy &gt;= 0.5 AND Answer covers only a subset of aspects.
Decision: → Not triggered (Faithfulness = 0.333 &lt; 0.5)
[NO ERROR]
If NONE of above:
Decision: → Not triggered (Hallucination triggered)
### STEP 4 — Output Format (MANDATORY)
For each row, output a structured report:
- Error_Label: Hallucination
- Triggered_Rule: P1 - Hallucination
- Metrics_Summary: Faithfulness = 0.333, Context_Recall = 0.429, Context_Precision = 1.0, Answer_Relevancy = 0.747
- Evidence: Answer contains claims not in Top_K_Sources
- Justification: Faithfulness &lt; 0.5 and Answer contains claims not in Top_K_Sources</t>
  </si>
  <si>
    <t>### STEP 1 — Extract Query Intent and Aspects
From the Question:
1. Identify the main intent of the query: **Temporal patterns in AI-driven disruption prediction studies**
2. Identify the number of explicit aspects: **2** (Temporal patterns, AI-driven disruption prediction studies)
### STEP 2 — Verify Context Grounding
From Top_K_Sources:
1. Identify whether each key concept in the Question appears explicitly:
   - Temporal patterns: **Yes** (appears in Rank #1 and Rank #2)
   - AI-driven disruption prediction studies: **Yes** (appears in Rank #1 and Rank #2)
2. Count:
   - Number of relevant chunks: **2** (Rank #1 and Rank #2)
   - Number of noisy / off-topic chunks: **1** (Rank #3)
3. Determine if any factual claim in the Answer is NOT grounded in Top_K_Sources:
   - The Answer mentions "machine learning algorithms" and "statistical models", which are not explicitly mentioned in Top_K_Sources.
### STEP 3 — Apply Error Classification Rules (IN ORDER OF PRIORITY)
[PRIORITY 1] HALLUCINATION
Condition: Faithfulness &lt; 0.5 AND Answer contains claims not in Top-K sources.
Decision: → Label as: **Hallucination** (Faithfulness = 0.0, Answer contains claims not in Top-K sources)
[PRIORITY 2] RETRIEVAL FAILURE
Condition: Context_Recall &lt; 0.5 AND NONE of the Top-K chunks contain core concepts.
Decision: → Label as: **Retrieval Failure** (Context_Recall = 0.0, Rank #3 is off-topic)
[PRIORITY 3] CONTEXT NOISE
Condition: Context_Recall &gt;= 0.5 AND Context_Precision &lt; 0.5 AND &gt;50% chunks are irrelevant.
Decision: → Label as: **Context Noise** (Context_Recall = 0.0, Context_Precision = 0.5, Rank #3 is off-topic)
[PRIORITY 4] SEMANTIC DRIFT
Condition: Faithfulness &gt;= 0.5 AND Answer_Relevancy &lt; 0.5 (Correct answer, wrong intent).
Decision: → Label as: **Semantic Drift** (Faithfulness = 0.0, Answer_Relevancy = 0.985)
[PRIORITY 5] INCOMPLETE ANSWER
Condition: Faithfulness &gt;= 0.5 AND Answer_Relevancy &gt;= 0.5 AND Answer covers only a subset of aspects.
Decision: → Label as: **Incomplete Answer** (Faithfulness = 0.0, Answer_Relevancy = 0.985)
[NO ERROR]
If NONE of above:
Decision: → Label as: **Correct Answer**
### STEP 4 — Output Format (MANDATORY)
For each row, output a structured report:
- Error_Label: **Hallucination**
- Triggered_Rule: **PRIORITY 1** HALLUCINATION
- Metrics_Summary: Faithfulness = 0.0, Answer_Relevancy = 0.985, Context_Precision = 0.5, Context_Recall = 0.0
- Evidence: The Answer contains claims not in Top-K sources and Faithfulness is 0.0.
- Justification: The STRICT rules indicate that the error is a Hallucination, as the Answer contains claims not in Top-K sources and Faithfulness is 0.0.</t>
  </si>
  <si>
    <t>### STEP 1 — Extract Query Intent and Aspects
From the Question:
1. Main intent: Identify geographic regions underrepresented in AI-based SCRM research.
2. Number of explicit aspects: 1 (geographic regions)
### STEP 2 — Verify Context Grounding
From Top_K_Sources:
1. Key concepts in the Question appear explicitly in Top_K_Sources.
2. Count:
   - Number of relevant chunks: 3
   - Number of noisy / off-topic chunks: 0
3. Determine if any factual claim in the Answer is NOT grounded in Top_K_Sources.
   - The Answer claims that the geographic regions underrepresented in AI-based SCRM research are not explicitly mentioned in the provided documents. However, this claim is not supported by the Top_K_Sources.
### STEP 3 — Apply Error Classification Rules (IN ORDER OF PRIORITY)
[PRIORITY 1] HALLUCINATION
Condition: Faithfulness &lt; 0.5 AND Answer contains claims not in Top-K sources.
Decision: → Label as: Hallucination (Faithfulness = 0.667, but the Answer contains claims not supported by Top_K_Sources)
[PRIORITY 2] RETRIEVAL FAILURE
Condition: Context_Recall &lt; 0.5 AND NONE of the Top-K chunks contain core concepts.
Decision: → Label as: Retrieval Failure (Context_Recall = 0.6, and the Top_K_Sources contain relevant chunks)
[PRIORITY 3] CONTEXT NOISE
Condition: Context_Recall &gt;= 0.5 AND Context_Precision &lt; 0.5 AND &gt;50% chunks are irrelevant.
Decision: → Label as: Context Noise (Context_Precision = 0.0, but &gt;50% chunks are not irrelevant)
[PRIORITY 4] SEMANTIC DRIFT
Condition: Faithfulness &gt;= 0.5 AND Answer_Relevancy &lt; 0.5 (Correct answer, wrong intent).
Decision: → Label as: Semantic Drift (Faithfulness = 0.667, but Answer_Relevancy = 0.0)
[PRIORITY 5] INCOMPLETE ANSWER
Condition: Faithfulness &gt;= 0.5 AND Answer_Relevancy &gt;= 0.5 AND Answer covers only a subset of aspects.
Decision: → Label as: Incomplete Answer (Faithfulness = 0.667, but Answer_Relevancy = 0.0)
[NO ERROR]
If NONE of above:
Decision: → Label as: Correct Answer
### STEP 4 — Output Format (MANDATORY)
For each row, output a structured report:
- Error_Label: Hallucination
- Triggered_Rule: PRIORITY 1 HALLUCINATION
- Metrics_Summary: Faithfulness: 0.667, Answer_Relevancy: 0.0, Context_Precision: 0.0, Context_Recall: 0.6
- Evidence: The Answer contains claims not supported by Top_K_Sources.
- Justification: The Answer contains claims not supported by Top_K_Sources, and Faithfulness is not less than 0.5.</t>
  </si>
  <si>
    <t>### STEP 1 — Extract Query Intent and Aspects
From the Question:
1. Main intent of the query: Identify future research opportunities.
2. Number of explicit aspects: 1 (research opportunities)
### STEP 2 — Verify Context Grounding
From Top_K_Sources:
1. Key concepts in the Question appear explicitly in Top_K_Sources:
   - "research gaps" appears in Rank #1 and Rank #2
   - "future research opportunities" appears in Rank #1 and Rank #2
2. Count:
   - Number of relevant chunks: 3
   - Number of noisy / off-topic chunks: 0
3. Determine if any factual claim in the Answer is NOT grounded in Top_K_Sources:
   - The Answer mentions "intelligent warehouse management", "simulation methods for supply chains", and "big data analytics in supply chain management", which are all grounded in Top_K_Sources.
### STEP 3 — Apply Error Classification Rules (IN ORDER OF PRIORITY)
[PRIORITY 1] HALLUCINATION
Condition: Faithfulness &lt; 0.5 AND Answer contains claims not in Top-K sources.
Decision: → Label as: Hallucination
Justification: Faithfulness is 0.25, which is less than 0.5. The Answer contains claims not in Top_K_Sources, such as "optimizing warehouse operations", "improving inventory management", and "enhancing supply chain visibility", which are not explicitly mentioned in Top_K_Sources.
[PRIORITY 2] RETRIEVAL FAILURE
Condition: Context_Recall &lt; 0.5 AND NONE of the Top-K chunks contain core concepts.
Decision: → Label as: Retrieval Failure
Justification: Context_Recall is 0.833, which is greater than 0.5. However, NONE of the Top_K chunks contain the core concept of "future research opportunities" explicitly.
[PRIORITY 3] CONTEXT NOISE
Condition: Context_Recall &gt;= 0.5 AND Context_Precision &lt; 0.5 AND &gt;50% chunks are irrelevant.
Decision: → Label as: Context Noise
Justification: Context_Recall is 0.833, which is greater than 0.5. However, Context_Precision is 1.0, which is greater than 0.5. Only 1 chunk is irrelevant.
[PRIORITY 4] SEMANTIC DRIFT
Condition: Faithfulness &gt;= 0.5 AND Answer_Relevancy &lt; 0.5 (Correct answer, wrong intent).
Decision: → Label as: Semantic Drift
Justification: Faithfulness is 0.25, which is less than 0.5. Answer_Relevancy is 0.581, which is greater than 0.5.
[PRIORITY 5] INCOMPLETE ANSWER
Condition: Faithfulness &gt;= 0.5 AND Answer_Relevancy &gt;= 0.5 AND Answer covers only a subset of aspects.
Decision: → Label as: Incomplete Answer
Justification: Faithfulness is 0.25, which is less than 0.5.
[NO ERROR]
If NONE of above:
Decision: → Label as: Correct Answer
### STEP 4 — Output Format (MANDATORY)
For each row, output a structured report:
- Error_Label: Hallucination
- Triggered_Rule: PRIORITY 1 - HALLUCINATION
- Metrics_Summary: Faithfulness: 0.25, Answer_Relevancy: 0.581, Context_Precision: 1.0, Context_Recall: 0.833
- Evidence: The Answer contains claims not in Top_K_Sources, such as "optimizing warehouse operations", "improving inventory management", and "enhancing supply chain visibility".
- Justification: Faithfulness is 0.25, which is less than 0.5, and the Answer contains claims not in Top_K_Sources.</t>
  </si>
  <si>
    <t>### STEP 1 — Extract Query Intent and Aspects
- Main intent of the query: Compare AI models used for disruption prediction versus resilience optimization.
- Number of explicit aspects: 2 (disruption prediction, resilience optimization)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Label as: Hallucination (Triggered because Faithfulness &lt; 0.5)
[PRIORITY 2] RETRIEVAL FAILURE
Condition: Context_Recall &lt; 0.5 AND NONE of the Top-K chunks contain core concepts.
Decision: → Label as: Retrieval Failure (Triggered because Context_Recall &lt; 0.5)
[PRIORITY 3] CONTEXT NOISE
Condition: Context_Recall &gt;= 0.5 AND Context_Precision &lt; 0.5 AND &gt;50% chunks are irrelevant.
Decision: → Label as: Context Noise (Not triggered because Context_Recall &lt; 0.5)
[PRIORITY 4] SEMANTIC DRIFT
Condition: Faithfulness &gt;= 0.5 AND Answer_Relevancy &lt; 0.5 (Correct answer, wrong intent).
Decision: → Label as: Semantic Drift (Not triggered because Faithfulness &lt; 0.5)
[PRIORITY 5] INCOMPLETE ANSWER
Condition: Faithfulness &gt;= 0.5 AND Answer_Relevancy &gt;= 0.5 AND Answer covers only a subset of aspects.
Decision: → Label as: Incomplete Answer (Not triggered because Faithfulness &lt; 0.5)
[NO ERROR]
If NONE of above:
Decision: → Label as: Correct Answer (Not triggered because Faithfulness &lt; 0.5)
### STEP 4 — Output Format (MANDATORY)
- Error_Label: Hallucination
- Triggered_Rule: PRIORITY 1 HALLUCINATION
- Metrics_Summary: Faithfulness: 0.467, Context_Recall: 0.333
- Evidence: Faithfulness &lt; 0.5 indicates that the Answer does not accurately reflect the information in the Top_K_Sources.
- Justification: The Answer contains claims not explicitly mentioned in the Top_K_Sources, and Faithfulness is below the threshold, indicating a Hallucination error.</t>
  </si>
  <si>
    <t>### STEP 1 — Extract Query Intent and Aspects
From the Question:
1. Main intent of the query: Compare supervised and unsupervised models in SCRM.
2. Number of explicit aspects: 2 (supervised models, unsupervised models).
### STEP 2 — Verify Context Grounding
From Top_K_Sources:
1. Key concepts in the Question appear explicitly in Top_K_Sources:
   - "supervised models"
   - "unsupervised models"
   - "SCRM"
2. Count:
   - Number of relevant chunks: 3
   - Number of noisy / off-topic chunks: 0
3. Determine if any factual claim in the Answer is NOT grounded in Top_K_Sources:
   - The Answer contains claims about accuracy and TPR, which are not explicitly mentioned in Top_K_Sources.
### STEP 3 — Apply Error Classification Rules (IN ORDER OF PRIORITY)
[PRIORITY 1] HALLUCINATION
Condition: Faithfulness &lt; 0.5 AND Answer contains claims not in Top-K sources.
Decision: → Label as: Hallucination
Justification: Faithfulness is 0.333, which is less than 0.5. The Answer contains claims about accuracy and TPR, which are not explicitly mentioned in Top_K_Sources.
[PRIORITY 2] RETRIEVAL FAILURE
Condition: Context_Recall &lt; 0.5 AND NONE of the Top-K chunks contain core concepts.
Decision: → Label as: Retrieval Failure
Justification: Context_Recall is 0.333, which is less than 0.5. However, the Top_K_Sources contain relevant chunks that mention supervised and unsupervised models.
[PRIORITY 3] CONTEXT NOISE
Condition: Context_Recall &gt;= 0.5 AND Context_Precision &lt; 0.5 AND &gt;50% chunks are irrelevant.
Decision: → Label as: Context Noise
Justification: Context_Recall is 0.333, which is less than 0.5. Context_Precision is 0.833, which is greater than 0.5. However, the Answer contains claims not explicitly mentioned in Top_K_Sources.
[PRIORITY 4] SEMANTIC DRIFT
Condition: Faithfulness &gt;= 0.5 AND Answer_Relevancy &lt; 0.5 (Correct answer, wrong intent).
Decision: → Label as: Semantic Drift
Justification: Faithfulness is 0.333, which is less than 0.5. Answer_Relevancy is 0.983, which is greater than 0.5.
[PRIORITY 5] INCOMPLETE ANSWER
Condition: Faithfulness &gt;= 0.5 AND Answer_Relevancy &gt;= 0.5 AND Answer covers only a subset of aspects.
Decision: → Label as: Incomplete Answer
Justification: Faithfulness is 0.333, which is less than 0.5.
[NO ERROR]
If NONE of above:
Decision: → Label as: Correct Answer
Justification: The Answer contains claims not explicitly mentioned in Top_K_Sources.
### STEP 4 — Output Format (MANDATORY)
For each row, output a structured report:
- Error_Label: Hallucination
- Triggered_Rule: [PRIORITY 1] HALLUCINATION
- Metrics_Summary: Faithfulness: 0.333, Answer_Relevancy: 0.983, Context_Precision: 0.833, Context_Recall: 0.333
- Evidence: The Answer contains claims about accuracy and TPR, which are not explicitly mentioned in Top_K_Sources.
- Justification: Faithfulness is 0.333, which is less than 0.5. The Answer contains claims not explicitly mentioned in Top_K_Sources.</t>
  </si>
  <si>
    <t>### STEP 1 — Extract Query Intent and Aspects
From the Question:
1. Main intent of the query: Compare AI models using structured versus unstructured data.
2. Number of explicit aspects: 2 (structured data, unstructured data)
### STEP 2 — Verify Context Grounding
From Top_K_Sources:
1. Key concepts in the Question appear explicitly in Top_K_Sources:
   - "structured versus unstructured data" appears in Rank #1 and Rank #3
   - "AI models" appears in Rank #1 and Rank #2
2. Count:
   - Number of relevant chunks: 3
   - Number of noisy / off-topic chunks: 0
3. Determine if any factual claim in the Answer is NOT grounded in Top_K_Sources:
   - The Answer mentions "forecasting and predicting supply chain disruptions" which is not explicitly mentioned in Top_K_Sources, but it is a related concept.
### STEP 3 — Apply Error Classification Rules (IN ORDER OF PRIORITY)
[PRIORITY 1] HALLUCINATION
Condition: Faithfulness &lt; 0.5 AND Answer contains claims not in Top-K sources.
Decision: → Label as: Hallucination
Justification: Faithfulness is 0.182, which is less than 0.5. The Answer contains claims not explicitly mentioned in Top_K_Sources, such as "forecasting and predicting supply chain disruptions".
[PRIORITY 2] RETRIEVAL FAILURE
Condition: Context_Recall &lt; 0.5 AND NONE of the Top-K chunks contain core concepts.
Decision: → Label as: Retrieval Failure
Justification: Context_Recall is 0.167, which is less than 0.5. None of the Top_K chunks contain the core concept of "comparing AI models using structured versus unstructured data".
[PRIORITY 3] CONTEXT NOISE
Condition: Context_Recall &gt;= 0.5 AND Context_Precision &lt; 0.5 AND &gt;50% chunks are irrelevant.
Decision: → Label as: Context Noise
Justification: Context_Recall is 0.167, which is less than 0.5, so this condition is not met.
[PRIORITY 4] SEMANTIC DRIFT
Condition: Faithfulness &gt;= 0.5 AND Answer_Relevancy &lt; 0.5 (Correct answer, wrong intent).
Decision: → Label as: Semantic Drift
Justification: Faithfulness is 0.182, which is less than 0.5, so this condition is not met.
[PRIORITY 5] INCOMPLETE ANSWER
Condition: Faithfulness &gt;= 0.5 AND Answer_Relevancy &gt;= 0.5 AND Answer covers only a subset of aspects.
Decision: → Label as: Incomplete Answer
Justification: Faithfulness is 0.182, which is less than 0.5, so this condition is not met.
[NO ERROR]
If NONE of above:
Decision: → Label as: Correct Answer
Justification: The Answer does not meet the conditions for any of the above error types.
### STEP 4 — Output Format (MANDATORY)
For each row, output a structured report:
- Error_Label: Hallucination
- Triggered_Rule: PRIORITY 1 HALLUCINATION
- Metrics_Summary: Faithfulness: 0.182, Context_Recall: 0.167
- Evidence: The Answer contains claims not explicitly mentioned in Top_K_Sources, such as "forecasting and predicting supply chain disruptions".
- Justification: Faithfulness is 0.182, which is less than 0.5, and the Answer contains claims not in Top_K_Sources.</t>
  </si>
  <si>
    <t>### STEP 1 — Extract Query Intent and Aspects
From the Question:
1. Identify the main intent of the query: **Compare AI approaches in manufacturing and service supply chains**
2. Identify the number of explicit aspects: **2 (manufacturing, service)**
### STEP 2 — Verify Context Grounding
From Top_K_Sources:
1. Identify whether each key concept in the Question appears explicitly:
   - **Manufacturing**: Yes (Rank #1, Rank #2)
   - **Service**: Yes (Rank #1, Rank #2)
   - **Supply Chain**: Yes (Rank #1, Rank #2, Rank #3)
   - **AI**: Yes (Rank #1, Rank #2, Rank #3)
   - **Approaches**: Yes (Rank #1, Rank #2, Rank #3)
   - **Differ**: Yes (Rank #1, Rank #2)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**Triggered Rule: P1 - Hallucination**
- **Error_Label: Hallucination**
- **Triggered_Rule: P1 - Hallucination**
- **Metrics_Summary: Faithfulness: 0.214**
- **Evidence: Answer contains claims not fully supported by Top_K_Sources**
- **Justification: Faithfulness is below threshold and Answer contains claims not fully supported by Top_K_Sources**
[NO ERROR]
If NONE of above:
Decision: → **Error_Label: Correct Answer**</t>
  </si>
  <si>
    <t>### STEP 1 — Extract Query Intent and Aspects
From the Question:
1. Identify the main intent of the query: Compare AI-driven risk detection and risk mitigation frameworks.
2. Identify the number of explicit aspects: 2 (risk detection, risk mitigation)
### STEP 2 — Verify Context Grounding
From Top_K_Sources:
1. Identify whether each key concept in the Question appears explicitly:
   - AI-driven risk detection: Yes (Rank #1, Rank #2, Rank #3)
   - Risk mitigation: Yes (Rank #1, Rank #2, Rank #3)
   - Frameworks: Yes (Rank #1, Rank #2, Rank #3)
2. Count:
   - Number of relevant chunks: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Label as: Hallucination (Faithfulness = 0.529, but Answer contains claims not in Top-K sources)
[PRIORITY 2] RETRIEVAL FAILURE
Condition: Context_Recall &lt; 0.5 AND NONE of the Top-K chunks contain core concepts.
Decision: → Label as: Retrieval Failure (Context_Recall = 0.0, but Top-K chunks contain core concepts)
[PRIORITY 3] CONTEXT NOISE
Condition: Context_Recall &gt;= 0.5 AND Context_Precision &lt; 0.5 AND &gt;50% chunks are irrelevant.
Decision: → Label as: Context Noise (Context_Recall = 0.0, Context_Precision = 1.0)
[PRIORITY 4] SEMANTIC DRIFT
Condition: Faithfulness &gt;= 0.5 AND Answer_Relevancy &lt; 0.5 (Correct answer, wrong intent).
Decision: → Label as: Semantic Drift (Faithfulness = 0.529, Answer_Relevancy = 0.837)
[PRIORITY 5] INCOMPLETE ANSWER
Condition: Faithfulness &gt;= 0.5 AND Answer_Relevancy &gt;= 0.5 AND Answer covers only a subset of aspects.
Decision: → Label as: Incomplete Answer (Faithfulness = 0.529, Answer_Relevancy = 0.837, Answer covers all aspects)
[NO ERROR]
If NONE of above:
Decision: → Label as: Correct Answer
### STEP 4 — Output Format (MANDATORY)
For each row, output a structured report:
- Error_Label: Hallucination
- Triggered_Rule: PRIORITY 1 - HALLUCINATION
- Metrics_Summary: Faithfulness = 0.529, Answer_Relevancy = 0.837, Context_Precision = 1.0, Context_Recall = 0.0
- Evidence: Answer contains claims not in Top-K sources.
- Justification: Rule-based explanation: The answer contains claims not in Top-K sources, and faithfulness is below the threshold of 0.5.</t>
  </si>
  <si>
    <t>### STEP 1 — Extract Query Intent and Aspects
From the Question:
1. Main intent of the query: Identify risk categories empirically addressed by AI models.
2. Number of explicit aspects: 1 (risk categories)
### STEP 2 — Verify Context Grounding
From Top_K_Sources:
1. Key concepts in the Question appear explicitly in Top_K_Sources:
   - "risk categories" appears in Rank #1
   - "AI models" appears in Rank #1, #2, and #3
2. Count:
   - Number of relevant chunks: 3
   - Number of noisy / off-topic chunks: 0
3. Determine if any factual claim in the Answer is NOT grounded in Top_K_Sources:
   - The Answer mentions "supply chain attacks", "runtime attacks", and "service risk in the energy industry", which are all present in Top_K_Sources.
### STEP 3 — Apply Error Classification Rules (IN ORDER OF PRIORITY)
[PRIORITY 1] HALLUCINATION
Condition: Faithfulness &lt; 0.5 AND Answer contains claims not in Top-K sources.
Decision: → Label as: Hallucination
Justification: Faithfulness is 0.286, which is less than 0.5. The Answer contains claims not present in Top_K_Sources, such as "membership inference attacks" and "threat models, attack strategies, and defenses to secure AI systems".
[PRIORITY 2] RETRIEVAL FAILURE
Condition: Context_Recall &lt; 0.5 AND NONE of the Top-K chunks contain core concepts.
Decision: → Label as: Retrieval Failure
Justification: Context_Recall is 1.0, which is greater than or equal to 0.5. However, the Answer contains claims not present in Top_K_Sources, which suggests that the retrieval process failed to capture the core concepts.
[PRIORITY 3] CONTEXT NOISE
Condition: Context_Recall &gt;= 0.5 AND Context_Precision &lt; 0.5 AND &gt;50% chunks are irrelevant.
Decision: → Label as: Context Noise
Justification: Context_Recall is 1.0, which is greater than or equal to 0.5. However, Context_Precision is 0.833, which is greater than 0.5. Also, more than 50% of chunks are relevant.
[PRIORITY 4] SEMANTIC DRIFT
Condition: Faithfulness &gt;= 0.5 AND Answer_Relevancy &lt; 0.5 (Correct answer, wrong intent).
Decision: → Label as: Semantic Drift
Justification: Faithfulness is 0.286, which is less than 0.5. Answer_Relevancy is 0.893, which is greater than 0.5.
[PRIORITY 5] INCOMPLETE ANSWER
Condition: Faithfulness &gt;= 0.5 AND Answer_Relevancy &gt;= 0.5 AND Answer covers only a subset of aspects.
Decision: → Label as: Incomplete Answer
Justification: Faithfulness is 0.286, which is less than 0.5.
[NO ERROR]
If NONE of above:
Decision: → Label as: Correct Answer
Justification: The Answer contains claims not present in Top_K_Sources, which suggests that the retrieval process failed to capture the core concepts.
### STEP 4 — Output Format (MANDATORY)
For each row, output a structured report:
- Error_Label: Hallucination
- Triggered_Rule: PRIORITY 1 HALLUCINATION
- Metrics_Summary: Faithfulness: 0.286, Answer_Relevancy: 0.893, Context_Precision: 0.833, Context_Recall: 1.0
- Evidence: The Answer contains claims not present in Top_K_Sources, such as "membership inference attacks" and "threat models, attack strategies, and defenses to secure AI systems".
- Justification: Faithfulness is 0.286, which is less than 0.5. The Answer contains claims not present in Top_K_Sources, which suggests that the retrieval process failed to capture the core concepts.</t>
  </si>
  <si>
    <t>### STEP 1 — Extract Query Intent and Aspects
From the Question:
1. Main intent of the query: Identify dominant AI techniques used in early research on supply chain resilience.
2. Number of explicit aspects: 2 (AI techniques, supply chain resilience)
### STEP 2 — Verify Context Grounding
From Top_K_Sources:
1. Key concepts in the Question appear explicitly in Top_K_Sources:
   - "Artificial intelligence" appears in all three chunks.
   - "Supply chain resilience" appears in all three chunks.
2. Count:
   - Number of relevant chunks: 3
   - Number of noisy / off-topic chunks: 0
3. Determine if any factual claim in the Answer is NOT grounded in Top_K_Sources:
   - The Answer mentions "artificial neural networks, fuzzy logic, and genetic algorithm" as the dominant AI techniques.
   - These techniques are mentioned in the Top_K_Sources (Rank #1 and Rank #2).
### STEP 3 — Apply Error Classification Rules (IN ORDER OF PRIORITY)
[PRIORITY 1] HALLUCINATION
Condition: Faithfulness &lt; 0.5 AND Answer contains claims not in Top-K sources.
Decision: → Label as: Hallucination
Justification: The Answer contains claims not in Top-K sources, but the Faithfulness metric is very low (0.111), which indicates that the Answer is not faithful to the Top_K_Sources.
[PRIORITY 2] RETRIEVAL FAILURE
Condition: Context_Recall &lt; 0.5 AND NONE of the Top-K chunks contain core concepts.
Decision: → Label as: Retrieval Failure
Justification: Context_Recall is 0.5, which is not less than 0.5, so this condition is not met.
[PRIORITY 3] CONTEXT NOISE
Condition: Context_Recall &gt;= 0.5 AND Context_Precision &lt; 0.5 AND &gt;50% chunks are irrelevant.
Decision: → Label as: Context Noise
Justification: Context_Precision is 0.5, which is not less than 0.5, so this condition is not met.
[PRIORITY 4] SEMANTIC DRIFT
Condition: Faithfulness &gt;= 0.5 AND Answer_Relevancy &lt; 0.5 (Correct answer, wrong intent).
Decision: → Label as: Semantic Drift
Justification: Faithfulness is very low (0.111), which indicates that the Answer is not faithful to the Top_K_Sources, and Answer_Relevancy is 1.0, which indicates that the Answer is relevant to the question.
[PRIORITY 5] INCOMPLETE ANSWER
Condition: Faithfulness &gt;= 0.5 AND Answer_Relevancy &gt;= 0.5 AND Answer covers only a subset of aspects.
Decision: → Label as: Incomplete Answer
Justification: Faithfulness is very low (0.111), which indicates that the Answer is not faithful to the Top_K_Sources, and Answer_Relevancy is 1.0, which indicates that the Answer is relevant to the question.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0.111, Answer_Relevancy: 1.0, Context_Precision: 0.5, Context_Recall: 0.5
- Evidence: The Answer contains claims not in Top-K sources, and the Faithfulness metric is very low (0.111).
- Justification: The Answer is not faithful to the Top_K_Sources, and the Faithfulness metric is very low (0.111).</t>
  </si>
  <si>
    <t>### STEP 1 — Extract Query Intent and Aspects
From the Question:
1. Main intent of the query: Identify trends showing the integration of real-time data and AI in SCRM.
2. Number of explicit aspects: 2 (integration of real-time data and AI)
### STEP 2 — Verify Context Grounding
From Top_K_Sources:
1. Key concepts in the Question appear explicitly in Top_K_Sources:
   - Real-time data: Present in Rank #1 and Rank #2
   - AI: Present in Rank #1, Rank #2, and Rank #3
   - SCRM: Present in Rank #1 and Rank #2
2. Count:
   - Number of relevant chunks: 3
   - Number of noisy / off-topic chunks: 0
3. Determine if any factual claim in the Answer is NOT grounded in Top_K_Sources:
   - The Answer contains claims about Edge AI, Artificial Neural Networks, and Machine Learning, which are all present in Top_K_Sources.
### STEP 3 — Apply Error Classification Rules (IN ORDER OF PRIORITY)
[PRIORITY 1] HALLUCINATION
Condition: Faithfulness &lt; 0.5 AND Answer contains claims not in Top-K sources.
Decision: → Label as: Hallucination
Justification: Faithfulness is 0.25, which is less than 0.5. The Answer contains claims about Edge AI, Artificial Neural Networks, and Machine Learning, which are all present in Top_K_Sources, but the Answer also contains claims not explicitly mentioned in Top_K_Sources (e.g., "injecting innovative elements into SCRM").
[PRIORITY 2] RETRIEVAL FAILURE
Condition: Context_Recall &lt; 0.5 AND NONE of the Top-K chunks contain core concepts.
Decision: → Label as: Not Retrieval Failure
Justification: Context_Recall is 1.0, which is greater than or equal to 0.5. Rank #1, Rank #2, and Rank #3 all contain core concepts related to the Question.
[PRIORITY 3] CONTEXT NOISE
Condition: Context_Recall &gt;= 0.5 AND Context_Precision &lt; 0.5 AND &gt;50% chunks are irrelevant.
Decision: → Label as: Not Context Noise
Justification: Context_Precision is 1.0, which is greater than or equal to 0.5. None of the chunks are irrelevant.
[PRIORITY 4] SEMANTIC DRIFT
Condition: Faithfulness &gt;= 0.5 AND Answer_Relevancy &lt; 0.5 (Correct answer, wrong intent).
Decision: → Label as: Not Semantic Drift
Justification: Faithfulness is 0.25, which is less than 0.5. Answer_Relevancy is 0.891, which is greater than or equal to 0.5.
[PRIORITY 5] INCOMPLETE ANSWER
Condition: Faithfulness &gt;= 0.5 AND Answer_Relevancy &gt;= 0.5 AND Answer covers only a subset of aspects.
Decision: → Label as: Not Incomplete Answer
Justification: Faithfulness is 0.25, which is less than 0.5.
[NO ERROR]
If NONE of above:
Decision: → Label as: Not Correct Answer
Justification: The Answer contains claims not explicitly mentioned in Top_K_Sources.
### STEP 4 — Output Format (MANDATORY)
For each row, output a structured report:
- Error_Label: Hallucination
- Triggered_Rule: PRIORITY 1 - HALLUCINATION
- Metrics_Summary: Faithfulness: 0.25, Answer_Relevancy: 0.891, Context_Precision: 1.0, Context_Recall: 1.0
- Evidence: The Answer contains claims not explicitly mentioned in Top_K_Sources.
- Justification: Faithfulness is 0.25, which is less than 0.5. The Answer contains claims about Edge AI, Artificial Neural Networks, and Machine Learning, which are all present in Top_K_Sources, but the Answer also contains claims not explicitly mentioned in Top_K_Sources (e.g., "injecting innovative elements into SCRM").</t>
  </si>
  <si>
    <t>### STEP 1 — Extract Query Intent and Aspects
From the Question:
1. Identify the main intent of the query: **Temporal patterns in AI-driven disruption prediction studies**
2. Identify the number of explicit aspects: **2** (Temporal patterns, AI-driven disruption prediction studies)
### STEP 2 — Verify Context Grounding
From Top_K_Sources:
1. Identify whether each key concept in the Question appears explicitly:
   - Temporal patterns: **Yes** (appears in Rank #1 and Rank #3)
   - AI-driven disruption prediction studies: **Yes** (appears in Rank #1, Rank #2, and Rank #3)
2. Count:
   - Number of relevant chunks: **3** (Rank #1, Rank #2, and Rank #3)
   - Number of noisy / off-topic chunks: **0**
3. Determine if any factual claim in the Answer is NOT grounded in Top_K_Sources:
   - The Answer discusses the use of machine learning algorithms and data analytics, which is grounded in Rank #1.
   - The Answer discusses the classification of disruptions into strategic scenarios, which is grounded in Rank #2.
   - The Answer discusses the evaluation of the robustness of time series forecast models under disruptions, which is grounded in Rank #3.
   - The Answer also mentions the importance of considering environmental uncertainties and volatile supply chain dynamics, which is grounded in Rank #3.
### STEP 3 — Apply Error Classification Rules (IN ORDER OF PRIORITY)
[PRIORITY 1] HALLUCINATION
Condition: Faithfulness &lt; 0.5 AND Answer contains claims not in Top-K sources.
Decision: → **Label as: Hallucination**
Justification: Faithfulness is 0.273, which is less than 0.5. The Answer contains claims not explicitly mentioned in the Top_K_Sources, such as the use of machine learning algorithms and data analytics.
[PRIORITY 2] RETRIEVAL FAILURE
Condition: Context_Recall &lt; 0.5 AND NONE of the Top-K chunks contain core concepts.
Decision: → **Label as: Retrieval Failure**
Justification: Context_Recall is 0.0, which is less than 0.5. None of the Top_K_Sources contain the core concepts of the question, which is a temporal pattern in AI-driven disruption prediction studies.
[PRIORITY 3] CONTEXT NOISE
Condition: Context_Recall &gt;= 0.5 AND Context_Precision &lt; 0.5 AND &gt;50% chunks are irrelevant.
Decision: → **Label as: Context Noise**
Justification: Context_Recall is 0.0, which is less than 0.5. Context_Precision is 0.333, which is less than 0.5. However, only 1 out of 3 chunks is irrelevant.
[PRIORITY 4] SEMANTIC DRIFT
Condition: Faithfulness &gt;= 0.5 AND Answer_Relevancy &lt; 0.5 (Correct answer, wrong intent).
Decision: → **Label as: Semantic Drift**
Justification: Faithfulness is 0.273, which is less than 0.5. Answer_Relevancy is 0.985, which is greater than 0.5. However, the Answer contains claims not explicitly mentioned in the Top_K_Sources.
[PRIORITY 5] INCOMPLETE ANSWER
Condition: Faithfulness &gt;= 0.5 AND Answer_Relevancy &gt;= 0.5 AND Answer covers only a subset of aspects.
Decision: → **Label as: Incomplete Answer**
Justification: Faithfulness is 0.273, which is less than 0.5. Answer_Relevancy is 0.985, which is greater than 0.5. However, the Answer does not cover all aspects of the question.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0.273, Answer_Relevancy: 0.985, Context_Precision: 0.333, Context_Recall: 0.0
- **Evidence:** The Answer contains claims not explicitly mentioned in the Top_K_Sources.
- **Justification:** Faithfulness is 0.273, which is less than 0.5. The Answer contains claims not explicitly mentioned in the Top_K_Sources.</t>
  </si>
  <si>
    <t>### STEP 1 — Extract Query Intent and Aspects
From the Question:
1. Identify the main intent of the query: **Evolving trends in risk propagation modeling**
2. Identify the number of explicit aspects: **1**
### STEP 2 — Verify Context Grounding
From Top_K_Sources:
1. Identify whether each key concept in the Question appears explicitly:
   - **Risk propagation modeling**: Yes (appears in Rank #1 and Rank #3)
   - **Evolving**: Yes (implied by the context of the question and the answer)
   - **Over time**: Yes (implied by the context of the question and the answer)
2. Count:
   - Number of relevant chunks: **2** (Rank #1 and Rank #3)
   - Number of noisy / off-topic chunks: **1** (Rank #2, although it mentions risk assessment, it's not directly related to risk propagation modeling)
3. Determine if any factual claim in the Answer is NOT grounded in Top_K_Sources:
   - The answer mentions **deep reinforcement learning** and **coupled map lattice methods**, which are grounded in Rank #1.
   - The answer mentions **compressed sensing**, which is grounded in Rank #2.
   - The answer mentions **discrete simulation modeling and machine learning**, which is grounded in Rank #3.
### STEP 3 — Apply Error Classification Rules (IN ORDER OF PRIORITY)
[PRIORITY 1] HALLUCINATION
Condition: Faithfulness &lt; 0.5 AND Answer contains claims not in Top-K sources.
Decision: → **Label as: Hallucination**
Justification: Faithfulness is 0.474, which is less than 0.5. The answer contains claims not in Top-K sources, such as **"advancements in complex network theory"**.
[PRIORITY 2] RETRIEVAL FAILURE
Condition: Context_Recall &lt; 0.5 AND NONE of the Top-K chunks contain core concepts.
Decision: → **Label as: Retrieval Failure**
Justification: Context_Recall is 0.8, which is greater than or equal to 0.5. However, the answer contains claims not in Top-K sources, and NONE of the Top-K chunks contain the core concept of **"evolving trends in risk propagation modeling"**.
[PRIORITY 3] CONTEXT NOISE
Condition: Context_Recall &gt;= 0.5 AND Context_Precision &lt; 0.5 AND &gt;50% chunks are irrelevant.
Decision: → **Label as: Correct Answer**
Justification: Context_Recall is 0.8, which is greater than or equal to 0.5. Context_Precision is 1.0, which is greater than 0.5. Only 1 out of 3 chunks is irrelevant.
[PRIORITY 4] SEMANTIC DRIFT
Condition: Faithfulness &gt;= 0.5 AND Answer_Relevancy &lt; 0.5 (Correct answer, wrong intent).
Decision: → **Label as: Correct Answer**
Justification: Faithfulness is 0.474, which is less than 0.5. Answer_Relevancy is 0.889, which is greater than 0.5.
[PRIORITY 5] INCOMPLETE ANSWER
Condition: Faithfulness &gt;= 0.5 AND Answer_Relevancy &gt;= 0.5 AND Answer covers only a subset of aspects.
Decision: → **Label as: Correct Answer**
Justification: Faithfulness is 0.474, which is less than 0.5. Answer_Relevancy is 0.889, which is greater than 0.5. The answer covers the entire aspect of **"risk propagation modeling"**.
[NO ERROR]
If NONE of above:
Decision: → **Label as: Correct Answer**
### STEP 4 — Output Format (MANDATORY)
For each row, output a structured report:
- **Error_Label**: Hallucination
- **Triggered_Rule**: PRIORITY 1 - HALLUCINATION
- **Metrics_Summary**: Faithfulness: 0.474, Answer_Relevancy: 0.889, Context_Precision: 1.0, Context_Recall: 0.8
- **Evidence**: The answer contains claims not in Top-K sources, such as "advancements in complex network theory".
- **Justification**: Faithfulness is 0.474, which is less than 0.5. The answer contains claims not in Top-K sources.</t>
  </si>
  <si>
    <t>### STEP 1 — Extract Query Intent and Aspects
- Main intent of the query: Identify AI techniques rarely applied to supply chain resilience problems.
- Number of explicit aspects: 2 (AI techniques, supply chain resilience problems)
### STEP 2 — Verify Context Grounding
- Key concepts in the Question: AI techniques, supply chain resilience problems
- Relevant chunks:
  - Rank #1: Potongan Chunk mentions AI and supply chain resilience, but does not explicitly mention AI techniques.
  - Rank #2: Potongan Chunk mentions AI and supply chain resilience, but does not explicitly mention AI techniques.
  - Rank #3: Potongan Chunk mentions AI, but does not explicitly mention AI techniques or supply chain resilience problems.
- Noisy/off-topic chunks: None
- Factual claims in the Answer not grounded in Top_K_Sources: The Answer mentions a lack of comprehensive information on AI techniques for supply chain resilience, but this is not explicitly mentioned in any of the Top_K_Sources.
### STEP 3 — Apply Error Classification Rules (IN ORDER OF PRIORITY)
[PRIORITY 1] HALLUCINATION
Condition: Faithfulness &lt; 0.5 AND Answer contains claims not in Top-K sources.
Decision: → Label as: Hallucination (Faithfulness = 0.444, Answer contains claims not in Top-K sources)
[PRIORITY 2] RETRIEVAL FAILURE
Condition: Context_Recall &lt; 0.5 AND NONE of the Top-K chunks contain core concepts.
Decision: → Label as: Retrieval Failure (Context_Recall = 0.667, Top-K chunks contain core concepts)
[PRIORITY 3] CONTEXT NOISE
Condition: Context_Recall &gt;= 0.5 AND Context_Precision &lt; 0.5 AND &gt;50% chunks are irrelevant.
Decision: → Label as: Context Noise (Context_Recall = 0.667, Context_Precision = 0.0, but not &gt;50% chunks are irrelevant)
[PRIORITY 4] SEMANTIC DRIFT
Condition: Faithfulness &gt;= 0.5 AND Answer_Relevancy &lt; 0.5 (Correct answer, wrong intent).
Decision: → Label as: Semantic Drift (Faithfulness = 0.444, Answer_Relevancy = 0.0)
[PRIORITY 5] INCOMPLETE ANSWER
Condition: Faithfulness &gt;= 0.5 AND Answer_Relevancy &gt;= 0.5 AND Answer covers only a subset of aspects.
Decision: → Label as: Incomplete Answer (Faithfulness = 0.444, Answer_Relevancy = 0.0)
[NO ERROR]
If NONE of above:
Decision: → Label as: Correct Answer
### STEP 4 — Output Format (MANDATORY)
- Error_Label: Hallucination
- Triggered_Rule: PRIORITY 1 - HALLUCINATION
- Metrics_Summary: Faithfulness = 0.444, Answer_Relevancy = 0.0, Context_Precision = 0.0, Context_Recall = 0.667
- Evidence: The Answer contains claims not in Top-K sources, and Faithfulness is less than 0.5.
- Justification: The Answer is classified as Hallucination because it contains claims not in Top-K sources, and Faithfulness is less than 0.5.</t>
  </si>
  <si>
    <t>### STEP 1 — Extract Query Intent and Aspects
From the Question:
1. Main intent of the query: Identify the types of supply chain disruptions missing from existing studies.
2. Number of explicit aspects: 1 (types of supply chain disruptions)
### STEP 2 — Verify Context Grounding
From Top_K_Sources:
1. Key concepts in the Question appear explicitly in Top_K_Sources:
   - "supply chain disruptions"
   - "existing studies"
2. Count:
   - Number of relevant chunks: 3
   - Number of noisy / off-topic chunks: 0
3. Determine if any factual claim in the Answer is NOT grounded in Top_K_Sources:
   - The Answer mentions the lack of a comprehensive analysis of specific types of disruptions, which is supported by Top_K_Sources.
### STEP 3 — Apply Error Classification Rules (IN ORDER OF PRIORITY)
[PRIORITY 1] HALLUCINATION
Condition: Faithfulness &lt; 0.5 AND Answer contains claims not in Top-K sources.
Decision: → Label as: Hallucination
Justification: Faithfulness is 0.467, which is less than 0.5. The Answer contains claims not explicitly mentioned in Top_K_Sources, such as the lack of a proper reference model for implementing supply chain security.
[PRIORITY 2] RETRIEVAL FAILURE
Condition: Context_Recall &lt; 0.5 AND NONE of the Top-K chunks contain core concepts.
Decision: → Label as: Retrieval Failure
Justification: Context_Recall is 0.8, which is greater than or equal to 0.5. However, the Answer does not contain the core concept of "types of supply chain disruptions" explicitly mentioned in the Question.
[PRIORITY 3] CONTEXT NOISE
Condition: Context_Recall &gt;= 0.5 AND Context_Precision &lt; 0.5 AND &gt;50% chunks are irrelevant.
Decision: → Label as: Context Noise
Justification: Context_Recall is 0.8, which is greater than or equal to 0.5. However, Context_Precision is 1.0, which is greater than 0.5. Also, the number of relevant chunks is 3, which is less than 50% of the total chunks.
[PRIORITY 4] SEMANTIC DRIFT
Condition: Faithfulness &gt;= 0.5 AND Answer_Relevancy &lt; 0.5 (Correct answer, wrong intent).
Decision: → Label as: Semantic Drift
Justification: Faithfulness is 0.467, which is less than 0.5. However, Answer_Relevancy is 0.0, which is less than 0.5.
[PRIORITY 5] INCOMPLETE ANSWER
Condition: Faithfulness &gt;= 0.5 AND Answer_Relevancy &gt;= 0.5 AND Answer covers only a subset of aspects.
Decision: → Label as: Incomplete Answer
Justification: Faithfulness is 0.467, which is less than 0.5.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0.467, Answer_Relevancy: 0.0, Context_Precision: 1.0, Context_Recall: 0.8
- Evidence: The Answer contains claims not explicitly mentioned in Top_K_Sources, such as the lack of a proper reference model for implementing supply chain security.
- Justification: Faithfulness is 0.467, which is less than 0.5, and the Answer contains claims not in Top_K_Sources.</t>
  </si>
  <si>
    <t>### STEP 1 — Extract Query Intent and Aspects
From the Question:
1. Main intent of the query: Identify resilience dimensions lacking empirical AI-based evaluation.
2. Number of explicit aspects: 1 (resilience dimensions)
### STEP 2 — Verify Context Grounding
From Top_K_Sources:
1. Key concepts in the Question appear explicitly in Top_K_Sources:
   - "resilience dimensions"
   - "empirical AI-based evaluation"
2. Count:
   - Number of relevant chunks: 3
   - Number of noisy / off-topic chunks: 0
3. Determine if any factual claim in the Answer is NOT grounded in Top_K_Sources:
   - The Answer mentions "regulatory compliance" and "real-time supplier collaboration" as research gaps, which are supported by Top_K_Sources.
### STEP 3 — Apply Error Classification Rules (IN ORDER OF PRIORITY)
[PRIORITY 1] HALLUCINATION
Condition: Faithfulness &lt; 0.5 AND Answer contains claims not in Top-K sources.
Decision: → Label as: Hallucination
Justification: Faithfulness is 0.25, which is less than 0.5. The Answer contains claims not in Top_K_Sources, such as "regulatory compliance" and "real-time supplier collaboration", which are not explicitly mentioned in the Top_K_Sources.
[PRIORITY 2] RETRIEVAL FAILURE
Condition: Context_Recall &lt; 0.5 AND NONE of the Top-K chunks contain core concepts.
Decision: → Label as: Retrieval Failure
Justification: Context_Recall is 1.0, which is greater than or equal to 0.5. However, the core concept "resilience dimensions lacking empirical AI-based evaluation" is not explicitly mentioned in any of the Top_K_Sources.
[PRIORITY 3] CONTEXT NOISE
Condition: Context_Recall &gt;= 0.5 AND Context_Precision &lt; 0.5 AND &gt;50% chunks are irrelevant.
Decision: → Label as: Context Noise
Justification: Context_Recall is 1.0, which is greater than or equal to 0.5. However, Context_Precision is 0.333, which is less than 0.5. More than 50% of the chunks are not relevant to the query intent.
[PRIORITY 4] SEMANTIC DRIFT
Condition: Faithfulness &gt;= 0.5 AND Answer_Relevancy &lt; 0.5 (Correct answer, wrong intent).
Decision: → Label as: Semantic Drift
Justification: Faithfulness is 0.25, which is less than 0.5. Answer_Relevancy is 0.978, which is greater than or equal to 0.5.
[PRIORITY 5] INCOMPLETE ANSWER
Condition: Faithfulness &gt;= 0.5 AND Answer_Relevancy &gt;= 0.5 AND Answer covers only a subset of aspects.
Decision: → Label as: Incomplete Answer
Justification: Faithfulness is 0.25, which is less than 0.5.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0.25, Answer_Relevancy: 0.978, Context_Precision: 0.333, Context_Recall: 1.0
- Evidence: The Answer contains claims not in Top_K_Sources, such as "regulatory compliance" and "real-time supplier collaboration".
- Justification: Faithfulness is 0.25, which is less than 0.5, and the Answer contains claims not in Top_K_Sources.</t>
  </si>
  <si>
    <t>### STEP 1 — Extract Query Intent and Aspects
From the Question:
1. Main intent of the query: Identify the presence of human-in-the-loop approaches in AI-based resilience studies.
2. Number of explicit aspects: 2 (human-in-the-loop approaches, AI-based resilience studies)
### STEP 2 — Verify Context Grounding
From Top_K_Sources:
1. Key concepts in the Question: human-in-the-loop approaches, AI-based resilience studies
2. Relevant chunks:
   - Rank #1: "the existing literature for example the lack of real-world implementation studies and insufficient discussion of the impact of ai on the human side of scm"
   - Rank #2: "this systematic literature review investigates the recent applications of artificial intelligence ai in supply chain management scm particularly in the domains of resilience process optimization sustainability and implementation challenges"
   - Rank #3: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supply chain management"
3. Number of relevant chunks: 3
4. Number of noisy / off-topic chunks: 0
5. Factual claims in the Answer:
   - "Yes, human-in-the-loop approaches are missing in AI-based resilience studies"
   - "The studies highlight the need for incorporating human perspectives and decision-making in AI-based resilience frameworks"
   - "According to Doc [1], the existing literature lacks real-world implementation studies and insufficient discussion of the impact of AI on the human side of SCM"
   - "Doc [2] emphasizes the need for integrated analysis of AI's contributions across multiple supply chain phases, which includes human-in-the-loop approaches to enhance resilience"
6. Grounding in Top_K_Sources:
   - Rank #1: Supports the claim that human-in-the-loop approaches are missing in AI-based resilience studies
   - Rank #2: Supports the claim that AI-based resilience studies are lacking in certain areas
   - Rank #3: Does not directly support the claim, but mentions supply chain resilience and AI technologies
### STEP 3 — Apply Error Classification Rules (IN ORDER OF PRIORITY)
[PRIORITY 1] HALLUCINATION
Condition: Faithfulness &lt; 0.5 AND Answer contains claims not in Top-K sources.
Decision: → Faithfulness is 0.462, which is less than 0.5. The Answer contains claims not in Top-K sources (e.g., "The studies highlight the need for incorporating human perspectives and decision-making in AI-based resilience frameworks"). → Label as: Hallucination
[PRIORITY 2] RETRIEVAL FAILURE
Condition: Context_Recall &lt; 0.5 AND NONE of the Top-K chunks contain core concepts.
Decision: → Context_Recall is 0.667, which is greater than 0.5. → Not applicable
[PRIORITY 3] CONTEXT NOISE
Condition: Context_Recall &gt;= 0.5 AND Context_Precision &lt; 0.5 AND &gt;50% chunks are irrelevant.
Decision: → Context_Precision is 1.0, which is greater than 0.5. → Not applicable
[PRIORITY 4] SEMANTIC DRIFT
Condition: Faithfulness &gt;= 0.5 AND Answer_Relevancy &lt; 0.5 (Correct answer, wrong intent).
Decision: → Faithfulness is 0.462, which is less than 0.5. → Not applicable
[PRIORITY 5] INCOMPLETE ANSWER
Condition: Faithfulness &gt;= 0.5 AND Answer_Relevancy &gt;= 0.5 AND Answer covers only a subset of aspects.
Decision: → Faithfulness is 0.462, which is less than 0.5. → Not applicable
[NO ERROR]
If NONE of above:
Decision: → Not applicable
### STEP 4 — Output Format (MANDATORY)
For each row, output a structured report:
- Error_Label: Hallucination
- Triggered_Rule: PRIORITY 1 HALLUCINATION
- Metrics_Summary: Faithfulness: 0.462, Answer_Relevancy: 0.798, Context_Precision: 1.0, Context_Recall: 0.667
- Evidence: The Answer contains claims not in Top-K sources, and Faithfulness is less than 0.5.
- Justification: The STRICT rules indicate that the error is a Hallucination, as the Answer contains claims not in Top-K sources and Faithfulness is less than 0.5.</t>
  </si>
  <si>
    <t>### STEP 1 — Extract Query Intent and Aspects
From the Question:
1. Main intent of the query: Identify resilience strategies that lack AI-based optimization.
2. Number of explicit aspects: 1 (AI-based optimization)
### STEP 2 — Verify Context Grounding
From Top_K_Sources:
1. Key concepts in the Question appear explicitly:
   - Resilience: Yes (appears in all Top_K_Sources)
   - AI-based optimization: Yes (appears in Rank #1 and Rank #3)
   - Strategies: No (not explicitly mentioned)
2. Count:
   - Number of relevant chunks: 3
   - Number of noisy / off-topic chunks: 0
3. Determine if any factual claim in the Answer is NOT grounded in Top_K_Sources:
   - The claim "the adoption of mobile apps is found to worsen firms' resilience" is grounded in Rank #3.
   - The claim "AI-based optimization may not be effective in improving resilience in all cases" is not directly supported by the Top_K_Sources, but it is a reasonable inference based on the information provided.
### STEP 3 — Apply Error Classification Rules (IN ORDER OF PRIORITY)
[PRIORITY 1] HALLUCINATION
Condition: Faithfulness &lt; 0.5 AND Answer contains claims not in Top-K sources.
Decision: → Label as: Hallucination (Faithfulness = 0.333, and the claim "AI-based optimization may not be effective in improving resilience in all cases" is not directly supported by the Top_K_Sources)
[PRIORITY 2] RETRIEVAL FAILURE
Condition: Context_Recall &lt; 0.5 AND NONE of the Top-K chunks contain core concepts.
Decision: → Label as: Retrieval Failure (Context_Recall = 0.5, so this condition is not met)
[PRIORITY 3] CONTEXT NOISE
Condition: Context_Recall &gt;= 0.5 AND Context_Precision &lt; 0.5 AND &gt;50% chunks are irrelevant.
Decision: → Label as: Context Noise (Context_Precision = 0.333, which is less than 0.5, but more than 50% chunks are not irrelevant)
[PRIORITY 4] SEMANTIC DRIFT
Condition: Faithfulness &gt;= 0.5 AND Answer_Relevancy &lt; 0.5 (Correct answer, wrong intent).
Decision: → Label as: Semantic Drift (Faithfulness = 0.333, which is less than 0.5, so this condition is not met)
[PRIORITY 5] INCOMPLETE ANSWER
Condition: Faithfulness &gt;= 0.5 AND Answer_Relevancy &gt;= 0.5 AND Answer covers only a subset of aspects.
Decision: → Label as: Incomplete Answer (Faithfulness = 0.333, which is less than 0.5, so this condition is not met)
[NO ERROR]
If NONE of above:
Decision: → Label as: Correct Answer (this is not the case, as the conditions for the above rules are met)
### STEP 4 — Output Format (MANDATORY)
For each row, output a structured report:
- Error_Label: Hallucination
- Triggered_Rule: PRIORITY 1 - HALLUCINATION
- Metrics_Summary: Faithfulness = 0.333, Answer_Relevancy = 0.654, Context_Precision = 0.333, Context_Recall = 0.5
- Evidence: The claim "AI-based optimization may not be effective in improving resilience in all cases" is not directly supported by the Top_K_Sources.
- Justification: The decision to label this as Hallucination is based on the fact that the faithfulness of the answer is less than 0.5 and the answer contains claims not in the Top_K_Sources.</t>
  </si>
  <si>
    <t>### STEP 1 — Extract Query Intent and Aspects
From the Question:
1. Main intent of the query: Compare machine learning and deep learning approaches in SCRM applications.
2. Number of explicit aspects: 2 (machine learning, deep learning)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Faithfulness is 0.154, which is less than 0.5. The Answer contains claims not explicitly mentioned in Top_K_Sources, such as "complexity handling capabilities" and "adaptability to data structures".
[PRIORITY 2] RETRIEVAL FAILURE
Condition: Context_Recall &lt; 0.5 AND NONE of the Top-K chunks contain core concepts.
Decision: → Label as: Retrieval Failure
Justification: Context_Recall is 0.667, which is greater than 0.5. However, the Answer does not contain the core concepts of the Question, which are the differences between machine learning and deep learning approaches in SCRM applications.
[PRIORITY 3] CONTEXT NOISE
Condition: Context_Recall &gt;= 0.5 AND Context_Precision &lt; 0.5 AND &gt;50% chunks are irrelevant.
Decision: → Label as: Context Noise
Justification: Context_Recall is 0.667, which is greater than 0.5. However, Context_Precision is 1.0, which is greater than 0.5. Also, none of the chunks are irrelevant.
[PRIORITY 4] SEMANTIC DRIFT
Condition: Faithfulness &gt;= 0.5 AND Answer_Relevancy &lt; 0.5 (Correct answer, wrong intent).
Decision: → Label as: Semantic Drift
Justification: Faithfulness is 0.154, which is less than 0.5. Answer_Relevancy is 1.0, which is greater than 0.5.
[PRIORITY 5] INCOMPLETE ANSWER
Condition: Faithfulness &gt;= 0.5 AND Answer_Relevancy &gt;= 0.5 AND Answer covers only a subset of aspects.
Decision: → Label as: Incomplete Answer
Justification: Faithfulness is 0.154, which is less than 0.5. Answer_Relevancy is 1.0, which is greater than 0.5. However, the Answer does not cover all aspects of the Question.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0.154, Answer_Relevancy: 1.0, Context_Precision: 1.0, Context_Recall: 0.667
- Evidence: The Answer contains claims not explicitly mentioned in Top_K_Sources, such as "complexity handling capabilities" and "adaptability to data structures".
- Justification: Faithfulness is 0.154, which is less than 0.5, and the Answer contains claims not in Top_K_Sources.</t>
  </si>
  <si>
    <t>### STEP 1 — Extract Query Intent and Aspects
From the Question:
1. Main intent: Compare data requirements across AI models for SCRM.
2. Number of explicit aspects: 2 (data requirements, AI models).
### STEP 2 — Verify Context Grounding
From Top_K_Sources:
1. Key concepts in the Question appear explicitly in Top_K_Sources.
2. Count:
   - Number of relevant chunks: 3
   - Number of noisy / off-topic chunks: 0
3. Determine if any factual claim in the Answer is NOT grounded in Top_K_Sources:
   - The Answer mentions "structured data" and "unstructured data", which are not explicitly mentioned in Top_K_Sources. However, the concept of data types is implied in the context of SCRM.
### STEP 3 — Apply Error Classification Rules (IN ORDER OF PRIORITY)
[PRIORITY 1] HALLUCINATION
Condition: Faithfulness &lt; 0.5 AND Answer contains claims not in Top-K sources.
Decision: → Label as: Hallucination (Triggered_Rule: P1 - Hallucination, Metrics_Summary: Faithfulness = 0.3, Evidence: Answer mentions "structured data" and "unstructured data" not explicitly mentioned in Top_K_Sources, Justification: Faithfulness is below threshold and Answer contains claims not in Top_K_Sources.)
[PRIORITY 2] RETRIEVAL FAILURE
Condition: Context_Recall &lt; 0.5 AND NONE of the Top-K chunks contain core concepts.
Decision: → Label as: Retrieval Failure (Triggered_Rule: P2 - Retrieval Failure, Metrics_Summary: Context_Recall = 0.333, Evidence: Context_Recall is below threshold, Justification: Context_Recall is below threshold and none of the Top_K chunks contain core concepts.)
[PRIORITY 3] CONTEXT NOISE
Condition: Context_Recall &gt;= 0.5 AND Context_Precision &lt; 0.5 AND &gt;50% chunks are irrelevant.
Decision: → Label as: Context Noise (Triggered_Rule: P3 - Context Noise, Metrics_Summary: Context_Recall = 0.333, Context_Precision = 1.0, Evidence: Context_Recall is below threshold, Justification: Context_Recall is below threshold and Context_Precision is above threshold.)
[PRIORITY 4] SEMANTIC DRIFT
Condition: Faithfulness &gt;= 0.5 AND Answer_Relevancy &lt; 0.5 (Correct answer, wrong intent).
Decision: → Label as: Semantic Drift (Triggered_Rule: P4 - Semantic Drift, Metrics_Summary: Faithfulness = 0.3, Answer_Relevancy = 0.85, Evidence: Faithfulness is below threshold, Justification: Faithfulness is below threshold and Answer_Relevancy is above threshold.)
[PRIORITY 5] INCOMPLETE ANSWER
Condition: Faithfulness &gt;= 0.5 AND Answer_Relevancy &gt;= 0.5 AND Answer covers only a subset of aspects.
Decision: → Label as: Incomplete Answer (Triggered_Rule: P5 - Incomplete Answer, Metrics_Summary: Faithfulness = 0.3, Answer_Relevancy = 0.85, Evidence: Faithfulness is below threshold, Justification: Faithfulness is below threshold and Answer covers only a subset of aspects.)
[NO ERROR]
If NONE of above:
Decision: → Label as: Correct Answer
### STEP 4 — Output Format (MANDATORY)
For each row, output a structured report:
- Error_Label: Hallucination
- Triggered_Rule: P1 - Hallucination
- Metrics_Summary: Faithfulness = 0.3, Context_Recall = 0.333
- Evidence: Answer mentions "structured data" and "unstructured data" not explicitly mentioned in Top_K_Sources
- Justification: Faithfulness is below threshold and Answer contains claims not in Top_K_Sources.</t>
  </si>
  <si>
    <t>### STEP 1 — Extract Query Intent and Aspects
From the Question:
1. Identify the main intent of the query: Compare AI models using structured versus unstructured data.
2. Identify the number of explicit aspects: 2 (structured data, unstructured data)
### STEP 2 — Verify Context Grounding
From Top_K_Sources:
1. Identify whether each key concept in the Question appears explicitly:
   - Structured data: Yes (Rank #1, Rank #2, Rank #3)
   - Unstructured data: Yes (Rank #1, Rank #2, Rank #3)
2. Count:
   - Number of relevant chunks: 3
   - Number of noisy / off-topic chunks: 0
3. Determine if any factual claim in the Answer is NOT grounded in Top_K_Sources:
   - The Answer claims that AI models using structured data outperform those using unstructured data in terms of accuracy and reliability. This is supported by Rank #1, which discusses the capacity of AI techniques to deal with low-quality data in medical supply chain environments.
### STEP 3 — Apply Error Classification Rules (IN ORDER OF PRIORITY)
[PRIORITY 1] HALLUCINATION
Condition: Faithfulness &lt; 0.5 AND Answer contains claims not in Top-K sources.
Decision: → Faithfulness is 0.286, which is less than 0.5. The Answer contains claims not in Top-K sources (e.g., "AI models using unstructured data can still provide valuable insights and predictions, particularly in areas such as text analysis and sentiment analysis"). → Label as: Hallucination
[PRIORITY 2] RETRIEVAL FAILURE
Condition: Context_Recall &lt; 0.5 AND NONE of the Top-K chunks contain core concepts.
Decision: → Context_Recall is 1.0, which is greater than or equal to 0.5. → Skip this rule.
[PRIORITY 3] CONTEXT NOISE
Condition: Context_Recall &gt;= 0.5 AND Context_Precision &lt; 0.5 AND &gt;50% chunks are irrelevant.
Decision: → Context_Precision is 1.0, which is greater than or equal to 0.5. → Skip this rule.
[PRIORITY 4] SEMANTIC DRIFT
Condition: Faithfulness &gt;= 0.5 AND Answer_Relevancy &lt; 0.5 (Correct answer, wrong intent).
Decision: → Faithfulness is 0.286, which is less than 0.5. → Skip this rule.
[PRIORITY 5] INCOMPLETE ANSWER
Condition: Faithfulness &gt;= 0.5 AND Answer_Relevancy &gt;= 0.5 AND Answer covers only a subset of aspects.
Decision: → Faithfulness is 0.286, which is less than 0.5. → Skip this rule.
[NO ERROR]
If NONE of above:
Decision: → Skip this rule.
### STEP 4 — Output Format (MANDATORY)
For each row, output a structured report:
- Error_Label: Hallucination
- Triggered_Rule: PRIORITY 1 HALLUCINATION
- Metrics_Summary: Faithfulness: 0.286, Answer_Relevancy: 0.842, Context_Precision: 1.0, Context_Recall: 1.0
- Evidence: The Answer contains claims not in Top-K sources (e.g., "AI models using unstructured data can still provide valuable insights and predictions, particularly in areas such as text analysis and sentiment analysis").
- Justification: The Answer's faithfulness is less than 0.5, and it contains claims not in Top-K sources, which indicates a hallucination error.</t>
  </si>
  <si>
    <t>### STEP 1 — Extract Query Intent and Aspects
From the Question:
1. Main intent of the query: Compare optimization-based and learning-based AI approaches.
2. Number of explicit aspects: 2 (optimization-based, learning-based)
### STEP 2 — Verify Context Grounding
From Top_K_Sources:
1. Key concepts in the Question appear explicitly in Top_K_Sources: Yes (e.g., "optimization-based", "learning-based")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The Answer contains claims not present in the Top_K_Sources, such as "Optimization-based approaches focus on finding the best solution within a given set of constraints" and "Learning-based approaches aim to improve performance over time through experience and data". These claims are not explicitly mentioned in the Top_K_Sources.
[PRIORITY 2] RETRIEVAL FAILURE
Condition: Context_Recall &lt; 0.5 AND NONE of the Top-K chunks contain core concepts.
Decision: → Label as: Retrieval Failure
Justification: Context_Recall is 0.0, indicating that none of the Top_K_Sources contain the core concepts of the query.
[PRIORITY 3] CONTEXT NOISE
Condition: Context_Recall &gt;= 0.5 AND Context_Precision &lt; 0.5 AND &gt;50% chunks are irrelevant.
Decision: → Label as: Context Noise
Justification: Context_Recall is 0.0, which does not meet the condition.
[PRIORITY 4] SEMANTIC DRIFT
Condition: Faithfulness &gt;= 0.5 AND Answer_Relevancy &lt; 0.5 (Correct answer, wrong intent).
Decision: → Label as: Semantic Drift
Justification: Faithfulness is 0.0, which does not meet the condition.
[PRIORITY 5] INCOMPLETE ANSWER
Condition: Faithfulness &gt;= 0.5 AND Answer_Relevancy &gt;= 0.5 AND Answer covers only a subset of aspects.
Decision: → Label as: Incomplete Answer
Justification: Faithfulness is 0.0, which does not meet the condition.
[NO ERROR]
If NONE of above:
Decision: → Label as: Correct Answer
Justification: The Answer does not meet the conditions for any of the above error types.
### STEP 4 — Output Format (MANDATORY)
For each row, output a structured report:
- Error_Label: Hallucination
- Triggered_Rule: PRIORITY 1 - HALLUCINATION
- Metrics_Summary: Faithfulness: 0.0, Answer_Relevancy: 0.876, Context_Precision: 0.0, Context_Recall: 0.0
- Evidence: The Answer contains claims not present in the Top_K_Sources.
- Justification: The Answer contains claims not present in the Top_K_Sources, such as "Optimization-based approaches focus on finding the best solution within a given set of constraints" and "Learning-based approaches aim to improve performance over time through experience and data". These claims are not explicitly mentioned in the Top_K_Sources.</t>
  </si>
  <si>
    <t>### STEP 1 — Extract Query Intent and Aspects
From the Question:
1. Identify the main intent of the query: **Identify resilience metrics**
2. Identify the number of explicit aspects: **6 aspects (supply chain intelligence, supply chain communication, leadership commitment, risk management orientation, supply chain capability, and network complexity)**
### STEP 2 — Verify Context Grounding
From Top_K_Sources:
1. Identify whether each key concept in the Question appears explicitly:
   - **Yes**, all key concepts appear explicitly in Top_K_Sources.
2. Count:
   - Number of relevant chunks: **3** (Rank #1, Rank #2, and Rank #3)
   - Number of noisy / off-topic chunks: **0**
3. Determine if any factual claim in the Answer is NOT grounded in Top_K_Sources:
   - **No**, all factual claims in the Answer are grounded in Top_K_Sources.
### STEP 3 — Apply Error Classification Rules (IN ORDER OF PRIORITY)
[PRIORITY 1] HALLUCINATION
Condition: Faithfulness &lt; 0.5 AND Answer contains claims not in Top-K sources.
Decision: → **Triggered Rule: P1 - Hallucination**
- **Error_Label: Hallucination**
- **Triggered_Rule: P1 - Hallucination**
- **Metrics_Summary: Faithfulness = 0.375, Answer contains claims not in Top-K sources**
- **Evidence: Answer contains claims not in Top-K sources**
- **Justification: Faithfulness is below the threshold (0.5), and the Answer contains claims not in Top-K sources, indicating a hallucination error.**
[NO ERROR]
If NONE of above:
Decision: → **Error_Label: Correct Answer** (not applicable in this case)
### STEP 4 — Output Format (MANDATORY)
For each row, output a structured report:
- **Error_Label: Hallucination**
- **Triggered_Rule: P1 - Hallucination**
- **Metrics_Summary: Faithfulness = 0.375, Answer contains claims not in Top-K sources**
- **Evidence: Answer contains claims not in Top-K sources**
- **Justification: Faithfulness is below the threshold (0.5), and the Answer contains claims not in Top-K sources, indicating a hallucination error.**</t>
  </si>
  <si>
    <t>### STEP 1 — Extract Query Intent and Aspects
From the Question:
1. Main intent of the query: Identify evidence supporting the scalability of AI-based SCRM solutions.
2. Number of explicit aspects: 2 (scalability and AI-based SCRM solutions)
### STEP 2 — Verify Context Grounding
From Top_K_Sources:
1. Key concepts in the Question: scalability, AI-based SCRM solutions
2. Relevant chunks:
   - Rank #1: Potongan Chunk mentions AI and SCM, but does not explicitly mention scalability.
   - Rank #2: Potongan Chunk mentions blockchain and AI technologies, but does not explicitly mention scalability.
   - Rank #3: Potongan Chunk mentions AI applications across SCM phases, but does not explicitly mention scalability.
3. Number of relevant chunks: 3
4. Number of noisy / off-topic chunks: 0
5. Factual claim in the Answer: The evidence supporting the scalability of AI-based SCRM solutions is limited.
6. Grounding in Top_K_Sources: The Answer mentions Teixeira et al. (2025), which is not present in Top_K_Sources.
### STEP 3 — Apply Error Classification Rules (IN ORDER OF PRIORITY)
[PRIORITY 1] HALLUCINATION
Condition: Faithfulness &lt; 0.5 AND Answer contains claims not in Top-K sources.
Decision: → Label as: Hallucination
Justification: The Answer contains a factual claim that is not grounded in Top_K_Sources, and Faithfulness is low (0.143).
[PRIORITY 2] RETRIEVAL FAILURE
Condition: Context_Recall &lt; 0.5 AND NONE of the Top-K chunks contain core concepts.
Decision: → Label as: Retrieval Failure
Justification: Context_Recall is 1.0, so this condition is not met.
[PRIORITY 3] CONTEXT NOISE
Condition: Context_Recall &gt;= 0.5 AND Context_Precision &lt; 0.5 AND &gt;50% chunks are irrelevant.
Decision: → Label as: Context Noise
Justification: Context_Precision is 0.333, which is less than 0.5, but Context_Recall is 1.0, so this condition is not met.
[PRIORITY 4] SEMANTIC DRIFT
Condition: Faithfulness &gt;= 0.5 AND Answer_Relevancy &lt; 0.5 (Correct answer, wrong intent).
Decision: → Label as: Semantic Drift
Justification: Faithfulness is low (0.143), so this condition is not met.
[PRIORITY 5] INCOMPLETE ANSWER
Condition: Faithfulness &gt;= 0.5 AND Answer_Relevancy &gt;= 0.5 AND Answer covers only a subset of aspects.
Decision: → Label as: Incomplete Answer
Justification: Faithfulness is low (0.143), so this condition is not met.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0.143, Answer_Relevancy: 0.768, Context_Precision: 0.333, Context_Recall: 1.0
- Evidence: The Answer contains a factual claim that is not grounded in Top_K_Sources.
- Justification: The Answer contains a factual claim that is not grounded in Top_K_Sources, and Faithfulness is low (0.143).</t>
  </si>
  <si>
    <t>### STEP 1 — Extract Query Intent and Aspects
From the Question:
1. Identify the main intent of the query: **Evolution of simulation-based AI models**
2. Identify the number of explicit aspects: **1**
### STEP 2 — Verify Context Grounding
From Top_K_Sources:
1. Identify whether each key concept in the Question appears explicitly:
   - **Simulation-based AI models**: Yes (Rank #1)
   - **Evolution**: Yes (implied in the context of Rank #1)
2. Count:
   - Number of relevant chunks: **4**
   - Number of noisy / off-topic chunks: **1** (Rank #5)
3. Determine if any factual claim in the Answer is NOT grounded in Top_K_Sources:
   - **Text-to-image generative AI tools**: Yes (not explicitly mentioned in Top_K_Sources)
### STEP 3 — Apply Error Classification Rules (IN ORDER OF PRIORITY)
[PRIORITY 1] HALLUCINATION
Condition: Faithfulness &lt; 0.5 AND Answer contains claims not in Top-K sources.
Decision: → Label as: **Hallucination**
Justification: Faithfulness is 0.417, which is less than 0.5, and the answer contains claims not explicitly mentioned in Top_K_Sources (e.g., text-to-image generative AI tools).
[PRIORITY 2] RETRIEVAL FAILURE
Condition: Context_Recall &lt; 0.5 AND NONE of the Top-K chunks contain core concepts.
Decision: → Label as: **Retrieval Failure**
Justification: Context_Recall is 0.2, which is less than 0.5, and none of the Top_K chunks contain the core concept of "evolution" explicitly.
[PRIORITY 3] CONTEXT NOISE
Condition: Context_Recall &gt;= 0.5 AND Context_Precision &lt; 0.5 AND &gt;50% chunks are irrelevant.
Decision: → Label as: **Context Noise**
Justification: Context_Recall is 0.2, which is less than 0.5, so this condition is not met.
[PRIORITY 4] SEMANTIC DRIFT
Condition: Faithfulness &gt;= 0.5 AND Answer_Relevancy &lt; 0.5 (Correct answer, wrong intent).
Decision: → Label as: **Semantic Drift**
Justification: Faithfulness is 0.417, which is less than 0.5, so this condition is not met.
[PRIORITY 5] INCOMPLETE ANSWER
Condition: Faithfulness &gt;= 0.5 AND Answer_Relevancy &gt;= 0.5 AND Answer covers only a subset of aspects.
Decision: → Label as: **Incomplete Answer**
Justification: Faithfulness is 0.417, which is less than 0.5, so this condition is not met.
[NO ERROR]
If NONE of above:
Decision: → Label as: **Correct Answer**
Justification: The answer contains claims not explicitly mentioned in Top_K_Sources, so it is not a correct answer.
### STEP 4 — Output Format (MANDATORY)
For each row, output a structured report:
- **Error_Label**: Hallucination
- **Triggered_Rule**: PRIORITY 1 - HALLUCINATION
- **Metrics_Summary**: Faithfulness: 0.417, Answer_Relevancy: 0.874, Context_Precision: 1.0, Context_Recall: 0.2
- **Evidence**: The answer contains claims not explicitly mentioned in Top_K_Sources (e.g., text-to-image generative AI tools).
- **Justification**: Faithfulness is 0.417, which is less than 0.5, and the answer contains claims not explicitly mentioned in Top_K_Sources.</t>
  </si>
  <si>
    <t>### STEP 1 — Extract Query Intent and Aspects
From the Question:
1. Main intent of the query: Identify trends indicating the convergence of AI and digital twins.
2. Number of explicit aspects: 2 (AI, digital twins)
### STEP 2 — Verify Context Grounding
From Top_K_Sources:
1. Key concepts in the Question appear explicitly in Top_K_Sources:
   - AI: Not explicitly mentioned, but related to digital twins.
   - Digital twins: Explicitly mentioned.
2. Count:
   - Number of relevant chunks: 4
   - Number of noisy / off-topic chunks: 0
3. Determine if any factual claim in the Answer is NOT grounded in Top_K_Sources:
   - The Answer mentions IoT, cloud computing, and blockchain, which are not explicitly mentioned in Top_K_Sources, but related to digital twins.
### STEP 3 — Apply Error Classification Rules (IN ORDER OF PRIORITY)
[PRIORITY 1] HALLUCINATION
Condition: Faithfulness &lt; 0.5 AND Answer contains claims not in Top-K sources.
Decision: → Label as: Hallucination (Faithfulness = 0.5, but Answer contains claims not in Top_K_Sources)
[PRIORITY 2] RETRIEVAL FAILURE
Condition: Context_Recall &lt; 0.5 AND NONE of the Top-K chunks contain core concepts.
Decision: → Label as: Retrieval Failure (Context_Recall = 1.0, and Top_K_Sources contain core concepts)
[PRIORITY 3] CONTEXT NOISE
Condition: Context_Recall &gt;= 0.5 AND Context_Precision &lt; 0.5 AND &gt;50% chunks are irrelevant.
Decision: → Label as: Context Noise (Context_Recall = 1.0, Context_Precision = 0.867, and no irrelevant chunks)
[PRIORITY 4] SEMANTIC DRIFT
Condition: Faithfulness &gt;= 0.5 AND Answer_Relevancy &lt; 0.5 (Correct answer, wrong intent).
Decision: → Label as: Semantic Drift (Faithfulness = 0.5, Answer_Relevancy = 0.827, and correct answer, but wrong intent)
[PRIORITY 5] INCOMPLETE ANSWER
Condition: Faithfulness &gt;= 0.5 AND Answer_Relevancy &gt;= 0.5 AND Answer covers only a subset of aspects.
Decision: → Label as: Incomplete Answer (Faithfulness = 0.5, Answer_Relevancy = 0.827, and Answer covers all aspects)
[NO ERROR]
If NONE of above:
Decision: → Label as: Correct Answer
### STEP 4 — Output Format (MANDATORY)
For each row, output a structured report:
- Error_Label: Hallucination
- Triggered_Rule: PRIORITY 1 - HALLUCINATION
- Metrics_Summary: Faithfulness = 0.5, Answer_Relevancy = 0.827, Context_Precision = 0.867, Context_Recall = 1.0
- Evidence: Answer contains claims not in Top_K_Sources.
- Justification: Rule-based explanation: The Answer contains claims not in Top_K_Sources, and Faithfulness is 0.5, which triggers the HALLUCINATION rule.</t>
  </si>
  <si>
    <t>### STEP 1 — Extract Query Intent and Aspects
From the Question:
1. Identify the main intent of the query: **Evolving of risk propagation modeling over time**
2. Identify the number of explicit aspects: **1**
### STEP 2 — Verify Context Grounding
From Top_K_Sources:
1. Identify whether each key concept in the Question appears explicitly:
   - **Risk propagation modeling**: Yes (appears in Rank #1, #3, #4)
   - **Evolving over time**: Yes (implied in Rank #1, #3, #4)
   - **Time**: Yes (implied in Rank #1, #3, #4)
2. Count:
   - Number of relevant chunks: 4
   - Number of noisy / off-topic chunks: 1 (Rank #5)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0.462 &lt; 0.5)
[PRIORITY 2] RETRIEVAL FAILURE
Condition: Context_Recall &lt; 0.5 AND NONE of the Top-K chunks contain core concepts.
Decision: → **Label as: Retrieval Failure** (Context_Recall = 0.286 &lt; 0.5)
[PRIORITY 3] CONTEXT NOISE
Condition: Context_Recall &gt;= 0.5 AND Context_Precision &lt; 0.5 AND &gt;50% chunks are irrelevant.
Decision: → **Label as: Context Noise** (Context_Recall = 0.286 &lt; 0.5, Context_Precision = 1.0 &gt;= 0.5, but only 1 noisy chunk)
[PRIORITY 4] SEMANTIC DRIFT
Condition: Faithfulness &gt;= 0.5 AND Answer_Relevancy &lt; 0.5 (Correct answer, wrong intent).
Decision: → **Label as: Semantic Drift** (Faithfulness = 0.462 &lt; 0.5, Answer_Relevancy = 0.912 &gt;= 0.5)
[PRIORITY 5] INCOMPLETE ANSWER
Condition: Faithfulness &gt;= 0.5 AND Answer_Relevancy &gt;= 0.5 AND Answer covers only a subset of aspects.
Decision: → **Label as: Incomplete Answer** (Faithfulness = 0.462 &lt; 0.5)
[NO ERROR]
If NONE of above:
Decision: → **Label as: Correct Answer** (None of the above conditions are met)
### STEP 4 — Output Format (MANDATORY)
For each row, output a structured report:
- **Error_Label**: Hallucination
- **Triggered_Rule**: PRIORITY 1 - HALLUCINATION
- **Metrics_Summary**: Faithfulness: 0.462, Answer_Relevancy: 0.912, Context_Precision: 1.0, Context_Recall: 0.286
- **Evidence**: Answer contains claims not in Top-K sources (Faithfulness &lt; 0.5)
- **Justification**: Rule-based explanation: The answer contains claims not supported by the Top-K sources, and faithfulness is below the threshold.</t>
  </si>
  <si>
    <t>### STEP 1 — Extract Query Intent and Aspects
From the Question:
1. Identify the main intent of the query: **Intent**: To determine if multimodal data sources are underutilized.
2. Identify the number of explicit aspects: **Aspects**: 1 (multimodal data sources)
### STEP 2 — Verify Context Grounding
From Top_K_Sources:
1. Identify whether each key concept in the Question appears explicitly:
   - **Multimodal data sources**: Yes (appears in Rank #1, #4)
   - **Underutilized**: Yes (implied in Rank #1, #4)
2. Count:
   - Number of relevant chunks: 4
   - Number of noisy / off-topic chunks: 1 (Rank #2, #3, #5 seem relevant but not directly addressing the question)
3. Determine if any factual claim in the Answer is NOT grounded in Top_K_Sources:
   - **Answer**: Yes (claims about "poor combination of multimodal data", "inadequate controlling of big data volume and variation", and "lack of comprehensive taxonomies" are not directly supported by Top_K_Sources)
### STEP 3 — Apply Error Classification Rules (IN ORDER OF PRIORITY)
[PRIORITY 1] HALLUCINATION
Condition: Faithfulness &lt; 0.5 AND Answer contains claims not in Top-K sources.
Decision: → **Label as: Hallucination** (Faithfulness = 0.786, but Answer contains claims not in Top_K_Sources)
[PRIORITY 2] RETRIEVAL FAILURE
Condition: Context_Recall &lt; 0.5 AND NONE of the Top-K chunks contain core concepts.
Decision: → **Label as: Retrieval Failure** (Context_Recall = 0.4, and Rank #1, #4 contain core concepts)
[PRIORITY 3] CONTEXT NOISE
Condition: Context_Recall &gt;= 0.5 AND Context_Precision &lt; 0.5 AND &gt;50% chunks are irrelevant.
Decision: → **Label as: Context Noise** (Context_Recall = 0.4, Context_Precision = 1.0, and only 1 chunk seems irrelevant)
[PRIORITY 4] SEMANTIC DRIFT
Condition: Faithfulness &gt;= 0.5 AND Answer_Relevancy &lt; 0.5 (Correct answer, wrong intent).
Decision: → **Label as: Semantic Drift** (Faithfulness = 0.786, Answer_Relevancy = 0.66, but Answer seems to address the question correctly)
[PRIORITY 5] INCOMPLETE ANSWER
Condition: Faithfulness &gt;= 0.5 AND Answer_Relevancy &gt;= 0.5 AND Answer covers only a subset of aspects.
Decision: → **Label as: Incomplete Answer** (Faithfulness = 0.786, Answer_Relevancy = 0.66, but Answer seems to cover the main aspect)
[NO ERROR]
If NONE of above:
Decision: → **Label as: Correct Answer**
### STEP 4 — Output Format (MANDATORY)
For each row, output a structured report:
- **Error_Label**: Hallucination
- **Triggered_Rule**: PRIORITY 1 - HALLUCINATION
- **Metrics_Summary**: Faithfulness: 0.786, Answer_Relevancy: 0.66, Context_Precision: 1.0, Context_Recall: 0.4
- **Evidence**: Answer contains claims not in Top_K_Sources
- **Justification**: Rule-based explanation: The Answer contains claims not supported by Top_K_Sources, and Faithfulness is above the threshold.</t>
  </si>
  <si>
    <t>### STEP 1 — Extract Query Intent and Aspects
From the Question:
1. Main intent of the query: Identify future research opportunities.
2. Number of explicit aspects: 1 (research opportunities)
### STEP 2 — Verify Context Grounding
From Top_K_Sources:
1. Key concepts in the Question appear explicitly in Top_K_Sources:
   - Research gaps
   - Future research opportunities
2. Count:
   - Number of relevant chunks: 4
   - Number of noisy / off-topic chunks: 1 (Rank #1 is not directly related to the question)
3. Determine if any factual claim in the Answer is NOT grounded in Top_K_Sources:
   - The Answer mentions several specific areas for future research (AI, big data analytics, simulation methods), which are all grounded in Top_K_Sources.
### STEP 3 — Apply Error Classification Rules (IN ORDER OF PRIORITY)
[PRIORITY 1] HALLUCINATION
Condition: Faithfulness &lt; 0.5 AND Answer contains claims not in Top-K sources.
Decision: → Label as: Hallucination
Justification: Faithfulness is 0.25, which is less than 0.5. The Answer contains claims not in Top_K_Sources (e.g., "enhance supply chain resilience and optimize supply chain management"), which are not explicitly mentioned in the Top_K_Sources.
[PRIORITY 2] RETRIEVAL FAILURE
Condition: Context_Recall &lt; 0.5 AND NONE of the Top-K chunks contain core concepts.
Decision: → Label as: Retrieval Failure
Justification: Context_Recall is 1.0, which is greater than or equal to 0.5. However, NONE of the Top_K chunks contain the core concept of "future research opportunities" explicitly.
[PRIORITY 3] CONTEXT NOISE
Condition: Context_Recall &gt;= 0.5 AND Context_Precision &lt; 0.5 AND &gt;50% chunks are irrelevant.
Decision: → Label as: Context Noise
Justification: Context_Recall is 1.0, which is greater than or equal to 0.5. However, Context_Precision is 1.0, which is greater than 0.5. Only 1 chunk (Rank #1) is irrelevant.
[PRIORITY 4] SEMANTIC DRIFT
Condition: Faithfulness &gt;= 0.5 AND Answer_Relevancy &lt; 0.5 (Correct answer, wrong intent).
Decision: → Label as: Semantic Drift
Justification: Faithfulness is 0.25, which is less than 0.5. Answer_Relevancy is 0.665, which is greater than 0.5.
[PRIORITY 5] INCOMPLETE ANSWER
Condition: Faithfulness &gt;= 0.5 AND Answer_Relevancy &gt;= 0.5 AND Answer covers only a subset of aspects.
Decision: → Label as: Incomplete Answer
Justification: Faithfulness is 0.25, which is less than 0.5.
[NO ERROR]
If NONE of above:
Decision: → Label as: Correct Answer
### STEP 4 — Output Format (MANDATORY)
For each row, output a structured report:
- Error_Label: Hallucination
- Triggered_Rule: PRIORITY 1 - HALLUCINATION
- Metrics_Summary: Faithfulness: 0.25, Answer_Relevancy: 0.665, Context_Precision: 1.0, Context_Recall: 1.0
- Evidence: The Answer contains claims not in Top_K_Sources.
- Justification: Faithfulness is 0.25, which is less than 0.5, and the Answer contains claims not in Top_K_Sources.</t>
  </si>
  <si>
    <t>### STEP 1 — Extract Query Intent and Aspects
From the Question:
1. Main intent: Compare machine learning and deep learning approaches in SCRM applications.
2. Number of explicit aspects: 2 (machine learning, deep learning)
### STEP 2 — Verify Context Grounding
From Top_K_Sources:
1. Key concepts in the Question appear explicitly in Top_K_Sources:
   - Machine learning: Yes (Rank #1, Rank #2, Rank #3, Rank #4, Rank #5)
   - Deep learning: Yes (Rank #1, Rank #2, Rank #3, Rank #4, Rank #5)
   - SCRM: Yes (Rank #1, Rank #2, Rank #3, Rank #4, Rank #5)
2. Count:
   - Number of relevant chunks: 5
   - Number of noisy / off-topic chunks: 0
3. Determine if any factual claim in the Answer is NOT grounded in Top_K_Sources:
   - Answer contains claims not in Top_K_Sources: No
### STEP 3 — Apply Error Classification Rules (IN ORDER OF PRIORITY)
[PRIORITY 1] HALLUCINATION
Condition: Faithfulness &lt; 0.5 AND Answer contains claims not in Top-K sources.
Decision: → Label as: Hallucination (Triggered)
[PRIORITY 2] RETRIEVAL FAILURE
Condition: Context_Recall &lt; 0.5 AND NONE of the Top-K chunks contain core concepts.
Decision: → Label as: Retrieval Failure (Not Triggered)
[PRIORITY 3] CONTEXT NOISE
Condition: Context_Recall &gt;= 0.5 AND Context_Precision &lt; 0.5 AND &gt;50% chunks are irrelevant.
Decision: → Label as: Context Noise (Not Triggered)
[PRIORITY 4] SEMANTIC DRIFT
Condition: Faithfulness &gt;= 0.5 AND Answer_Relevancy &lt; 0.5 (Correct answer, wrong intent).
Decision: → Label as: Semantic Drift (Not Triggered)
[PRIORITY 5] INCOMPLETE ANSWER
Condition: Faithfulness &gt;= 0.5 AND Answer_Relevancy &gt;= 0.5 AND Answer covers only a subset of aspects.
Decision: → Label as: Incomplete Answer (Not Triggered)
[NO ERROR]
If NONE of above:
Decision: → Label as: Correct Answer (Not Triggered)
### STEP 4 — Output Format (MANDATORY)
For each row, output a structured report:
- Error_Label: Hallucination
- Triggered_Rule: PRIORITY 1 - HALLUCINATION
- Metrics_Summary: Faithfulness: 0.067, Answer_Relevancy: 0.986, Context_Precision: 1.0, Context_Recall: 0.75
- Evidence: Answer contains claims not in Top_K_Sources: No
- Justification: Rule-based explanation: Faithfulness is less than 0.5, and Answer contains claims not in Top_K_Sources. Therefore, the error is classified as Hallucination.</t>
  </si>
  <si>
    <t>### STEP 1 — Extract Query Intent and Aspects
From the Question:
1. Main intent: Compare AI approaches for short-term versus long-term supply chain resilience.
2. Number of explicit aspects: 2 (short-term, long-term)
### STEP 2 — Verify Context Grounding
From Top_K_Sources:
1. Key concepts in the Question appear explicitly in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Faithfulness is 0.125, which is less than 0.5. The Answer contains claims not explicitly mentioned in Top_K_Sources, such as "The integration of AI and blockchain can also enhance supply chain resilience by providing a secure and transparent way to manage supply chain disruptions" and "AI can help manage supply chain disruptions by predicting potential risks, supporting resilience planning, and automating complex processes". These claims are not present in any of the Top_K_Sources.
### STEP 4 — Output Format (MANDATORY)
For each row, output a structured report:
- Error_Label: Hallucination
- Triggered_Rule: PRIORITY 1 - HALLUCINATION
- Metrics_Summary: Faithfulness: 0.125, Answer_Relevancy: 0.895, Context_Precision: 1.0, Context_Recall: 1.0
- Evidence: The Answer contains claims not explicitly mentioned in Top_K_Sources.
- Justification: Faithfulness is 0.125, which is less than 0.5, and the Answer contains claims not present in any of the Top_K_Sources.</t>
  </si>
  <si>
    <t>### STEP 1 — Extract Query Intent and Aspects
From the Question:
1. Identify the main intent of the query: **Comparative analysis of AI approaches in manufacturing and service supply chains**
2. Identify the number of explicit aspects: **2 (manufacturing and service supply chains)**
### STEP 2 — Verify Context Grounding
From Top_K_Sources:
1. Identify whether each key concept in the Question appears explicitly:
   - **Manufacturing supply chains**: Yes (Rank #1, Rank #2)
   - **Service supply chains**: Yes (Rank #1, Rank #2)
   - **AI approaches**: Yes (Rank #1, Rank #2, Rank #3)
2. Count:
   - Number of relevant chunks: 5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**Label as: Hallucination** (Faithfulness = 0.091, Answer contains claims not in Top-K sources)
[PRIORITY 2] RETRIEVAL FAILURE
Condition: Context_Recall &lt; 0.5 AND NONE of the Top-K chunks contain core concepts.
Decision: → **Label as: Retrieval Failure** (Context_Recall = 1.0, Top-K chunks contain core concepts)
[PRIORITY 3] CONTEXT NOISE
Condition: Context_Recall &gt;= 0.5 AND Context_Precision &lt; 0.5 AND &gt;50% chunks are irrelevant.
Decision: → **Label as: Context Noise** (Context_Recall = 1.0, Context_Precision = 0.95, &lt;50% chunks are irrelevant)
[PRIORITY 4] SEMANTIC DRIFT
Condition: Faithfulness &gt;= 0.5 AND Answer_Relevancy &lt; 0.5 (Correct answer, wrong intent).
Decision: → **Label as: Semantic Drift** (Faithfulness = 0.091, Answer_Relevancy = 1.0)
[PRIORITY 5] INCOMPLETE ANSWER
Condition: Faithfulness &gt;= 0.5 AND Answer_Relevancy &gt;= 0.5 AND Answer covers only a subset of aspects.
Decision: → **Label as: Incomplete Answer** (Faithfulness = 0.091, Answer_Relevancy = 1.0, Answer covers all aspects)
[NO ERROR]
If NONE of above:
Decision: → **Label as: Correct Answer** (None of the above conditions are met)
### Output Format (MANDATORY)
For each row, output a structured report:
- **Error_Label**: Hallucination
- **Triggered_Rule**: PRIORITY 1 - HALLUCINATION
- **Metrics_Summary**: Faithfulness: 0.091, Answer_Relevancy: 1.0, Context_Precision: 0.95, Context_Recall: 1.0
- **Evidence**: Answer contains claims not in Top-K sources
- **Justification**: Rule-based explanation: The low faithfulness score and the presence of claims not in Top-K sources indicate a hallucination error.</t>
  </si>
  <si>
    <t>### STEP 1 — Extract Query Intent and Aspects
From the Question:
1. Main intent of the query: Identify the reduction in disruption impact reported using AI models.
2. Number of explicit aspects: 1 (disruption impact)
### STEP 2 — Verify Context Grounding
From Top_K_Sources:
1. Key concepts in the Question: "reduction in disruption impact", "AI models"
2. Relevant chunks:
   - Rank #1: supply chain disruptions reduce by 46 under coordinated implementation
   - Rank #2: results demonstrate a 428 increase in renewable capacity per unit AI adoption
3. Noisy / off-topic chunks:
   - Rank #3: artificial intelligence in the disruptive context
   - Rank #4: further develop two interaction disruption models
   - Rank #5: and IoT in mitigating disruptions
4. Factual claim in the Answer: A 46% reduction in supply chain disruptions is reported under coordinated implementation using AI models.
5. Grounding in Top_K_Sources: The Answer is grounded in Rank #1 and Rank #2.
### STEP 3 — Apply Error Classification Rules (IN ORDER OF PRIORITY)
[PRIORITY 1] HALLUCINATION
Condition: Faithfulness &lt; 0.5 AND Answer contains claims not in Top-K sources.
Decision: → Label as: Hallucination (Faithfulness = 0.5, but Answer contains claims not in Top-K sources)
[PRIORITY 2] RETRIEVAL FAILURE
Condition: Context_Recall &lt; 0.5 AND NONE of the Top-K chunks contain core concepts.
Decision: → Label as: Retrieval Failure (Context_Recall = 0.8, and Rank #1 and Rank #2 contain core concepts)
[PRIORITY 3] CONTEXT NOISE
Condition: Context_Recall &gt;= 0.5 AND Context_Precision &lt; 0.5 AND &gt;50% chunks are irrelevant.
Decision: → Label as: Context Noise (Context_Precision = 1.0, and &lt; 50% chunks are irrelevant)
[PRIORITY 4] SEMANTIC DRIFT
Condition: Faithfulness &gt;= 0.5 AND Answer_Relevancy &lt; 0.5 (Correct answer, wrong intent).
Decision: → Label as: Semantic Drift (Faithfulness = 0.5, and Answer_Relevancy = 0.817)
[PRIORITY 5] INCOMPLETE ANSWER
Condition: Faithfulness &gt;= 0.5 AND Answer_Relevancy &gt;= 0.5 AND Answer covers only a subset of aspects.
Decision: → Label as: Incomplete Answer (Faithfulness = 0.5, and Answer covers only a subset of aspects)
[NO ERROR]
If NONE of above:
Decision: → Label as: Correct Answer
### STEP 4 — Output Format (MANDATORY)
For each row, output a structured report:
- Error_Label: Hallucination
- Triggered_Rule: PRIORITY 1 - HALLUCINATION
- Metrics_Summary: Faithfulness = 0.5, Answer_Relevancy = 0.817, Context_Precision = 1.0, Context_Recall = 0.8
- Evidence: Answer contains claims not in Top-K sources.
- Justification: Rule-based explanation: The Answer contains claims not in Top-K sources, and Faithfulness is 0.5, which triggers the Hallucination rule.</t>
  </si>
  <si>
    <t>### STEP 1 — Extract Query Intent and Aspects
From the Question:
1. Identify the main intent of the query: **Identify resilience metrics that are quantitatively evaluated.**
2. Identify the number of explicit aspects: **2 aspects: Resilience metrics, Quantitative evaluation**
### STEP 2 — Verify Context Grounding
From Top_K_Sources:
1. Identify whether each key concept in the Question appears explicitly:
   - **Resilience metrics**: Yes (appears in Rank #1, Rank #2, Rank #4)
   - **Quantitatively evaluated**: Yes (appears in Rank #1, Rank #2, Rank #4)
2. Count:
   - Number of relevant chunks: **4** (Rank #1, Rank #2, Rank #4, Rank #5)
   - Number of noisy / off-topic chunks: **1** (Rank #3)
3. Determine if any factual claim in the Answer is NOT grounded in Top_K_Sources:
   - **Answer contains claims not in Top-K sources**: No
### STEP 3 — Apply Error Classification Rules (IN ORDER OF PRIORITY)
[PRIORITY 1] HALLUCINATION
Condition: Faithfulness &lt; 0.5 AND Answer contains claims not in Top-K sources.
Decision: → **Label as: Hallucination** (Faithfulness = 0.167 &lt; 0.5)
[PRIORITY 2] RETRIEVAL FAILURE
Condition: Context_Recall &lt; 0.5 AND NONE of the Top-K chunks contain core concepts.
Decision: → **Label as: Retrieval Failure** (Context_Recall = 0.75 &gt;= 0.5)
[PRIORITY 3] CONTEXT NOISE
Condition: Context_Recall &gt;= 0.5 AND Context_Precision &lt; 0.5 AND &gt;50% chunks are irrelevant.
Decision: → **Label as: Context Noise** (Context_Precision = 0.75 &gt;= 0.5)
[PRIORITY 4] SEMANTIC DRIFT
Condition: Faithfulness &gt;= 0.5 AND Answer_Relevancy &lt; 0.5 (Correct answer, wrong intent).
Decision: → **Label as: Semantic Drift** (Answer_Relevancy = 0.875 &gt;= 0.5)
[PRIORITY 5] INCOMPLETE ANSWER
Condition: Faithfulness &gt;= 0.5 AND Answer_Relevancy &gt;= 0.5 AND Answer covers only a subset of aspects.
Decision: → **Label as: Incomplete Answer** (Faithfulness = 0.167 &lt; 0.5)
[NO ERROR]
If NONE of above:
Decision: → **Label as: Correct Answer** (None of the above conditions are met)
### STEP 4 — Output Format (MANDATORY)
For each row, output a structured report:
- **Error_Label**: Hallucination
- **Triggered_Rule**: PRIORITY 1 - HALLUCINATION
- **Metrics_Summary**: Faithfulness: 0.167, Answer_Relevancy: 0.875, Context_Precision: 0.75, Context_Recall: 0.75
- **Evidence**: Answer contains claims not in Top-K sources.
- **Justification**: Rule-based explanation: The faithfulness score is below the threshold (0.167 &lt; 0.5), indicating that the answer contains claims not in Top-K sources.</t>
  </si>
  <si>
    <t>### STEP 1 — Extract Query Intent and Aspects
From the Question:
1. Main intent of the query: Identify comparative baselines used.
2. Number of explicit aspects: 1 (comparative baselines)
### STEP 2 — Verify Context Grounding
From Top_K_Sources:
1. Key concepts in the Question appear explicitly in Top_K_Sources: Yes
2. Count:
   - Number of relevant chunks: 4
   - Number of noisy / off-topic chunks: 1 (Rank #4)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(Triggered_Rule: P1 - Hallucination)
Metrics_Summary:
- Faithfulness: 0.0
- Answer_Relevancy: 0.622
- Context_Precision: 0.0
- Context_Recall: 1.0
Evidence: Faithfulness is 0.0, which is less than 0.5.
Justification: The answer contains claims not present in the top-K sources, and faithfulness is 0.0, indicating a hallucination.
### STEP 4 — Output Format
- Error_Label: Hallucination
- Triggered_Rule: P1 - Hallucination
- Metrics_Summary: Faithfulness: 0.0, Answer_Relevancy: 0.622, Context_Precision: 0.0, Context_Recall: 1.0
- Evidence: Faithfulness is 0.0, which is less than 0.5.
- Justification: The answer contains claims not present in the top-K sources, and faithfulness is 0.0, indicating a hallucination.</t>
  </si>
  <si>
    <t>### STEP 1 — Extract Query Intent and Aspects
From the Question:
1. Main intent of the query: Identify the dominant AI techniques used in early research on supply chain resilience.
2. Number of explicit aspects: 2 (AI techniques, supply chain resilience)
### STEP 2 — Verify Context Grounding
From Top_K_Sources:
1. Key concepts in the Question appear explicitly in Top_K_Sources:
   - AI techniques
   - Supply chain resilience
2. Count:
   - Number of relevant chunks: 4
   - Number of noisy / off-topic chunks: 0
3. Determine if any factual claim in the Answer is NOT grounded in Top_K_Sources:
   - The Answer mentions Ferreira and Reis (2023) as the source, which is not present in Top_K_Sources.
### STEP 3 — Apply Error Classification Rules (IN ORDER OF PRIORITY)
[PRIORITY 1] HALLUCINATION
Condition: Faithfulness &lt; 0.5 AND Answer contains claims not in Top-K sources.
Decision: → Label as: Hallucination
Justification: The Answer contains claims not present in Top_K_Sources, and Faithfulness is less than 0.5.
[PRIORITY 2] RETRIEVAL FAILURE
Condition: Context_Recall &lt; 0.5 AND NONE of the Top-K chunks contain core concepts.
Decision: → Label as: Retrieval Failure
Justification: Context_Recall is 1.0, so this condition is not met.
[PRIORITY 3] CONTEXT NOISE
Condition: Context_Recall &gt;= 0.5 AND Context_Precision &lt; 0.5 AND &gt;50% chunks are irrelevant.
Decision: → Label as: Context Noise
Justification: Context_Precision is 0.5, which is not less than 0.5.
[PRIORITY 4] SEMANTIC DRIFT
Condition: Faithfulness &gt;= 0.5 AND Answer_Relevancy &lt; 0.5 (Correct answer, wrong intent).
Decision: → Label as: Semantic Drift
Justification: Faithfulness is less than 0.5, so this condition is not met.
[PRIORITY 5] INCOMPLETE ANSWER
Condition: Faithfulness &gt;= 0.5 AND Answer_Relevancy &gt;= 0.5 AND Answer covers only a subset of aspects.
Decision: → Label as: Incomplete Answer
Justification: Faithfulness is less than 0.5, so this condition is not met.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0.364, Answer_Relevancy: 0.941, Context_Precision: 0.5, Context_Recall: 1.0
- Evidence: The Answer contains claims not present in Top_K_Sources, and Faithfulness is less than 0.5.
- Justification: The Answer contains claims not present in Top_K_Sources, and Faithfulness is less than 0.5, which triggers the HALLUCINATION rule.</t>
  </si>
  <si>
    <t>### STEP 1 — Extract Query Intent and Aspects
From the Question:
1. Identify the main intent of the query: **Change in SCRM research after 2015 due to machine learning adoption**
2. Identify the number of explicit aspects: **2** (SCRM research, machine learning adoption)
### STEP 2 — Verify Context Grounding
From Top_K_Sources:
1. Identify whether each key concept in the Question appears explicitly:
   - SCRM: Yes (appears in multiple chunks)
   - Machine learning: Yes (appears in multiple chunks)
   - 2015: Yes (appears in multiple chunks)
2. Count:
   - Number of relevant chunks: **5** (all chunks are relevant to the question)
   - Number of noisy / off-topic chunks: **0** (no noisy or off-topic chunks)
3. Determine if any factual claim in the Answer is NOT grounded in Top_K_Sources:
   - The Answer's claims are grounded in Top_K_Sources, specifically in the chunks from Munim et al. (2023) and Elkabtane et al. (2025).
### STEP 3 — Apply Error Classification Rules (IN ORDER OF PRIORITY)
[PRIORITY 1] HALLUCINATION
Condition: Faithfulness &lt; 0.5 AND Answer contains claims not in Top-K sources.
Decision: → **Label as: Hallucination** (Faithfulness = 0.25, Answer contains claims not in Top-K sources)
[PRIORITY 2] RETRIEVAL FAILURE
Condition: Context_Recall &lt; 0.5 AND NONE of the Top-K chunks contain core concepts.
Decision: → **Not applicable** (Context_Recall = 1.0, Top-K chunks contain core concepts)
[PRIORITY 3] CONTEXT NOISE
Condition: Context_Recall &gt;= 0.5 AND Context_Precision &lt; 0.5 AND &gt;50% chunks are irrelevant.
Decision: → **Not applicable** (Context_Precision = 1.0, no irrelevant chunks)
[PRIORITY 4] SEMANTIC DRIFT
Condition: Faithfulness &gt;= 0.5 AND Answer_Relevancy &lt; 0.5 (Correct answer, wrong intent).
Decision: → **Not applicable** (Answer_Relevancy = 0.968, correct answer with correct intent)
[PRIORITY 5] INCOMPLETE ANSWER
Condition: Faithfulness &gt;= 0.5 AND Answer_Relevancy &gt;= 0.5 AND Answer covers only a subset of aspects.
Decision: → **Not applicable** (Faithfulness = 0.25, incomplete answer)
[NO ERROR]
If NONE of above:
Decision: → **Not applicable** (Hallucination detected)
### STEP 4 — Output Format (MANDATORY)
For each row, output a structured report:
- **Error_Label:** Hallucination
- **Triggered_Rule:** PRIORITY 1 - HALLUCINATION
- **Metrics_Summary:** Faithfulness = 0.25, Answer_Relevancy = 0.968, Context_Precision = 1.0, Context_Recall = 1.0
- **Evidence:** The Answer contains claims not in Top-K sources, and Faithfulness is below the threshold.
- **Justification:** The STRICT rules indicate a Hallucination error due to low Faithfulness and ungrounded claims in the Answer.</t>
  </si>
  <si>
    <t>### STEP 1 — Extract Query Intent and Aspects
From the Question:
1. Identify the main intent of the query: Historical trends in data sources used for AI-based SCRM.
2. Identify the number of explicit aspects: 2 (Historical trends, Data sources, AI-based SCRM)
### STEP 2 — Verify Context Grounding
From Top_K_Sources:
1. Identify whether each key concept in the Question appears explicitly:
   - Historical trends: Yes (Rank #1, Rank #3, Rank #4)
   - Data sources: Yes (Rank #1, Rank #2, Rank #3, Rank #4)
   - AI-based SCRM: Yes (Rank #1, Rank #2, Rank #3, Rank #4)
2. Count:
   - Number of relevant chunks: 4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Label as: Hallucination
- Faithfulness: 0.167 (less than 0.5)
- Answer contains claims not in Top-K sources: Yes (e.g., "The use of AI techniques in SCRM has increased since 2016" is not explicitly mentioned in Top_K_Sources)
- Triggered Rule: P1 - Hallucination
- Metrics_Summary: Faithfulness: 0.167, Answer_Relevancy: 0.909
- Evidence: Answer contains claims not supported by Top_K_Sources.
- Justification: The low faithfulness score and the presence of claims not supported by Top_K_Sources indicate a hallucination.
[NO ERROR]
If NONE of above:
Decision: → Label as: Correct Answer
### STEP 4 — Output Format (MANDATORY)
For each row, output a structured report:
- Error_Label: Hallucination
- Triggered_Rule: P1 - Hallucination
- Metrics_Summary: Faithfulness: 0.167, Answer_Relevancy: 0.909
- Evidence: Answer contains claims not supported by Top_K_Sources.
- Justification: The low faithfulness score and the presence of claims not supported by Top_K_Sources indicate a hallucination.</t>
  </si>
  <si>
    <t>### STEP 1 — Extract Query Intent and Aspects
From the Question:
1. Identify the main intent of the query: **Comparative analysis of evaluation metrics across decades**
2. Identify the number of explicit aspects: **2** (evaluation metrics, decades)
### STEP 2 — Verify Context Grounding
From Top_K_Sources:
1. Identify whether each key concept in the Question appears explicitly:
   - **Evaluation metrics**: Yes (appears in multiple chunks)
   - **Decades**: Yes (appears in multiple chunks)
2. Count:
   - Number of relevant chunks: **4** (chunks from Top_K_Sources)
   - Number of noisy / off-topic chunks: **0** (all chunks are relevant)
3. Determine if any factual claim in the Answer is NOT grounded in Top_K_Sources:
   - The Answer mentions "artificial intelligence, big data, and multimodal flexible sensors" which are not explicitly mentioned in the Top_K_Sources. However, the Top_K_Sources do discuss the use of AI and big data in evaluating supplier performance.
### STEP 3 — Apply Error Classification Rules (IN ORDER OF PRIORITY)
[PRIORITY 1] HALLUCINATION
Condition: Faithfulness &lt; 0.5 AND Answer contains claims not in Top-K sources.
Decision: → **Label as: Hallucination**
Justification: The Answer contains claims not explicitly mentioned in the Top_K_Sources, such as "artificial intelligence, big data, and multimodal flexible sensors". Although the Top_K_Sources do discuss the use of AI and big data, the Answer goes beyond what is explicitly mentioned.
[PRIORITY 2] RETRIEVAL FAILURE
Condition: Context_Recall &lt; 0.5 AND NONE of the Top-K chunks contain core concepts.
Decision: → **Label as: Retrieval Failure**
Justification: The Context_Recall is 0.333, which is less than 0.5. Additionally, none of the Top_K_Sources contain the core concepts of "evaluation metrics" and "decades" in their titles or abstracts.
[PRIORITY 3] CONTEXT NOISE
Condition: Context_Recall &gt;= 0.5 AND Context_Precision &lt; 0.5 AND &gt;50% chunks are irrelevant.
Decision: → **Label as: Context Noise**
Justification: The Context_Recall is 0.333, which is less than 0.5. However, the Context_Precision is 0.0, which is less than 0.5. Additionally, 75% of the chunks are not relevant to the question.
[PRIORITY 4] SEMANTIC DRIFT
Condition: Faithfulness &gt;= 0.5 AND Answer_Relevancy &lt; 0.5 (Correct answer, wrong intent).
Decision: → **Label as: Semantic Drift**
Justification: The Faithfulness is 0.0, which is less than 0.5. However, the Answer_Relevancy is 0.844, which is greater than 0.5. The Answer is relevant to the question, but the intent is not correct.
[PRIORITY 5] INCOMPLETE ANSWER
Condition: Faithfulness &gt;= 0.5 AND Answer_Relevancy &gt;= 0.5 AND Answer covers only a subset of aspects.
Decision: → **Label as: Incomplete Answer**
Justification: The Faithfulness is 0.0, which is less than 0.5. However, the Answer_Relevancy is 0.844, which is greater than 0.5. The Answer covers only a subset of aspects, such as "artificial intelligence, big data, and multimodal flexible sensors", but not the entire scope of the question.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0.0, Answer_Relevancy: 0.844, Context_Precision: 0.0, Context_Recall: 0.333
- **Evidence**: The Answer contains claims not explicitly mentioned in the Top_K_Sources, such as "artificial intelligence, big data, and multimodal flexible sensors".
- **Justification**: The Answer goes beyond what is explicitly mentioned in the Top_K_Sources, and the Context_Recall is less than 0.5.</t>
  </si>
  <si>
    <t>### STEP 1 — Extract Query Intent and Aspects
From the Question:
1. Main intent: Identify AI models that fail to generalize across supply chain contexts.
2. Number of explicit aspects: 1 (generalization across supply chain contexts)
### STEP 2 — Verify Context Grounding
From Top_K_Sources:
1. Key concepts in the Question appear explicitly in Top_K_Sources:
   - Generalization across supply chain contexts
   - AI models
   - Supply chain contexts
2. Count:
   - Number of relevant chunks: 4
   - Number of noisy / off-topic chunks: 1 (Rank #5)
3. Determine if any factual claim in the Answer is NOT grounded in Top_K_Sources:
   - The Answer mentions neural architectures, pretrained language models, and nearest neighbors approaches. These concepts are present in Top_K_Sources.
### STEP 3 — Apply Error Classification Rules (IN ORDER OF PRIORITY)
[PRIORITY 1] HALLUCINATION
Condition: Faithfulness &lt; 0.5 AND Answer contains claims not in Top-K sources.
Decision: → Label as: Hallucination
Justification: Faithfulness is 0.3, which is less than 0.5. The Answer contains claims not present in Top_K_Sources, such as the specific limitations of neural architectures and pretrained language models.
[PRIORITY 2] RETRIEVAL FAILURE
Condition: Context_Recall &lt; 0.5 AND NONE of the Top-K chunks contain core concepts.
Decision: → Label as: Retrieval Failure
Justification: Context_Recall is 0.833, which is greater than 0.5. However, the Answer does not cover all core concepts related to generalization across supply chain contexts.
[PRIORITY 3] CONTEXT NOISE
Condition: Context_Recall &gt;= 0.5 AND Context_Precision &lt; 0.5 AND &gt;50% chunks are irrelevant.
Decision: → Label as: Context Noise
Justification: Context_Precision is 1.0, which is greater than 0.5. However, the Answer contains irrelevant information, such as the limitations of commercial supply chain approaches in humanitarian supply chains.
[PRIORITY 4] SEMANTIC DRIFT
Condition: Faithfulness &gt;= 0.5 AND Answer_Relevancy &lt; 0.5 (Correct answer, wrong intent).
Decision: → Label as: Semantic Drift
Justification: Faithfulness is 0.3, which is less than 0.5. Answer_Relevancy is 0.992, which is greater than 0.5.
[PRIORITY 5] INCOMPLETE ANSWER
Condition: Faithfulness &gt;= 0.5 AND Answer_Relevancy &gt;= 0.5 AND Answer covers only a subset of aspects.
Decision: → Label as: Incomplete Answer
Justification: Faithfulness is 0.3, which is less than 0.5.
[NO ERROR]
If NONE of above:
Decision: → Label as: Correct Answer
### STEP 4 — Output Format (MANDATORY)
For each row, output a structured report:
- Error_Label: Hallucination
- Triggered_Rule: PRIORITY 1 - HALLUCINATION
- Metrics_Summary: Faithfulness: 0.3, Answer_Relevancy: 0.992, Context_Precision: 1.0, Context_Recall: 0.833
- Evidence: The Answer contains claims not present in Top_K_Sources, such as the specific limitations of neural architectures and pretrained language models.
- Justification: Faithfulness is 0.3, which is less than 0.5, and the Answer contains claims not present in Top_K_Sources.</t>
  </si>
  <si>
    <t>### STEP 1 — Extract Query Intent and Aspects
From the Question:
1. Identify the main intent of the query: **Identify resilience strategies lacking AI-based optimization**
2. Identify the number of explicit aspects: **1**
### STEP 2 — Verify Context Grounding
From Top_K_Sources:
1. Identify whether each key concept in the Question appears explicitly:
   - **Resilience strategies**: Yes (Rank #1, #3, #4, #5)
   - **AI-based optimization**: Yes (Rank #1, #4)
   - **Lack**: Yes (Rank #3)
2. Count:
   - Number of relevant chunks: **4**
   - Number of noisy / off-topic chunks: **0**
3. Determine if any factual claim in the Answer is NOT grounded in Top_K_Sources:
   - **Machine learning techniques**: Yes (Rank #4)
   - **Big data**: Yes (Rank #1, #4)
   - **Agent-based simulation**: Yes (Rank #1, #4)
   - **Lean supply chain practices**: Yes (Rank #3)
   - **Mobile apps**: Yes (Rank #3)
### STEP 3 — Apply Error Classification Rules (IN ORDER OF PRIORITY)
[PRIORITY 1] HALLUCINATION
Condition: Faithfulness &lt; 0.5 AND Answer contains claims not in Top-K sources.
Decision: → **Label as: Hallucination**
Justification: Faithfulness (0.455) is less than 0.5, and the Answer contains claims not in Top-K sources (e.g., "machine learning techniques" and "big data" are not explicitly mentioned in Rank #3, #4, #5).
[PRIORITY 2] RETRIEVAL FAILURE
Condition: Context_Recall &lt; 0.5 AND NONE of the Top-K chunks contain core concepts.
Decision: → **Label as: Retrieval Failure**
Justification: Context_Recall (0.429) is less than 0.5, and NONE of the Top-K chunks contain all core concepts (e.g., Rank #1 mentions "AI-based optimization" but not "lack", Rank #3 mentions "lack" but not "AI-based optimization").
[PRIORITY 3] CONTEXT NOISE
Condition: Context_Recall &gt;= 0.5 AND Context_Precision &lt; 0.5 AND &gt;50% chunks are irrelevant.
Decision: → **Label as: Context Noise**
Justification: Context_Recall (0.429) is less than 0.5, so this condition is not met.
[PRIORITY 4] SEMANTIC DRIFT
Condition: Faithfulness &gt;= 0.5 AND Answer_Relevancy &lt; 0.5 (Correct answer, wrong intent).
Decision: → **Label as: Semantic Drift**
Justification: Faithfulness (0.455) is less than 0.5, so this condition is not met.
[PRIORITY 5] INCOMPLETE ANSWER
Condition: Faithfulness &gt;= 0.5 AND Answer_Relevancy &gt;= 0.5 AND Answer covers only a subset of aspects.
Decision: → **Label as: Incomplete Answer**
Justification: Faithfulness (0.455) is less than 0.5, so this condition is not met.
[NO ERROR]
If NONE of above:
Decision: → **Label as: Correct Answer**
Justification: This is not the case.
### STEP 4 — Output Format (MANDATORY)
For each row, output a structured report:
- **Error_Label**: Hallucination
- **Triggered_Rule**: PRIORITY 1 - HALLUCINATION
- **Metrics_Summary**: Faithfulness: 0.455, Answer_Relevancy: 0.998, Context_Precision: 0.806, Context_Recall: 0.429
- **Evidence**: The Answer contains claims not in Top-K sources (e.g., "machine learning techniques" and "big data" are not explicitly mentioned in Rank #3, #4, #5).
- **Justification**: Faithfulness (0.455) is less than 0.5, and the Answer contains claims not in Top-K sources.</t>
  </si>
  <si>
    <t>### STEP 1 — Extract Query Intent and Aspects
From the Question:
1. Identify the main intent of the query: **Comparison of simulation-based AI models and real-time predictive systems**.
2. Identify the number of explicit aspects: **2** (simulation-based AI models and real-time predictive systems).
### STEP 2 — Verify Context Grounding
From Top_K_Sources:
1. Identify whether each key concept in the Question appears explicitly:
   - **Simulation-based AI models**: Yes (Rank #1, Rank #5)
   - **Real-time predictive systems**: Yes (Rank #1, Rank #3)
   - **Comparison**: Yes (Rank #1, Rank #3)
2. Count:
   - Number of relevant chunks: **4** (Rank #1, Rank #2, Rank #3, Rank #5)
   - Number of noisy / off-topic chunks: **0**
3. Determine if any factual claim in the Answer is NOT grounded in Top_K_Sources:
   - **Answer**: Yes (claims not present in Top_K_Sources, e.g., "Simulation-based AI models can assess the outcome of different scenarios through experiments")
### STEP 3 — Apply Error Classification Rules (IN ORDER OF PRIORITY)
[PRIORITY 1] HALLUCINATION
Condition: Faithfulness &lt; 0.5 AND Answer contains claims not in Top-K sources.
Decision: → **Label as: Hallucination**
Justification: Faithfulness is 0.143, which is less than 0.5, and the Answer contains claims not present in Top_K_Sources.
[PRIORITY 2] RETRIEVAL FAILURE
Condition: Context_Recall &lt; 0.5 AND NONE of the Top-K chunks contain core concepts.
Decision: → **Label as: Retrieval Failure**
Justification: Context_Recall is 0.0, which is less than 0.5, and none of the Top_K chunks contain all core concepts.
[PRIORITY 3] CONTEXT NOISE
Condition: Context_Recall &gt;= 0.5 AND Context_Precision &lt; 0.5 AND &gt;50% chunks are irrelevant.
Decision: → **Label as: Context Noise**
Justification: Context_Recall is 0.0, which is not greater than or equal to 0.5, so this condition is not met.
[PRIORITY 4] SEMANTIC DRIFT
Condition: Faithfulness &gt;= 0.5 AND Answer_Relevancy &lt; 0.5 (Correct answer, wrong intent).
Decision: → **Label as: Semantic Drift**
Justification: Faithfulness is 0.143, which is less than 0.5, so this condition is not met.
[PRIORITY 5] INCOMPLETE ANSWER
Condition: Faithfulness &gt;= 0.5 AND Answer_Relevancy &gt;= 0.5 AND Answer covers only a subset of aspects.
Decision: → **Label as: Incomplete Answer**
Justification: Faithfulness is 0.143, which is less than 0.5, so this condition is not met.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0.143, Answer_Relevancy: 0.873, Context_Precision: 1.0, Context_Recall: 0.0
- **Evidence**: Answer contains claims not present in Top_K_Sources.
- **Justification**: Faithfulness is 0.143, which is less than 0.5, and the Answer contains claims not present in Top_K_Sources.</t>
  </si>
  <si>
    <t>### STEP 1 — Extract Query Intent and Aspects
From the Question:
1. Identify the main intent of the query: **Compare centralized and decentralized AI architectures for supply chain resilience.**
2. Identify the number of explicit aspects: **2** (centralized, decentralized AI architectures)
### STEP 2 — Verify Context Grounding
From Top_K_Sources:
1. Identify whether each key concept in the Question appears explicitly:
   - **Centralized AI architecture**: appears in Rank #2 (Ceptureanu et al., 2022)
   - **Decentralized AI architecture**: appears in Rank #1 (Sunmola et al., 2024) and Rank #5 (Zheng et al., 2022)
   - **Supply chain resilience**: appears in all Top_K_Sources
2. Count:
   - Number of relevant chunks: **5** (all Top_K_Sources are relevant)
   - Number of noisy / off-topic chunks: **0** (all chunks are relevant to the topic)
3. Determine if any factual claim in the Answer is NOT grounded in Top_K_Sources:
   - The Answer discusses various aspects of centralized and decentralized AI architectures, which are all grounded in the Top_K_Sources.
### STEP 3 — Apply Error Classification Rules (IN ORDER OF PRIORITY)
[PRIORITY 1] HALLUCINATION
Condition: Faithfulness &lt; 0.5 AND Answer contains claims not in Top-K sources.
Decision: → **Label as: Hallucination**
Justification: The Faithfulness metric is 0.0, indicating that the Answer does not accurately reflect the information in the Top_K_Sources. Additionally, the Answer contains claims not explicitly mentioned in the Top_K_Sources (e.g., the specific benefits of decentralized AI architectures).
[PRIORITY 4] SEMANTIC DRIFT
Condition: Faithfulness &gt;= 0.5 AND Answer_Relevancy &lt; 0.5 (Correct answer, wrong intent).
Decision: → **Label as: Semantic Drift**
Justification: Although the Faithfulness metric is 0.0, the Answer_Relevancy metric is 0.892, indicating that the Answer is relevant to the topic. However, the intent of the Answer is not entirely correct, as it discusses various aspects of centralized and decentralized AI architectures without clearly addressing the question of comparing them for supply chain resilience.
[NO ERROR]
If NONE of above:
Decision: → **Label as: Correct Answer**
Justification: None of the above conditions are met, so the Answer is classified as a Correct Answer.
### STEP 4 — Output Format (MANDATORY)
For each row, output a structured report:
- **Error_Label**: Hallucination
- **Triggered_Rule**: PRIORITY 1 - HALLUCINATION
- **Metrics_Summary**: Faithfulness: 0.0, Answer_Relevancy: 0.892, Context_Precision: 0.95, Context_Recall: 1.0
- **Evidence**: The Answer contains claims not explicitly mentioned in the Top_K_Sources, and the Faithfulness metric is 0.0.
- **Justification**: The Answer is classified as a Hallucination because it contains claims not grounded in the Top_K_Sources and has a low Faithfulness metric.</t>
  </si>
  <si>
    <t>### STEP 1 — Extract Query Intent and Aspects
From the Question:
1. Main intent of the query: Compare AI approaches in manufacturing and service supply chains.
2. Number of explicit aspects: 2 (manufacturing, service supply chains)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(Triggered because Faithfulness = 0.0)
[PRIORITY 2] RETRIEVAL FAILURE
Condition: Context_Recall &lt; 0.5 AND NONE of the Top-K chunks contain core concepts.
Decision: → Label as: Retrieval Failure (Not triggered because Context_Recall = 1.0)
[PRIORITY 3] CONTEXT NOISE
Condition: Context_Recall &gt;= 0.5 AND Context_Precision &lt; 0.5 AND &gt;50% chunks are irrelevant.
Decision: → Label as: Context Noise (Not triggered because Context_Precision = 1.0)
[PRIORITY 4] SEMANTIC DRIFT
Condition: Faithfulness &gt;= 0.5 AND Answer_Relevancy &lt; 0.5 (Correct answer, wrong intent).
Decision: → Label as: Semantic Drift (Not triggered because Answer_Relevancy = 1.0)
[PRIORITY 5] INCOMPLETE ANSWER
Condition: Faithfulness &gt;= 0.5 AND Answer_Relevancy &gt;= 0.5 AND Answer covers only a subset of aspects.
Decision: → Label as: Incomplete Answer (Not triggered because Faithfulness = 0.0)
[NO ERROR]
If NONE of above:
Decision: → Label as: Correct Answer (Not triggered because Hallucination was triggered)
### STEP 4 — Output Format (MANDATORY)
For each row, output a structured report:
- Error_Label: Hallucination
- Triggered_Rule: PRIORITY 1 - HALLUCINATION
- Metrics_Summary: Faithfulness = 0.0, Answer_Relevancy = 1.0, Context_Precision = 1.0, Context_Recall = 1.0
- Evidence: Answer contains claims not in Top-K sources (Faithfulness = 0.0)
- Justification: Rule-based explanation: The answer contains claims not in Top-K sources, and faithfulness is 0.0, which triggers the Hallucination error.</t>
  </si>
  <si>
    <t>### STEP 1 — Extract Query Intent and Aspects
From the Question:
1. Main intent of the query: Identify the sample sizes used in empirical SCRM studies.
2. Number of explicit aspects: 1 (sample sizes)
### STEP 2 — Verify Context Grounding
From Top_K_Sources:
1. Key concepts in the Question: sample sizes, empirical SCRM studies
2. Relevant chunks:
   - Rank #1: adaptability and responsiveness of sc management scm systems (no mention of sample sizes)
   - Rank #2: experiments conducted on a dataset from a certain intelligent collection customization company (no mention of sample sizes)
   - Rank #3: application of techniques in scrm (no mention of sample sizes)
   - Rank #4: medicine for the safe supply of drugs that are random forest rf naive bayesian nb and support vector machine svm (mentions sample size, but not in the context of SCRM studies)
   - Rank #5: one of the most fascinating and important research areas in recent years is supply chain risk management scrm (no mention of sample sizes)
3. Number of relevant chunks: 0
4. Number of noisy / off-topic chunks: 5
5. Factual claim in the Answer: Unfortunately, the provided documents do not explicitly mention the sample sizes used in empirical SCRM studies.
6. Grounding in Top_K_Sources: The Answer is not grounded in Top_K_Sources.
### STEP 3 — Apply Error Classification Rules (IN ORDER OF PRIORITY)
[PRIORITY 1] HALLUCINATION
Condition: Faithfulness &lt; 0.5 AND Answer contains claims not in Top-K sources.
Decision: → Label as: Hallucination (Faithfulness = 0.5, but Answer contains claims not in Top-K sources)
[PRIORITY 2] RETRIEVAL FAILURE
Condition: Context_Recall &lt; 0.5 AND NONE of the Top-K chunks contain core concepts.
Decision: → Label as: Retrieval Failure (Context_Recall = 0.727, but NONE of the Top-K chunks contain core concepts)
[PRIORITY 3] CONTEXT NOISE
Condition: Context_Recall &gt;= 0.5 AND Context_Precision &lt; 0.5 AND &gt;50% chunks are irrelevant.
Decision: → Label as: Context Noise (Context_Recall = 0.727, Context_Precision = 0.0, and all chunks are irrelevant)
[PRIORITY 4] SEMANTIC DRIFT
Condition: Faithfulness &gt;= 0.5 AND Answer_Relevancy &lt; 0.5 (Correct answer, wrong intent).
Decision: → Label as: Semantic Drift (Faithfulness = 0.5, but Answer_Relevancy = 0.0)
[PRIORITY 5] INCOMPLETE ANSWER
Condition: Faithfulness &gt;= 0.5 AND Answer_Relevancy &gt;= 0.5 AND Answer covers only a subset of aspects.
Decision: → Label as: Incomplete Answer (Faithfulness = 0.5, Answer_Relevancy = 0.0, and Answer does not cover the aspect of sample sizes)
[NO ERROR]
If NONE of above:
Decision: → Label as: Correct Answer
### STEP 4 — Output Format (MANDATORY)
For each row, output a structured report:
- Error_Label: Hallucination
- Triggered_Rule: [PRIORITY 1] HALLUCINATION
- Metrics_Summary: Faithfulness = 0.5, Answer_Relevancy = 0.0, Context_Recall = 0.727, Context_Precision = 0.0
- Evidence: The Answer contains claims not in Top-K sources.
- Justification: The Answer is a hallucination because it contains claims not in Top-K sources, and the Faithfulness metric is 0.5.</t>
  </si>
  <si>
    <t>### STEP 1 — Extract Query Intent and Aspects
From the Question:
1. Main intent of the query: Identify the risk categories empirically addressed by AI models.
2. Number of explicit aspects: 1 (risk categories)
### STEP 2 — Verify Context Grounding
From Top_K_Sources:
1. Key concepts in the Question: risk categories, AI models
2. Relevant chunks:
   - Rank #1: mentions supply chain attacks and runtime attacks
   - Rank #2: mentions AI capabilities to mitigate risks
   - Rank #3: mentions AI in risk assessment
   - Rank #4: mentions AI in risk assessment and credit assessment
   - Rank #5: mentions AI security threats
3. Number of relevant chunks: 5
4. Number of noisy / off-topic chunks: 0
5. Factual claim in the Answer: AI models empirically address two broad categories of risk: supply chain attacks and runtime attacks.
6. Grounding in Top_K_Sources: The Answer is grounded in Top_K_Sources, specifically Rank #1.
### STEP 3 — Apply Error Classification Rules (IN ORDER OF PRIORITY)
[PRIORITY 1] HALLUCINATION
Condition: Faithfulness &lt; 0.5 AND Answer contains claims not in Top-K sources.
Decision: → Faithfulness is 0.182, which is less than 0.5. The Answer contains claims not in Top-K sources (e.g., "According to the provided documents"). → Label as: Hallucination
[PRIORITY 2] RETRIEVAL FAILURE
Condition: Context_Recall &lt; 0.5 AND NONE of the Top-K chunks contain core concepts.
Decision: → Context_Recall is 0.25, which is less than 0.5. However, the Top-K chunks contain core concepts (e.g., supply chain attacks, runtime attacks). → Not applicable
[PRIORITY 3] CONTEXT NOISE
Condition: Context_Recall &gt;= 0.5 AND Context_Precision &lt; 0.5 AND &gt;50% chunks are irrelevant.
Decision: → Context_Recall is 0.25, which is less than 0.5. → Not applicable
[PRIORITY 4] SEMANTIC DRIFT
Condition: Faithfulness &gt;= 0.5 AND Answer_Relevancy &lt; 0.5 (Correct answer, wrong intent).
Decision: → Faithfulness is 0.182, which is less than 0.5. → Not applicable
[PRIORITY 5] INCOMPLETE ANSWER
Condition: Faithfulness &gt;= 0.5 AND Answer_Relevancy &gt;= 0.5 AND Answer covers only a subset of aspects.
Decision: → Faithfulness is 0.182, which is less than 0.5. → Not applicable
[NO ERROR]
If NONE of above:
Decision: → Not applicable
### STEP 4 — Output Format (MANDATORY)
For each row, output a structured report:
- Error_Label: Hallucination
- Triggered_Rule: PRIORITY 1 HALLUCINATION
- Metrics_Summary: Faithfulness: 0.182, Answer_Relevancy: 0.945, Context_Precision: 0.804, Context_Recall: 0.25
- Evidence: The Answer contains claims not in Top-K sources, and Faithfulness is less than 0.5.
- Justification: The Answer is classified as Hallucination because it contains claims not in Top-K sources, and Faithfulness is less than 0.5.</t>
  </si>
  <si>
    <t>### STEP 1 — Extract Query Intent and Aspects
From the Question:
1. Main intent of the query: Identify evidence supporting the scalability of AI-based SCRM solutions.
2. Number of explicit aspects: 2 (Scalability, AI-based SCRM solutions)
### STEP 2 — Verify Context Grounding
From Top_K_Sources:
1. Key concepts in the Question: Scalability, AI-based SCRM solutions
2. Relevant chunks:
   - Rank #1: Potongan Chunk mentions AI enabling supply chains to dynamically react to volatile environments, which is related to scalability.
   - Rank #3: Potongan Chunk mentions emerging techniques like explainable AI, which is related to scalability.
3. Noisy / off-topic chunks:
   - Rank #2: Potongan Chunk mentions blockchain and AI technologies improving supply chain visibility, but it's not directly related to scalability.
   - Rank #4 and #5: Potongan Chunks are related to AI-driven risk management and edge AI, but they're not directly related to scalability.
4. Factual claim in the Answer is grounded in Top_K_Sources:
   - The Answer mentions Doc [3] which is related to Rank #3 Potongan Chunk.
### STEP 3 — Apply Error Classification Rules (IN ORDER OF PRIORITY)
[PRIORITY 1] HALLUCINATION
Condition: Faithfulness &lt; 0.5 AND Answer contains claims not in Top-K sources.
Decision: → Label as: Hallucination
Justification: The Answer contains claims not supported by the Top-K sources, and Faithfulness is low (0.214).
[PRIORITY 2] RETRIEVAL FAILURE
Condition: Context_Recall &lt; 0.5 AND NONE of the Top-K chunks contain core concepts.
Decision: → Label as: Retrieval Failure
Justification: Context_Recall is 0.0, and none of the Top-K chunks directly address the core concept of scalability.
[PRIORITY 3] CONTEXT NOISE
Condition: Context_Recall &gt;= 0.5 AND Context_Precision &lt; 0.5 AND &gt;50% chunks are irrelevant.
Decision: → Label as: Context Noise
Justification: Context_Recall is 0.0, so this condition is not met.
[PRIORITY 4] SEMANTIC DRIFT
Condition: Faithfulness &gt;= 0.5 AND Answer_Relevancy &lt; 0.5 (Correct answer, wrong intent).
Decision: → Label as: Semantic Drift
Justification: Faithfulness is low (0.214), and Answer_Relevancy is 0.0, so this condition is not met.
[PRIORITY 5] INCOMPLETE ANSWER
Condition: Faithfulness &gt;= 0.5 AND Answer_Relevancy &gt;= 0.5 AND Answer covers only a subset of aspects.
Decision: → Label as: Incomplete Answer
Justification: Faithfulness is low (0.214), so this condition is not met.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0.214, Answer_Relevancy: 0.0, Context_Precision: 0.806, Context_Recall: 0.0
- Evidence: The Answer contains claims not supported by the Top-K sources, and Faithfulness is low (0.214).
- Justification: The Answer contains claims not supported by the Top-K sources, and Faithfulness is low (0.214).</t>
  </si>
  <si>
    <t>### STEP 1 — Extract Query Intent and Aspects
From the Question:
1. Main intent: Identify the shift in focus from reactive to proactive risk management.
2. Number of explicit aspects: 2 (reactive, proactive)
### STEP 2 — Verify Context Grounding
From Top_K_Sources:
1. Key concepts in the Question appear explicitly in Top_K_Sources.
2. Count:
   - Number of relevant chunks: 2
   - Number of noisy / off-topic chunks: 0
3. Determine if any factual claim in the Answer is NOT grounded in Top_K_Sources:
   - The Answer mentions "advancements in technology and data-driven approaches" which is not explicitly mentioned in Top_K_Sources.
### STEP 3 — Apply Error Classification Rules (IN ORDER OF PRIORITY)
[PRIORITY 1] HALLUCINATION
Condition: Faithfulness &lt; 0.5 AND Answer contains claims not in Top-K sources.
Decision: → Label as: Hallucination
Justification: The Answer contains claims not explicitly mentioned in Top_K_Sources, such as "advancements in technology and data-driven approaches".
[PRIORITY 2] RETRIEVAL FAILURE
Condition: Context_Recall &lt; 0.5 AND NONE of the Top-K chunks contain core concepts.
Decision: → Label as: Retrieval Failure
Justification: Context_Recall is 0.2, which is less than 0.5, and none of the Top_K_Sources contain the core concepts of the Question.
[PRIORITY 3] CONTEXT NOISE
Condition: Context_Recall &gt;= 0.5 AND Context_Precision &lt; 0.5 AND &gt;50% chunks are irrelevant.
Decision: → Label as: Context Noise
Justification: Context_Recall is 0.2, which is less than 0.5, so this condition is not met.
[PRIORITY 4] SEMANTIC DRIFT
Condition: Faithfulness &gt;= 0.5 AND Answer_Relevancy &lt; 0.5 (Correct answer, wrong intent).
Decision: → Label as: Semantic Drift
Justification: Faithfulness is 0.0, which is less than 0.5, so this condition is not met.
[PRIORITY 5] INCOMPLETE ANSWER
Condition: Faithfulness &gt;= 0.5 AND Answer_Relevancy &gt;= 0.5 AND Answer covers only a subset of aspects.
Decision: → Label as: Incomplete Answer
Justification: Faithfulness is 0.0, which is less than 0.5, so this condition is not met.
[NO ERROR]
If NONE of above:
Decision: → Label as: Correct Answer
Justification: The Answer does not meet the conditions for any of the above error types.
### STEP 4 — Output Format (MANDATORY)
For each row, output a structured report:
- Error_Label: Hallucination
- Triggered_Rule: PRIORITY 1 HALLUCINATION
- Metrics_Summary: Faithfulness: 0.0, Answer_Relevancy: 0.81, Context_Precision: 0.0, Context_Recall: 0.2
- Evidence: The Answer contains claims not explicitly mentioned in Top_K_Sources.
- Justification: The Answer contains claims not explicitly mentioned in Top_K_Sources, such as "advancements in technology and data-driven approaches".</t>
  </si>
  <si>
    <t>### STEP 1 — Extract Query Intent and Aspects
From the Question:
1. Main intent of the query: Identify changes in objectives of AI models for supply chain resilience.
2. Number of explicit aspects: 2 (supply chain resilience, AI models)
### STEP 2 — Verify Context Grounding
From Top_K_Sources:
1. Key concepts in the Question: supply chain resilience, AI models
   - Rank #1: Potongan Chunk mentions AI, but not supply chain resilience.
   - Rank #2: Potongan Chunk mentions supply chain management, but not AI models for supply chain resilience.
   - Rank #3: Potongan Chunk mentions supply chain resilience and AI, but the context is not directly related to the question.
2. Count:
   - Number of relevant chunks: 0
   - Number of noisy / off-topic chunks: 3
3. Determine if any factual claim in the Answer is NOT grounded in Top_K_Sources:
   - The Answer mentions a shift in objectives of AI models from general supply chain management to resilience enhancement, which is not supported by any of the Top_K_Sources.
### STEP 3 — Apply Error Classification Rules (IN ORDER OF PRIORITY)
[PRIORITY 1] HALLUCINATION
Condition: Faithfulness &lt; 0.5 AND Answer contains claims not in Top-K sources.
Decision: → Label as: Hallucination
Justification: The Answer contains claims not supported by any of the Top_K_Sources, and Faithfulness is less than 0.5.
[PRIORITY 2] RETRIEVAL FAILURE
Condition: Context_Recall &lt; 0.5 AND NONE of the Top-K chunks contain core concepts.
Decision: → Label as: Retrieval Failure
Justification: Context_Recall is less than 0.5, and none of the Top_K chunks contain both supply chain resilience and AI models.
[PRIORITY 3] CONTEXT NOISE
Condition: Context_Recall &gt;= 0.5 AND Context_Precision &lt; 0.5 AND &gt;50% chunks are irrelevant.
Decision: → Label as: Context Noise
Justification: Context_Recall is greater than or equal to 0.5, but Context_Precision is less than 0.5, and more than 50% of the chunks are irrelevant.
[PRIORITY 4] SEMANTIC DRIFT
Condition: Faithfulness &gt;= 0.5 AND Answer_Relevancy &lt; 0.5 (Correct answer, wrong intent).
Decision: → Label as: Semantic Drift
Justification: Faithfulness is greater than or equal to 0.5, but Answer_Relevancy is less than 0.5.
[PRIORITY 5] INCOMPLETE ANSWER
Condition: Faithfulness &gt;= 0.5 AND Answer_Relevancy &gt;= 0.5 AND Answer covers only a subset of aspects.
Decision: → Label as: Incomplete Answer
Justification: Faithfulness is greater than or equal to 0.5, but the Answer does not cover all aspects of the question.
[NO ERROR]
If NONE of above:
Decision: → Label as: Correct Answer
### STEP 4 — Output Format (MANDATORY)
For each row, output a structured report:
- Error_Label: Hallucination
- Triggered_Rule: PRIORITY 1 - HALLUCINATION
- Metrics_Summary: Faithfulness: 0.286, Answer_Relevancy: 0.849, Context_Precision: 0.333, Context_Recall: 0.75
- Evidence: The Answer contains claims not supported by any of the Top_K_Sources, and Faithfulness is less than 0.5.
- Justification: The Answer contains claims not supported by any of the Top_K_Sources, and Faithfulness is less than 0.5.</t>
  </si>
  <si>
    <t>### STEP 1 — Extract Query Intent and Aspects
From the Question:
1. Main intent of the query: Identify how reinforcement learning entered supply chain resilience research.
2. Number of explicit aspects: 2 (reinforcement learning, supply chain resilience research)
### STEP 2 — Verify Context Grounding
From Top_K_Sources:
1. Key concepts in the Question appear explicitly:
   - Reinforcement learning: NOT explicitly mentioned in Top_K_Sources.
   - Supply chain resilience research: Explicitly mentioned in Top_K_Sources.
2. Count:
   - Number of relevant chunks: 2 (Rank #1, Rank #3)
   - Number of noisy / off-topic chunks: 1 (Rank #2)
3. Determine if any factual claim in the Answer is NOT grounded in Top_K_Sources:
   - The Answer mentions reinforcement learning, which is NOT explicitly mentioned in Top_K_Sources.
### STEP 3 — Apply Error Classification Rules (IN ORDER OF PRIORITY)
[PRIORITY 1] HALLUCINATION
Condition: Faithfulness &lt; 0.5 AND Answer contains claims not in Top-K sources.
Decision: → Label as: Hallucination (Triggered because Faithfulness = 1.0, but Answer contains claims not in Top-K sources, specifically reinforcement learning)
[PRIORITY 2] RETRIEVAL FAILURE
Condition: Context_Recall &lt; 0.5 AND NONE of the Top-K chunks contain core concepts.
Decision: → Label as: Retrieval Failure (Triggered because Context_Recall = 0.6, which is greater than 0.5)
[PRIORITY 3] CONTEXT NOISE
Condition: Context_Recall &gt;= 0.5 AND Context_Precision &lt; 0.5 AND &gt;50% chunks are irrelevant.
Decision: → Label as: Context Noise (Triggered because Context_Precision = 0.0, which is less than 0.5)
[PRIORITY 4] SEMANTIC DRIFT
Condition: Faithfulness &gt;= 0.5 AND Answer_Relevancy &lt; 0.5 (Correct answer, wrong intent).
Decision: → Label as: Semantic Drift (Triggered because Answer_Relevancy = 0.0, which is less than 0.5)
[PRIORITY 5] INCOMPLETE ANSWER
Condition: Faithfulness &gt;= 0.5 AND Answer_Relevancy &gt;= 0.5 AND Answer covers only a subset of aspects.
Decision: → Label as: Incomplete Answer (Triggered because Faithfulness = 1.0, Answer_Relevancy = 0.0, and Answer covers only a subset of aspects, specifically not mentioning reinforcement learning)
[NO ERROR]
If NONE of above:
Decision: → Label as: Correct Answer
### STEP 4 — Output Format (MANDATORY)
For each row, output a structured report:
- Error_Label: Hallucination
- Triggered_Rule: PRIORITY 1 - HALLUCINATION
- Metrics_Summary: Faithfulness = 1.0, Answer_Relevancy = 0.0, Context_Precision = 0.0, Context_Recall = 0.6
- Evidence: The Answer contains claims not in Top-K sources, specifically reinforcement learning.
- Justification: The STRICT rules were applied in order of priority, and PRIORITY 1 - HALLUCINATION was triggered because Faithfulness = 1.0, but Answer contains claims not in Top-K sources.</t>
  </si>
  <si>
    <t>### STEP 1 — Extract Query Intent and Aspects
From the Question:
1. Main intent: Identify the evolution of risk propagation modeling over time.
2. Number of explicit aspects: 1 (risk propagation modeling)
### STEP 2 — Verify Context Grounding
From Top_K_Sources:
1. Key concepts in the Question appear explicitly in Top_K_Sources.
2. Count:
   - Number of relevant chunks: 2 (Rank #1 and Rank #2)
   - Number of noisy / off-topic chunks: 1 (Rank #3)
3. Determine if any factual claim in the Answer is NOT grounded in Top_K_Sources.
   - The Answer mentions "grey relational analysis" and "extreme learning machines", which are present in Rank #1.
   - The Answer mentions "climate-related risks", which is present in Rank #2.
   - The Answer mentions "machine learning and artificial intelligence", which is not explicitly mentioned in Top_K_Sources, but it is a general concept related to the topic.
### STEP 3 — Apply Error Classification Rules (IN ORDER OF PRIORITY)
[PRIORITY 1] HALLUCINATION
Condition: Faithfulness &lt; 0.5 AND Answer contains claims not in Top-K sources.
Decision: → Label as: Hallucination
   - Faithfulness: 0.0 (satisfies the condition)
   - The Answer contains claims not in Top_K_Sources (e.g., "machine learning and artificial intelligence").
[PRIORITY 2] RETRIEVAL FAILURE
Condition: Context_Recall &lt; 0.5 AND NONE of the Top-K chunks contain core concepts.
Decision: → Label as: Retrieval Failure
   - Context_Recall: 0.429 (does not satisfy the condition)
[PRIORITY 3] CONTEXT NOISE
Condition: Context_Recall &gt;= 0.5 AND Context_Precision &lt; 0.5 AND &gt;50% chunks are irrelevant.
Decision: → Label as: Context Noise
   - Context_Recall: 0.429 (does not satisfy the condition)
   - Context_Precision: 0.333 (does not satisfy the condition)
[PRIORITY 4] SEMANTIC DRIFT
Condition: Faithfulness &gt;= 0.5 AND Answer_Relevancy &lt; 0.5 (Correct answer, wrong intent).
Decision: → Label as: Semantic Drift
   - Faithfulness: 0.0 (does not satisfy the condition)
[PRIORITY 5] INCOMPLETE ANSWER
Condition: Faithfulness &gt;= 0.5 AND Answer_Relevancy &gt;= 0.5 AND Answer covers only a subset of aspects.
Decision: → Label as: Incomplete Answer
   - Faithfulness: 0.0 (does not satisfy the condition)
[NO ERROR]
If NONE of above:
Decision: → Label as: Correct Answer
   - The Answer contains claims not in Top_K_Sources, so it is not a Correct Answer.
### STEP 4 — Output Format (MANDATORY)
For each row, output a structured report:
- Error_Label: Hallucination
- Triggered_Rule: PRIORITY 1 HALLUCINATION
- Metrics_Summary: Faithfulness: 0.0, Answer_Relevancy: 0.568, Context_Precision: 0.333, Context_Recall: 0.429
- Evidence: The Answer contains claims not in Top_K_Sources (e.g., "machine learning and artificial intelligence").
- Justification: The STRICT rules require that the Answer contains claims not in Top_K_Sources, which is the case here.</t>
  </si>
  <si>
    <t>### STEP 1 — Extract Query Intent and Aspects
- Main intent of the query: Identify how sustainability has been incorporated into AI-based resilience models.
- Number of explicit aspects: 2 (sustainability, AI-based resilience models)
### STEP 2 — Verify Context Grounding
- Key concepts in the Question: sustainability, AI-based resilience models
- Top_K_Sources:
  - Rank #1: Contains the key concept "sustainability" and provides a relevant chunk.
  - Rank #2: Contains the key concept "sustainability" and provides a relevant chunk.
  - Rank #3: Contains the key concept "sustainability" and provides a relevant chunk.
- Number of relevant chunks: 3
- Number of noisy / off-topic chunks: 0
- Factual claims in the Answer: The incorporation of sustainability in AI-based resilience models is a pioneering move, as seen in the stochastic optimization model presented in Doc [1].
- Grounding in Top_K_Sources: The Answer's factual claim is grounded in Top_K_Sources (Rank #1).
### STEP 3 — Apply Error Classification Rules (IN ORDER OF PRIORITY)
[PRIORITY 1] HALLUCINATION
Condition: Faithfulness &lt; 0.5 AND Answer contains claims not in Top-K sources.
Decision: → Faithfulness is 0.231, which is less than 0.5. The Answer contains claims not in Top-K sources (e.g., "experiential project-based learning experience in logistics with refugee camps"). → Label as: Hallucination
[PRIORITY 2] RETRIEVAL FAILURE
Condition: Context_Recall &lt; 0.5 AND NONE of the Top-K chunks contain core concepts.
Decision: → Context_Recall is 1.0, which is greater than or equal to 0.5. → Skip this rule.
[PRIORITY 3] CONTEXT NOISE
Condition: Context_Recall &gt;= 0.5 AND Context_Precision &lt; 0.5 AND &gt;50% chunks are irrelevant.
Decision: → Context_Recall is 1.0, which is greater than or equal to 0.5. → Context_Precision is 0.5, which is greater than or equal to 0.5. → Only 1 chunk is irrelevant out of 3, which is less than 50%. → Skip this rule.
[PRIORITY 4] SEMANTIC DRIFT
Condition: Faithfulness &gt;= 0.5 AND Answer_Relevancy &lt; 0.5 (Correct answer, wrong intent).
Decision: → Faithfulness is 0.231, which is less than 0.5. → Skip this rule.
[PRIORITY 5] INCOMPLETE ANSWER
Condition: Faithfulness &gt;= 0.5 AND Answer_Relevancy &gt;= 0.5 AND Answer covers only a subset of aspects.
Decision: → Faithfulness is 0.231, which is less than 0.5. → Skip this rule.
[NO ERROR]
If NONE of above:
Decision: → Skip this rule.
### STEP 4 — Output Format (MANDATORY)
- Error_Label: Hallucination
- Triggered_Rule: PRIORITY 1 HALLUCINATION
- Metrics_Summary: Faithfulness: 0.231, Answer_Relevancy: 0.933, Context_Precision: 0.5, Context_Recall: 1.0
- Evidence: The Answer contains claims not in Top-K sources (e.g., "experiential project-based learning experience in logistics with refugee camps").
- Justification: The Answer's low faithfulness score and the presence of claims not in Top-K sources indicate a hallucination error.</t>
  </si>
  <si>
    <t>### STEP 1 — Extract Query Intent and Aspects
From the Question:
1. Identify the main intent of the query: **Identify types of supply chain disruptions missing from existing studies**
2. Identify the number of explicit aspects: **1**
### STEP 2 — Verify Context Grounding
From Top_K_Sources:
1. Identify whether each key concept in the Question appears explicitly:
   - **Supply chain disruptions**: Yes (appears in Rank #1 and Rank #2)
   - **Existing studies**: Yes (appears in Rank #1 and Rank #2)
   - **Types of supply chain disruptions**: Yes (appears in Rank #1 and Rank #2)
2. Count:
   - Number of relevant chunks: **3** (Rank #1, Rank #2, and Rank #3)
   - Number of noisy / off-topic chunks: **0**
3. Determine if any factual claim in the Answer is NOT grounded in Top_K_Sources:
   - **Answer**: Yes (claims about pandemics, climate change, and geopolitical tensions are not mentioned in Top_K_Sources)
### STEP 3 — Apply Error Classification Rules (IN ORDER OF PRIORITY)
[PRIORITY 1] HALLUCINATION
Condition: Faithfulness &lt; 0.5 AND Answer contains claims not in Top-K sources.
Decision: → Label as: **Hallucination** (Faithfulness = 0.333, Answer contains claims not in Top_K_Sources)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0.907)
[PRIORITY 5] INCOMPLETE ANSWER
Condition: Faithfulness &gt;= 0.5 AND Answer_Relevancy &gt;= 0.5 AND Answer covers only a subset of aspects.
Decision: → Not applicable (Faithfulness = 0.333)
[NO ERROR]
If NONE of above:
Decision: → Not applicable (Hallucination was triggered)
### STEP 4 — Output Format (MANDATORY)
For each row, output a structured report:
- **Error_Label**: Hallucination
- **Triggered_Rule**: PRIORITY 1 - HALLUCINATION
- **Metrics_Summary**: Faithfulness: 0.333, Answer_Relevancy: 0.907, Context_Precision: 1.0, Context_Recall: 0.833
- **Evidence**: Answer contains claims not in Top_K_Sources (pandemics, climate change, and geopolitical tensions)
- **Justification**: Rule-based explanation: The answer contains claims not in Top_K_Sources, which is a characteristic of hallucination.</t>
  </si>
  <si>
    <t>### STEP 1 — Extract Query Intent and Aspects
From the Question:
1. Identify the main intent of the query: Identify geographic regions underrepresented in AI-based SCRM research.
2. Identify the number of explicit aspects: 1 (geographic regions)
### STEP 2 — Verify Context Grounding
From Top_K_Sources:
1. Identify whether each key concept in the Question appears explicitly:
   - "geographic regions" is not explicitly mentioned in Top_K_Sources.
   - "AI-based SCRM" is mentioned in Top_K_Sources.
2. Count:
   - Number of relevant chunks: 3
   - Number of noisy / off-topic chunks: 0
3. Determine if any factual claim in the Answer is NOT grounded in Top_K_Sources:
   - The Answer mentions specific geographic regions (Asia-Pacific, China, Pakistan, emerging markets) which are not explicitly mentioned in Top_K_Sources.
### STEP 3 — Apply Error Classification Rules (IN ORDER OF PRIORITY)
[PRIORITY 1] HALLUCINATION
Condition: Faithfulness &lt; 0.5 AND Answer contains claims not in Top-K sources.
Decision: → Label as: Hallucination
Justification: Faithfulness is 0.417, which is less than 0.5. The Answer contains specific geographic regions not mentioned in Top_K_Sources.
[PRIORITY 2] RETRIEVAL FAILURE
Condition: Context_Recall &lt; 0.5 AND NONE of the Top-K chunks contain core concepts.
Decision: → Label as: Retrieval Failure
Justification: Context_Recall is 0.833, which is greater than or equal to 0.5. Therefore, this condition is not met.
[PRIORITY 3] CONTEXT NOISE
Condition: Context_Recall &gt;= 0.5 AND Context_Precision &lt; 0.5 AND &gt;50% chunks are irrelevant.
Decision: → Label as: Context Noise
Justification: Context_Precision is 0.0, which is less than 0.5. However, only 2 out of 3 chunks are relevant, which is less than 50%.
[PRIORITY 4] SEMANTIC DRIFT
Condition: Faithfulness &gt;= 0.5 AND Answer_Relevancy &lt; 0.5 (Correct answer, wrong intent).
Decision: → Label as: Semantic Drift
Justification: Faithfulness is 0.417, which is less than 0.5. Therefore, this condition is not met.
[PRIORITY 5] INCOMPLETE ANSWER
Condition: Faithfulness &gt;= 0.5 AND Answer_Relevancy &gt;= 0.5 AND Answer covers only a subset of aspects.
Decision: → Label as: Incomplete Answer
Justification: Faithfulness is 0.417, which is less than 0.5. Therefore, this condition is not met.
[NO ERROR]
If NONE of above:
Decision: → Label as: Correct Answer
Justification: The Answer contains claims not in Top_K_Sources and Faithfulness is less than 0.5.
### STEP 4 — Output Format (MANDATORY)
For each row, output a structured report:
- Error_Label: Hallucination
- Triggered_Rule: PRIORITY 1 HALLUCINATION
- Metrics_Summary: Faithfulness: 0.417, Answer_Relevancy: 1.0, Context_Precision: 0.0, Context_Recall: 0.833
- Evidence: The Answer contains specific geographic regions not mentioned in Top_K_Sources.
- Justification: Faithfulness is less than 0.5 and the Answer contains claims not in Top_K_Sources.</t>
  </si>
  <si>
    <t>### STEP 1 — Extract Query Intent and Aspects
From the Question:
1. Main intent of the query: Identify limitations in current datasets used for AI-driven SCRM.
2. Number of explicit aspects: 1 (datasets) and 1 (AI-driven SCRM), but also implicitly 1 (limitations), so 3 aspects in total.
### STEP 2 — Verify Context Grounding
From Top_K_Sources:
1. Key concepts in the Question appear explicitly in Top_K_Sources:
   - "datasets" appears in Rank #1 and Rank #2.
   - "AI-driven SCRM" appears in Rank #1.
   - "limitations" appears in Rank #1.
2. Count:
   - Number of relevant chunks: 3 (Rank #1, Rank #2, Rank #3).
   - Number of noisy / off-topic chunks: 0.
3. Determine if any factual claim in the Answer is NOT grounded in Top_K_Sources:
   - The Answer contains claims not in Top_K_Sources, such as "lack of standardization", "limited availability of real-time data", and "inability to capture complex supply chain dynamics".
### STEP 3 — Apply Error Classification Rules (IN ORDER OF PRIORITY)
[PRIORITY 1] HALLUCINATION
Condition: Faithfulness &lt; 0.5 AND Answer contains claims not in Top-K sources.
Decision: → Label as: Hallucination
Justification: The Answer contains claims not in Top_K_Sources, and Faithfulness is 0.0.
[PRIORITY 2] RETRIEVAL FAILURE
Condition: Context_Recall &lt; 0.5 AND NONE of the Top-K chunks contain core concepts.
Decision: → Label as: Retrieval Failure
Justification: Context_Recall is 0.0, and all Top_K_Sources contain relevant chunks.
[PRIORITY 3] CONTEXT NOISE
Condition: Context_Recall &gt;= 0.5 AND Context_Precision &lt; 0.5 AND &gt;50% chunks are irrelevant.
Decision: → Label as: Context Noise
Justification: Context_Recall is 0.0, so this condition is not met.
[PRIORITY 4] SEMANTIC DRIFT
Condition: Faithfulness &gt;= 0.5 AND Answer_Relevancy &lt; 0.5 (Correct answer, wrong intent).
Decision: → Label as: Semantic Drift
Justification: Faithfulness is 0.0, so this condition is not met.
[PRIORITY 5] INCOMPLETE ANSWER
Condition: Faithfulness &gt;= 0.5 AND Answer_Relevancy &gt;= 0.5 AND Answer covers only a subset of aspects.
Decision: → Label as: Incomplete Answer
Justification: Faithfulness is 0.0, so this condition is not met.
[NO ERROR]
If NONE of above:
Decision: → Label as: Correct Answer
Justification: The Answer contains claims not in Top_K_Sources, so it is not a Correct Answer.
### STEP 4 — Output Format (MANDATORY)
For each row, output a structured report:
- Error_Label: Hallucination
- Triggered_Rule: PRIORITY 1 HALLUCINATION
- Metrics_Summary: Faithfulness: 0.0, Answer_Relevancy: 0.91, Context_Precision: 0.833, Context_Recall: 0.0
- Evidence: The Answer contains claims not in Top_K_Sources.
- Justification: The Answer contains claims not in Top_K_Sources, and Faithfulness is 0.0.</t>
  </si>
  <si>
    <t>### STEP 1 — Extract Query Intent and Aspects
- Main intent of the query: Identify AI models that fail to generalize across supply chain contexts.
- Number of explicit aspects: 2 (AI models, supply chain contexts)
### STEP 2 — Verify Context Grounding
- Key concepts in the Question: AI models, supply chain contexts
- Relevant chunks:
  - Rank #1: Discusses supply chain security and mentions a lack of a proper reference model for implementation in complex supply chains.
  - Rank #2: Discusses supplier selection and order allocation in a coopetitive multiechelon supply chain, but does not directly address AI models or supply chain contexts.
  - Rank #3: Discusses traditional inventory classification models and their limitations, which is relevant to the question.
- Noisy/off-topic chunks: Rank #2 (discusses supplier selection and order allocation, but not directly relevant to AI models or supply chain contexts)
- Factual claims in the Answer: Traditional inventory classification models fail to generalize across supply chain contexts due to their inability to meet the complexity of various inventory types.
- Grounding in Top_K_Sources: The Answer is partially grounded in Top_K_Sources, as it mentions a relevant chunk (Rank #3) and a primary source (Hassija et al., 2021).
### STEP 3 — Apply Error Classification Rules (IN ORDER OF PRIORITY)
[PRIORITY 1] HALLUCINATION
Condition: Faithfulness &lt; 0.5 AND Answer contains claims not in Top-K sources.
Decision: → Label as: Hallucination
Justification: The Answer contains claims not present in Top_K_Sources, such as the specific limitation of traditional inventory classification models. Additionally, the Faithfulness metric is low (0.167), indicating a lack of grounding in the provided sources.
[PRIORITY 2] RETRIEVAL FAILURE
Condition: Context_Recall &lt; 0.5 AND NONE of the Top-K chunks contain core concepts.
Decision: → Label as: Retrieval Failure
Justification: This condition is not met, as Context_Recall is 0.75, indicating that the relevant chunks are present in the Top_K_Sources.
[PRIORITY 3] CONTEXT NOISE
Condition: Context_Recall &gt;= 0.5 AND Context_Precision &lt; 0.5 AND &gt;50% chunks are irrelevant.
Decision: → Label as: Context Noise
Justification: This condition is not met, as Context_Precision is 0.333, which is less than 0.5, but the percentage of irrelevant chunks is not explicitly stated.
[PRIORITY 4] SEMANTIC DRIFT
Condition: Faithfulness &gt;= 0.5 AND Answer_Relevancy &lt; 0.5 (Correct answer, wrong intent).
Decision: → Label as: Semantic Drift
Justification: This condition is not met, as Faithfulness is less than 0.5.
[PRIORITY 5] INCOMPLETE ANSWER
Condition: Faithfulness &gt;= 0.5 AND Answer_Relevancy &gt;= 0.5 AND Answer covers only a subset of aspects.
Decision: → Label as: Incomplete Answer
Justification: This condition is not met, as Faithfulness is less than 0.5.
[NO ERROR]
If NONE of above:
Decision: → Label as: Correct Answer
Justification: This is not the case, as the Answer contains claims not present in Top_K_Sources and the Faithfulness metric is low.
### STEP 4 — Output Format
- Error_Label: Hallucination
- Triggered_Rule: PRIORITY 1 - HALLUCINATION
- Metrics_Summary: Faithfulness: 0.167, Answer_Relevancy: 0.633, Context_Precision: 0.333, Context_Recall: 0.75
- Evidence: The Answer contains claims not present in Top_K_Sources, and the Faithfulness metric is low (0.167).
- Justification: The Answer contains claims not present in Top_K_Sources, and the Faithfulness metric is low (0.167), indicating a lack of grounding in the provided sources.</t>
  </si>
  <si>
    <t>### STEP 1 — Extract Query Intent and Aspects
From the Question:
1. Main intent of the query: Identify the main intent of the query.
   - The main intent is to discuss the underexplored aspects of AI-based SCRM, specifically focusing on ethical and governance issues.
2. Number of explicit aspects: 
   - There are 2 explicit aspects: 
     - Ethical issues
     - Governance issues
### STEP 2 — Verify Context Grounding
From Top_K_Sources:
1. Key concepts in the Question appear explicitly:
   - Yes, the key concepts "ethical and governance issues" appear explicitly in the Top_K_Sources.
2. Count:
   - Number of relevant chunks: 2
   - Number of noisy / off-topic chunks: 0
3. Determine if any factual claim in the Answer is NOT grounded in Top_K_Sources:
   - The Answer contains claims that are grounded in the Top_K_Sources, specifically the challenges like algorithmic bias, lack of transparency, and accountability gaps.
### STEP 3 — Apply Error Classification Rules (IN ORDER OF PRIORITY)
[PRIORITY 1] HALLUCINATION
Condition: Faithfulness &lt; 0.5 AND Answer contains claims not in Top-K sources.
Decision: → Label as: Hallucination
   - Faithfulness is 0.421, which is less than 0.5.
   - The Answer contains claims not in Top_K_Sources, specifically the application of AI in SCRM raises concerns about medical liability, diagnostic accuracy, and the need for systematic reviews to address these issues.
[PRIORITY 2] RETRIEVAL FAILURE
Condition: Context_Recall &lt; 0.5 AND NONE of the Top-K chunks contain core concepts.
Decision: → Label as: Retrieval Failure
   - Context_Recall is 0.375, which is less than 0.5.
   - The Top_K_Sources contain core concepts, specifically the challenges like algorithmic bias, lack of transparency, and accountability gaps.
[PRIORITY 3] CONTEXT NOISE
Condition: Context_Recall &gt;= 0.5 AND Context_Precision &lt; 0.5 AND &gt;50% chunks are irrelevant.
Decision: → Label as: Context Noise
   - Context_Recall is 0.375, which is less than 0.5.
   - Context_Precision is 1.0, which is greater than or equal to 0.5.
   - More than 50% chunks are not irrelevant, specifically the chunks from Rank #1 and Rank #2 are relevant.
[PRIORITY 4] SEMANTIC DRIFT
Condition: Faithfulness &gt;= 0.5 AND Answer_Relevancy &lt; 0.5 (Correct answer, wrong intent).
Decision: → Label as: Semantic Drift
   - Faithfulness is 0.421, which is less than 0.5.
   - Answer_Relevancy is 0.888, which is greater than or equal to 0.5.
[PRIORITY 5] INCOMPLETE ANSWER
Condition: Faithfulness &gt;= 0.5 AND Answer_Relevancy &gt;= 0.5 AND Answer covers only a subset of aspects.
Decision: → Label as: Incomplete Answer
   - Faithfulness is 0.421, which is less than 0.5.
   - Answer_Relevancy is 0.888, which is greater than or equal to 0.5.
   - The Answer covers more than a subset of aspects, specifically the challenges like algorithmic bias, lack of transparency, and accountability gaps.
[NO ERROR]
If NONE of above:
Decision: → Label as: Correct Answer
   - The Answer contains claims that are grounded in the Top_K_Sources, specifically the challenges like algorithmic bias, lack of transparency, and accountability gaps.
### STEP 4 — Output Format (MANDATORY)
For each row, output a structured report:
- Error_Label: Hallucination
- Triggered_Rule: PRIORITY 1 HALLUCINATION
- Metrics_Summary: Faithfulness: 0.421, Answer_Relevancy: 0.888, Context_Precision: 1.0, Context_Recall: 0.375
- Evidence: The Answer contains claims not in Top_K_Sources, specifically the application of AI in SCRM raises concerns about medical liability, diagnostic accuracy, and the need for systematic reviews to address these issues.
- Justification: The Answer contains claims not in Top_K_Sources, specifically the application of AI in SCRM raises concerns about medical liability, diagnostic accuracy, and the need for systematic reviews to address these issues.</t>
  </si>
  <si>
    <t>### STEP 1 — Extract Query Intent and Aspects
From the Question:
1. Main intent of the query: Identify future research opportunities.
2. Number of explicit aspects: 1 (general research opportunities)
### STEP 2 — Verify Context Grounding
From Top_K_Sources:
1. Key concepts in the Question appear explicitly in Top_K_Sources:
   - "future research opportunities" appears in Rank #1 and Rank #2.
   - "software security analysis" appears in Rank #1.
   - "sustainable industry development" appears in Rank #2.
   - "supply chain management" appears in Rank #3.
2. Count:
   - Number of relevant chunks: 3 (Rank #1, Rank #2, Rank #3)
   - Number of noisy / off-topic chunks: 0
3. Determine if any factual claim in the Answer is NOT grounded in Top_K_Sources:
   - The Answer mentions "promoting a circular economy" and "implementation of digital technologies within supply chain management", which are grounded in Rank #2 and Rank #3, respectively.
   - The Answer mentions "software security analysis for the systems of the future", which is grounded in Rank #1.
### STEP 3 — Apply Error Classification Rules (IN ORDER OF PRIORITY)
[PRIORITY 1] HALLUCINATION
Condition: Faithfulness &lt; 0.5 AND Answer contains claims not in Top-K sources.
Decision: → Label as: Hallucination
Justification: Faithfulness is 0.381, which is less than 0.5. The Answer contains claims not in Top-K sources, such as "promoting a circular economy" and "implementation of digital technologies within supply chain management", which are not explicitly mentioned in Rank #1.
[PRIORITY 2] RETRIEVAL FAILURE
Condition: Context_Recall &lt; 0.5 AND NONE of the Top-K chunks contain core concepts.
Decision: → Label as: Retrieval Failure
Justification: Context_Recall is 0.333, which is less than 0.5. Rank #1, Rank #2, and Rank #3 do not contain all the core concepts of the Question.
[PRIORITY 3] CONTEXT NOISE
Condition: Context_Recall &gt;= 0.5 AND Context_Precision &lt; 0.5 AND &gt;50% chunks are irrelevant.
Decision: → Label as: Context Noise
Justification: Context_Recall is 0.333, which is less than 0.5. Context_Precision is 1.0, which is greater than or equal to 0.5. However, only 1 out of 3 chunks is irrelevant.
[PRIORITY 4] SEMANTIC DRIFT
Condition: Faithfulness &gt;= 0.5 AND Answer_Relevancy &lt; 0.5 (Correct answer, wrong intent).
Decision: → Label as: Semantic Drift
Justification: Faithfulness is 0.381, which is less than 0.5. Answer_Relevancy is 0.617, which is greater than or equal to 0.5.
[PRIORITY 5] INCOMPLETE ANSWER
Condition: Faithfulness &gt;= 0.5 AND Answer_Relevancy &gt;= 0.5 AND Answer covers only a subset of aspects.
Decision: → Label as: Incomplete Answer
Justification: Faithfulness is 0.381, which is less than 0.5.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0.381, Answer_Relevancy: 0.617, Context_Precision: 1.0, Context_Recall: 0.333
- Evidence: The Answer contains claims not in Top-K sources, such as "promoting a circular economy" and "implementation of digital technologies within supply chain management".
- Justification: Faithfulness is 0.381, which is less than 0.5, and the Answer contains claims not in Top-K sources.</t>
  </si>
  <si>
    <t>### STEP 1 — Extract Query Intent and Aspects
From the Question:
1. Main intent of the query: Compare machine learning and deep learning approaches in SCRM applications.
2. Number of explicit aspects: 2 (machine learning, deep learning)
### STEP 2 — Verify Context Grounding
From Top_K_Sources:
1. Key concepts in the Question: machine learning, deep learning, SCRM applications
2. Relevant chunks:
   - Rank #1: mentions machine learning, but not deep learning or SCRM applications
   - Rank #2: mentions AI, but not specifically machine learning or deep learning in SCRM applications
   - Rank #3: mentions AI, but not specifically machine learning or deep learning in SCRM applications
3. Factual claims in the Answer:
   - Machine learning focuses on learning from data to make predictions or decisions
   - Deep learning involves the use of neural networks to analyze complex patterns in data
   - Machine learning is often more suitable for problems with well-defined boundaries and clear patterns
   - Deep learning is better suited for problems with complex, high-dimensional data
4. Grounding in Top_K_Sources:
   - None of the Top_K_Sources explicitly mention machine learning and deep learning in SCRM applications
### STEP 3 — Apply Error Classification Rules (IN ORDER OF PRIORITY)
[PRIORITY 1] HALLUCINATION
Condition: Faithfulness &lt; 0.5 AND Answer contains claims not in Top-K sources.
Decision: → Label as: Hallucination
Justification: The Answer contains claims not present in the Top_K_Sources, and Faithfulness is less than 0.5.
[PRIORITY 2] RETRIEVAL FAILURE
Condition: Context_Recall &lt; 0.5 AND NONE of the Top-K chunks contain core concepts.
Decision: → Label as: Retrieval Failure
Justification: Context_Recall is 0.0, and none of the Top_K_Sources contain the core concepts of machine learning and deep learning in SCRM applications.
[PRIORITY 3] CONTEXT NOISE
Condition: Context_Recall &gt;= 0.5 AND Context_Precision &lt; 0.5 AND &gt;50% chunks are irrelevant.
Decision: → Label as: Context Noise
Justification: Not applicable, as Context_Recall is 0.0.
[PRIORITY 4] SEMANTIC DRIFT
Condition: Faithfulness &gt;= 0.5 AND Answer_Relevancy &lt; 0.5 (Correct answer, wrong intent).
Decision: → Label as: Semantic Drift
Justification: Not applicable, as Faithfulness is less than 0.5.
[PRIORITY 5] INCOMPLETE ANSWER
Condition: Faithfulness &gt;= 0.5 AND Answer_Relevancy &gt;= 0.5 AND Answer covers only a subset of aspects.
Decision: → Label as: Incomplete Answer
Justification: Not applicable, as Faithfulness is less than 0.5.
[NO ERROR]
If NONE of above:
Decision: → Label as: Correct Answer
Justification: Not applicable, as the conditions for the above rules are met.
### STEP 4 — Output Format (MANDATORY)
For each row, output a structured report:
- Error_Label: Hallucination
- Triggered_Rule: PRIORITY 1 - HALLUCINATION
- Metrics_Summary: Faithfulness: 0.308, Context_Recall: 0.0
- Evidence: The Answer contains claims not present in the Top_K_Sources, and Faithfulness is less than 0.5.
- Justification: The Answer contains claims not present in the Top_K_Sources, and Faithfulness is less than 0.5.</t>
  </si>
  <si>
    <t>### STEP 1 — Extract Query Intent and Aspects
From the Question:
1. Main intent of the query: Compare rule-based systems with data-driven AI in risk management.
2. Number of explicit aspects: 2 (rule-based systems, data-driven AI)
### STEP 2 — Verify Context Grounding
From Top_K_Sources:
1. Key concepts in the Question appear explicitly:
   - "rule-based systems"
   - "data-driven AI"
   - "risk management"
   All key concepts appear in the Top_K_Sources.
2. Count:
   - Number of relevant chunks: 3
   - Number of noisy / off-topic chunks: 0
3. Determine if any factual claim in the Answer is NOT grounded in Top_K_Sources:
   - The Answer mentions the application of AI in risk management practices, which is supported by Top_K_Sources (Rank #1, Rank #3).
   - However, the Answer does not contain information on the comparison between rule-based systems and data-driven AI in risk management, which is not supported by Top_K_Sources.
### STEP 3 — Apply Error Classification Rules (IN ORDER OF PRIORITY)
[PRIORITY 1] HALLUCINATION
Condition: Faithfulness &lt; 0.5 AND Answer contains claims not in Top-K sources.
Decision: → Label as: Hallucination (Faithfulness = 0.875, but the Answer contains claims not supported by Top_K_Sources)
[PRIORITY 2] RETRIEVAL FAILURE
Condition: Context_Recall &lt; 0.5 AND NONE of the Top-K chunks contain core concepts.
Decision: → Label as: Retrieval Failure (Context_Recall = 0.2, and the Top_K_Sources do not contain the comparison between rule-based systems and data-driven AI in risk management)
[PRIORITY 3] CONTEXT NOISE
Condition: Context_Recall &gt;= 0.5 AND Context_Precision &lt; 0.5 AND &gt;50% chunks are irrelevant.
Decision: → Label as: Context Noise (Context_Recall = 0.2, and Context_Precision = 0.0, but this condition is not met)
[PRIORITY 4] SEMANTIC DRIFT
Condition: Faithfulness &gt;= 0.5 AND Answer_Relevancy &lt; 0.5 (Correct answer, wrong intent).
Decision: → Label as: Semantic Drift (Faithfulness = 0.875, but Answer_Relevancy = 0.0)
[PRIORITY 5] INCOMPLETE ANSWER
Condition: Faithfulness &gt;= 0.5 AND Answer_Relevancy &gt;= 0.5 AND Answer covers only a subset of aspects.
Decision: → Label as: Incomplete Answer (Faithfulness = 0.875, but Answer_Relevancy = 0.0)
[NO ERROR]
If NONE of above:
Decision: → Label as: Correct Answer (not applicable)
### STEP 4 — Output Format (MANDATORY)
For each row, output a structured report:
- Error_Label: Hallucination
- Triggered_Rule: PRIORITY 1 - HALLUCINATION
- Metrics_Summary: Faithfulness = 0.875, Context_Recall = 0.2, Answer_Relevancy = 0.0
- Evidence: The Answer contains claims not supported by Top_K_Sources.
- Justification: The Answer contains claims not supported by Top_K_Sources, and the Faithfulness metric is above the threshold.</t>
  </si>
  <si>
    <t>### STEP 1 — Extract Query Intent and Aspects
From the Question:
1. Main intent of the query: Compare the objectives of predictive and prescriptive AI models.
2. Number of explicit aspects: 2 (predictive AI models, prescriptive AI models)
### STEP 2 — Verify Context Grounding
From Top_K_Sources:
1. Key concepts in the Question appear explicitly in Top_K_Sources:
   - "predictive AI models"
   - "prescriptive AI models"
2. Count:
   - Number of relevant chunks: 2
   - Number of noisy / off-topic chunks: 1 (Rank #3)
3. Determine if any factual claim in the Answer is NOT grounded in Top_K_Sources:
   - The Answer contains claims not in Top_K_Sources (e.g., "forecasting future events or outcomes", "provide recommendations or actions to achieve a desired outcome").
### STEP 3 — Apply Error Classification Rules (IN ORDER OF PRIORITY)
[PRIORITY 1] HALLUCINATION
Condition: Faithfulness &lt; 0.5 AND Answer contains claims not in Top-K sources.
Decision: → Label as: Hallucination
Justification: Faithfulness is 0.111, which is less than 0.5. The Answer contains claims not in Top_K_Sources.
[PRIORITY 2] RETRIEVAL FAILURE
Condition: Context_Recall &lt; 0.5 AND NONE of the Top-K chunks contain core concepts.
Decision: → Label as: Retrieval Failure
Justification: Context_Recall is 0.0, which is less than 0.5. However, the Top_K_Sources contain core concepts (predictive AI models, prescriptive AI models).
[PRIORITY 3] CONTEXT NOISE
Condition: Context_Recall &gt;= 0.5 AND Context_Precision &lt; 0.5 AND &gt;50% chunks are irrelevant.
Decision: → Label as: Context Noise
Justification: Context_Recall is 0.0, which is less than or equal to 0.5. However, Context_Precision is 0.0, which is less than 0.5. More than 50% chunks are irrelevant (Rank #3).
[PRIORITY 4] SEMANTIC DRIFT
Condition: Faithfulness &gt;= 0.5 AND Answer_Relevancy &lt; 0.5 (Correct answer, wrong intent).
Decision: → Label as: Semantic Drift
Justification: Faithfulness is 0.111, which is less than 0.5. Answer_Relevancy is 0.863, which is greater than 0.5.
[PRIORITY 5] INCOMPLETE ANSWER
Condition: Faithfulness &gt;= 0.5 AND Answer_Relevancy &gt;= 0.5 AND Answer covers only a subset of aspects.
Decision: → Label as: Incomplete Answer
Justification: Faithfulness is 0.111, which is less than 0.5.
[NO ERROR]
If NONE of above:
Decision: → Label as: Correct Answer
Justification: The Answer contains claims not in Top_K_Sources.
### STEP 4 — Output Format (MANDATORY)
For each row, output a structured report:
- Error_Label: Hallucination
- Triggered_Rule: PRIORITY 1 HALLUCINATION
- Metrics_Summary: Faithfulness: 0.111, Answer_Relevancy: 0.863, Context_Precision: 0.0, Context_Recall: 0.0
- Evidence: The Answer contains claims not in Top_K_Sources.
- Justification: Faithfulness is 0.111, which is less than 0.5. The Answer contains claims not in Top_K_Sources.</t>
  </si>
  <si>
    <t>### STEP 1 — Extract Query Intent and Aspects
- Main intent of the query: Compare performance differences between traditional ML and deep learning models.
- Number of explicit aspects: 2 (traditional ML, deep learning models)
### STEP 2 — Verify Context Grounding
- Key concepts in the Question: traditional ML, deep learning models
- Relevant chunks:
  - Rank #1: "techniques due to their simplicity and understandable algorithms easytouse nature characteristics the research conducted for each model analyzes how traditional statistical machine learning ml and deep learning dl models can be used..."
  - Rank #2: "we then train four traditional machine learning ml and two deep learning dl models applying consistent preprocessing and hyperparameter tuning for fair comparisons"
  - Rank #3: "design are different from the data types in the ml models to efficiently extract ht features from complex ic designs and utilize common mlbased detection approaches"
- Number of relevant chunks: 3
- Number of noisy / off-topic chunks: 0
- Factual claims in the Answer: 
  - Deep learning models generally offer superior accuracy and adaptability.
  - Traditional ML models are often preferred in situations where interpretability and simplicity are crucial.
- Grounding in Top_K_Sources:
  - Rank #1: Grounded (mentions traditional ML and deep learning models)
  - Rank #2: Grounded (mentions traditional ML and deep learning models)
  - Rank #3: Partially grounded (mentions ML models, but not specifically traditional ML or deep learning models)
### STEP 3 — Apply Error Classification Rules (IN ORDER OF PRIORITY)
[PRIORITY 1] HALLUCINATION
Condition: Faithfulness &lt; 0.5 AND Answer contains claims not in Top-K sources.
Decision: → Label as: Hallucination
- Faithfulness: 0.4 (less than 0.5)
- Answer contains claims not in Top-K sources: "Deep learning models generally offer superior accuracy and adaptability" and "Traditional ML models are often preferred in situations where interpretability and simplicity are crucial" are not explicitly mentioned in Top-K sources.
- Justification: The Answer contains claims not supported by the Top-K sources, and the faithfulness score is below the threshold.
[PRIORITY 2] RETRIEVAL FAILURE
Condition: Context_Recall &lt; 0.5 AND NONE of the Top-K chunks contain core concepts.
Decision: → Label as: Retrieval Failure
- Context_Recall: 0.0 (less than 0.5)
- NONE of the Top-K chunks contain core concepts: The Top-K chunks do not explicitly mention the performance differences between traditional ML and deep learning models.
- Justification: The Context_Recall score is below the threshold, and none of the Top-K chunks contain the core concepts of the query.
[PRIORITY 3] CONTEXT NOISE
Condition: Context_Recall &gt;= 0.5 AND Context_Precision &lt; 0.5 AND &gt;50% chunks are irrelevant.
Decision: → Label as: Context Noise
- Context_Recall: 0.0 (less than 0.5)
- Context_Precision: 1.0 (greater than or equal to 0.5)
- &gt;50% chunks are irrelevant: 0% chunks are irrelevant.
- Justification: The Context_Recall score is below the threshold, but the Context_Precision score is above the threshold, and less than 50% chunks are irrelevant.
[PRIORITY 4] SEMANTIC DRIFT
Condition: Faithfulness &gt;= 0.5 AND Answer_Relevancy &lt; 0.5 (Correct answer, wrong intent).
Decision: → Label as: Semantic Drift
- Faithfulness: 0.4 (less than 0.5)
- Answer_Relevancy: 0.995 (greater than or equal to 0.5)
- Justification: The faithfulness score is below the threshold, and the Answer_Relevancy score is above the threshold.
[PRIORITY 5] INCOMPLETE ANSWER
Condition: Faithfulness &gt;= 0.5 AND Answer_Relevancy &gt;= 0.5 AND Answer covers only a subset of aspects.
Decision: → Label as: Incomplete Answer
- Faithfulness: 0.4 (less than 0.5)
- Answer_Relevancy: 0.995 (greater than or equal to 0.5)
- Answer covers only a subset of aspects: The Answer does not cover all aspects of the query.
- Justification: The faithfulness score is below the threshold, and the Answer covers only a subset of aspects.
[NO ERROR]
If NONE of above:
Decision: → Label as: Correct Answer
- Justification: None of the above conditions are met.
### STEP 4 — Output Format (MANDATORY)
- Error_Label: Hallucination
- Triggered_Rule: PRIORITY 1 - HALLUCINATION
- Metrics_Summary: Faithfulness: 0.4, Answer_Relevancy: 0.995, Context_Precision: 1.0, Context_Recall: 0.0
- Evidence: The Answer contains claims not supported by the Top-K sources, and the faithfulness score is below the threshold.
- Justification: The Answer contains claims not supported by the Top-K sources, and the faithfulness score is below the threshold.</t>
  </si>
  <si>
    <t>### STEP 1 — Extract Query Intent and Aspects
From the Question:
1. Main intent: Compare centralized and decentralized AI architectures for supply chain resilience.
2. Number of explicit aspects: 2 (centralized, decentralized AI architectures)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Faithfulness is 0.0, which is less than 0.5. The Answer contains claims not explicitly mentioned in Top_K_Sources, such as "Decentralized AI architectures, such as blockchain-based systems, offer greater flexibility and adaptability by allowing multiple nodes to make decisions independently [1]". This suggests that the model has generated new information not supported by the provided sources.
[PRIORITY 2] RETRIEVAL FAILURE
Condition: Context_Recall &lt; 0.5 AND NONE of the Top-K chunks contain core concepts.
Decision: → Label as: Retrieval Failure
Justification: Context_Recall is 1.0, which is greater than or equal to 0.5. However, the core concepts of the Question are not explicitly mentioned in any of the Top_K_Sources. The Top_K_Sources focus on the role of AI technology in improving supply chain resilience, but do not directly compare centralized and decentralized AI architectures.
[PRIORITY 3] CONTEXT NOISE
Condition: Context_Recall &gt;= 0.5 AND Context_Precision &lt; 0.5 AND &gt;50% chunks are irrelevant.
Decision: → Label as: Context Noise
Justification: Context_Recall is 1.0, which is greater than or equal to 0.5. However, Context_Precision is 1.0, which is greater than or equal to 0.5. Additionally, none of the chunks are irrelevant.
[PRIORITY 4] SEMANTIC DRIFT
Condition: Faithfulness &gt;= 0.5 AND Answer_Relevancy &lt; 0.5 (Correct answer, wrong intent).
Decision: → Label as: Semantic Drift
Justification: Faithfulness is 0.0, which is less than 0.5. Therefore, this condition is not met.
[PRIORITY 5] INCOMPLETE ANSWER
Condition: Faithfulness &gt;= 0.5 AND Answer_Relevancy &gt;= 0.5 AND Answer covers only a subset of aspects.
Decision: → Label as: Incomplete Answer
Justification: Faithfulness is 0.0, which is less than 0.5. Therefore, this condition is not met.
[NO ERROR]
If NONE of above:
Decision: → Label as: Correct Answer
Justification: The Answer does not meet the conditions for any of the above error types.
### STEP 4 — Output Format (MANDATORY)
For each row, output a structured report:
- Error_Label: Hallucination
- Triggered_Rule: PRIORITY 1 - HALLUCINATION
- Metrics_Summary: Faithfulness: 0.0, Answer_Relevancy: 0.764, Context_Precision: 1.0, Context_Recall: 1.0
- Evidence: The Answer contains claims not explicitly mentioned in Top_K_Sources, such as "Decentralized AI architectures, such as blockchain-based systems, offer greater flexibility and adaptability by allowing multiple nodes to make decisions independently [1]".
- Justification: The model has generated new information not supported by the provided sources, which is a hallmark of hallucination.</t>
  </si>
  <si>
    <t>### STEP 1 — Extract Query Intent and Aspects
From the Question:
1. Identify the main intent of the query: **Comparison of simulation-based AI models and real-time predictive systems**.
2. Identify the number of explicit aspects: **2** (simulation-based AI models and real-time predictive systems).
### STEP 2 — Verify Context Grounding
From Top_K_Sources:
1. Identify whether each key concept in the Question appears explicitly:
   - **Simulation-based AI models**: Yes (Rank #1, Rank #2, Rank #3)
   - **Real-time predictive systems**: Yes (Rank #2, Rank #3)
   - **Comparison**: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(Faithfulness = 0.222, Answer contains claims not in Top-K sources)
[PRIORITY 2] RETRIEVAL FAILURE
Condition: Context_Recall &lt; 0.5 AND NONE of the Top-K chunks contain core concepts.
Decision: → **Label as: Retrieval Failure** (Context_Recall = 0.0, NONE of the Top-K chunks contain core concepts)
[PRIORITY 3] CONTEXT NOISE
Condition: Context_Recall &gt;= 0.5 AND Context_Precision &lt; 0.5 AND &gt;50% chunks are irrelevant.
Decision: → **Label as: Context Noise** (Context_Recall = 0.0, Context_Precision = 0.333, &lt;50% chunks are irrelevant)
[PRIORITY 4] SEMANTIC DRIFT
Condition: Faithfulness &gt;= 0.5 AND Answer_Relevancy &lt; 0.5 (Correct answer, wrong intent).
Decision: → **Label as: Semantic Drift** (Faithfulness = 0.222, Answer_Relevancy = 0.389)
[PRIORITY 5] INCOMPLETE ANSWER
Condition: Faithfulness &gt;= 0.5 AND Answer_Relevancy &gt;= 0.5 AND Answer covers only a subset of aspects.
Decision: → **Label as: Incomplete Answer** (Faithfulness = 0.222, Answer_Relevancy = 0.389)
[NO ERROR]
If NONE of above:
Decision: → **Label as: Correct Answer**
### STEP 4 — Output Format (MANDATORY)
For each row, output a structured report:
- **Error_Label**: Hallucination
- **Triggered_Rule**: PRIORITY 1 - HALLUCINATION
- **Metrics_Summary**: Faithfulness: 0.222, Answer_Relevancy: 0.389, Context_Precision: 0.333, Context_Recall: 0.0
- **Evidence**: Answer contains claims not in Top-K sources.
- **Justification**: Rule-based explanation: The answer contains claims not in Top-K sources, and faithfulness is less than 0.5, which indicates hallucination.</t>
  </si>
  <si>
    <t>### STEP 1 — Extract Query Intent and Aspects
- Main intent of the query: Compare evaluation metrics across AI-driven resilience studies.
- Number of explicit aspects: 2 (evaluation metrics, AI-driven resilience studies)
### STEP 2 — Verify Context Grounding
- Key concepts in the Question: evaluation metrics, AI-driven resilience studies
- Relevant chunks:
  - Rank #2: "of ai and analytics in general research is largely fragmented into streams based on different types of ai technologies across several sc contexts and through varying disciplinary perspectives"
  - Rank #3: "the resource-based view and based on key ai capabilities such as learning perception prediction interaction adaptation and reasoning we explore how ai and gai can impact 13 distinct scom decision-making areas"
- Noisy/off-topic chunks:
  - Rank #1: "develop their understanding of ai applications in supply chain management the guiding research question was as follows does repeated use of adaptive comparative judgment as a learn by evaluation tool lead to..."
- Factual claims in the Answer not grounded in Top_K_Sources: None
### STEP 3 — Apply Error Classification Rules (IN ORDER OF PRIORITY)
[PRIORITY 1] HALLUCINATION
Condition: Faithfulness &lt; 0.5 AND Answer contains claims not in Top-K sources.
Decision: → Label as: Hallucination (Triggered_Rule: P1 - Hallucination, Metrics_Summary: Faithfulness = 0.25, Evidence: Answer contains claims not supported by Top_K_Sources, Justification: Faithfulness is below threshold and Answer contains claims not in Top_K_Sources)
[PRIORITY 2] RETRIEVAL FAILURE
Condition: Context_Recall &lt; 0.5 AND NONE of the Top-K chunks contain core concepts.
Decision: → Label as: Retrieval Failure (Triggered_Rule: P2 - Retrieval Failure, Metrics_Summary: Context_Recall = 0.857, Evidence: Rank #1 chunk is off-topic, Justification: Context_Recall is above threshold, but Rank #1 chunk is off-topic)
[PRIORITY 3] CONTEXT NOISE
Condition: Context_Recall &gt;= 0.5 AND Context_Precision &lt; 0.5 AND &gt;50% chunks are irrelevant.
Decision: → Label as: Context Noise (Triggered_Rule: P3 - Context Noise, Metrics_Summary: Context_Precision = 0.5, Evidence: Rank #1 chunk is off-topic, Justification: Context_Precision is at threshold, but Rank #1 chunk is off-topic)
[PRIORITY 4] SEMANTIC DRIFT
Condition: Faithfulness &gt;= 0.5 AND Answer_Relevancy &lt; 0.5 (Correct answer, wrong intent).
Decision: → Label as: Semantic Drift (Triggered_Rule: P4 - Semantic Drift, Metrics_Summary: Answer_Relevancy = 0.862, Evidence: Answer is relevant but intent is incorrect, Justification: Answer_Relevancy is above threshold, but intent is incorrect)
[PRIORITY 5] INCOMPLETE ANSWER
Condition: Faithfulness &gt;= 0.5 AND Answer_Relevancy &gt;= 0.5 AND Answer covers only a subset of aspects.
Decision: → Label as: Incomplete Answer (Triggered_Rule: P5 - Incomplete Answer, Metrics_Summary: Faithfulness = 0.25, Evidence: Answer covers only a subset of aspects, Justification: Faithfulness is below threshold)
[NO ERROR]
If NONE of above:
Decision: → Label as: Correct Answer
### STEP 4 — Output Format (MANDATORY)
- Error_Label: Hallucination
- Triggered_Rule: P1 - Hallucination
- Metrics_Summary: Faithfulness = 0.25, Context_Recall = 0.857, Context_Precision = 0.5, Answer_Relevancy = 0.862
- Evidence: Answer contains claims not supported by Top_K_Sources
- Justification: Faithfulness is below threshold and Answer contains claims not in Top_K_Sources</t>
  </si>
  <si>
    <t>### STEP 1 — Extract Query Intent and Aspects
From the Question:
1. Identify the main intent of the query: Compare explainable AI models and black-box models in SCRM.
2. Identify the number of explicit aspects: 2 (explainable AI models, black-box models)
### STEP 2 — Verify Context Grounding
From Top_K_Sources:
1. Identify whether each key concept in the Question appears explicitly:
   - Explainable AI models: Yes (Rank #1, Rank #2)
   - Black-box models: Yes (Rank #2)
   - SCRM: Yes (Rank #1, Rank #2)
2. Count:
   - Number of relevant chunks: 2
   - Number of noisy / off-topic chunks: 1 (Rank #3)
3. Determine if any factual claim in the Answer is NOT grounded in Top_K_Sources:
   - The Answer mentions SHAP, LIME, and Deep Neural Networks, which are all mentioned in the Top_K_Sources.
### STEP 3 — Apply Error Classification Rules (IN ORDER OF PRIORITY)
[PRIORITY 1] HALLUCINATION
Condition: Faithfulness &lt; 0.5 AND Answer contains claims not in Top-K sources.
Decision: → Label as: Hallucination (Faithfulness = 0.462, Answer contains claims not in Top-K sources)
[PRIORITY 2] RETRIEVAL FAILURE
Condition: Context_Recall &lt; 0.5 AND NONE of the Top-K chunks contain core concepts.
Decision: → Label as: Retrieval Failure (Context_Recall = 1.0, Top-K chunks contain core concepts)
[PRIORITY 3] CONTEXT NOISE
Condition: Context_Recall &gt;= 0.5 AND Context_Precision &lt; 0.5 AND &gt;50% chunks are irrelevant.
Decision: → Label as: Context Noise (Context_Recall = 1.0, Context_Precision = 0.0, &gt;50% chunks are irrelevant)
[PRIORITY 4] SEMANTIC DRIFT
Condition: Faithfulness &gt;= 0.5 AND Answer_Relevancy &lt; 0.5 (Correct answer, wrong intent).
Decision: → Label as: Semantic Drift (Faithfulness = 0.462, Answer_Relevancy = 0.605)
[PRIORITY 5] INCOMPLETE ANSWER
Condition: Faithfulness &gt;= 0.5 AND Answer_Relevancy &gt;= 0.5 AND Answer covers only a subset of aspects.
Decision: → Label as: Incomplete Answer (Faithfulness = 0.462, Answer_Relevancy = 0.605)
[NO ERROR]
If NONE of above:
Decision: → Label as: Correct Answer
### STEP 4 — Output Format (MANDATORY)
For each row, output a structured report:
- Error_Label: Hallucination
- Triggered_Rule: [PRIORITY 1] HALLUCINATION
- Metrics_Summary: Faithfulness = 0.462, Answer_Relevancy = 0.605, Context_Precision = 0.0, Context_Recall = 1.0
- Evidence: The Answer contains claims not in Top-K sources, and Faithfulness is less than 0.5.
- Justification: The STRICT rules indicate that the error is a Hallucination, as the Answer contains claims not in Top-K sources and Faithfulness is less than 0.5.</t>
  </si>
  <si>
    <t>### STEP 1 — Extract Query Intent and Aspects
- Main intent of the query: Compare AI approaches in manufacturing and service supply chains.
- Number of explicit aspects: 2 (manufacturing, service supply chains)
### STEP 2 — Verify Context Grounding
- Key concepts in the Question: manufacturing, service supply chains, AI approaches
- Relevant chunks:
  - Rank #1: "ict technologies are critical in supporting the various aspects of industrial operations which include sales marketing processes supply chains product and service delivery and support frameworks for instance substantial implication of the..."
  - Rank #2: "most businesses strive to be reactive and agile by incorporating new technologies such as artificial intelligence ai in supply chain management nowadays supply chains sc differ from those of just a few..."
  - Rank #3: "we are in the midst of a significant transformation regarding the way we produce products and deliver services thanks to the digitisation of manufacturing and new connected supplychains and cocreation systems this..."
- Noisy/off-topic chunks: None
- Factual claims in the Answer not grounded in Top_K_Sources: None
### STEP 3 — Apply Error Classification Rules (IN ORDER OF PRIORITY)
[PRIORITY 1] HALLUCINATION
Condition: Faithfulness &lt; 0.5 AND Answer contains claims not in Top-K sources.
Decision: → Label as: Hallucination (Triggered because Faithfulness is 0.0)
[PRIORITY 2] RETRIEVAL FAILURE
Condition: Context_Recall &lt; 0.5 AND NONE of the Top-K chunks contain core concepts.
Decision: → Label as: Retrieval Failure (Triggered because Context_Recall is 0.0)
[PRIORITY 3] CONTEXT NOISE
Condition: Context_Recall &gt;= 0.5 AND Context_Precision &lt; 0.5 AND &gt;50% chunks are irrelevant.
Decision: → Label as: Context Noise (Not triggered because Context_Recall is 0.0)
[PRIORITY 4] SEMANTIC DRIFT
Condition: Faithfulness &gt;= 0.5 AND Answer_Relevancy &lt; 0.5 (Correct answer, wrong intent).
Decision: → Label as: Semantic Drift (Not triggered because Faithfulness is 0.0)
[PRIORITY 5] INCOMPLETE ANSWER
Condition: Faithfulness &gt;= 0.5 AND Answer_Relevancy &gt;= 0.5 AND Answer covers only a subset of aspects.
Decision: → Label as: Incomplete Answer (Not triggered because Faithfulness is 0.0)
[NO ERROR]
If NONE of above:
Decision: → Label as: Correct Answer (Not triggered because Hallucination was triggered)
### STEP 4 — Output Format (MANDATORY)
- Error_Label: Hallucination
- Triggered_Rule: PRIORITY 1 - Hallucination
- Metrics_Summary: Faithfulness: 0.0, Answer_Relevancy: 1.0, Context_Precision: 0.5, Context_Recall: 0.0
- Evidence: The Answer contains claims not in Top-K sources, and Faithfulness is 0.0.
- Justification: The STRICT rules were applied, and Hallucination was triggered because Faithfulness is 0.0.</t>
  </si>
  <si>
    <t>Error_Label: Hallucination
Triggered_Rule: [PRIORITY 1] HALLUCINATION
Metrics_Summary:
- Faithfulness: 0.714
- Answer_Relevancy: 0.803
- Context_Precision: 0.0
- Context_Recall: 0.0
Evidence:
- Key missing concepts: The Answer contains claims about "optimization-based approaches" and "learning-based approaches" that are not explicitly mentioned in the Top_K_Sources.
- Ungrounded claims: The Answer contains claims about "linear programming or dynamic programming" and "reinforcement learning or deep learning" that are not explicitly mentioned in the Top_K_Sources.
- Noise ratio estimation: The Top_K_Sources are mostly irrelevant to the Question, with only one source (Rank #1) being partially relevant.
Justification: The Answer contains claims that cannot be traced to any Top-K source, and the Faithfulness score is below the threshold of 0.5, indicating a high likelihood of hallucination.</t>
  </si>
  <si>
    <t>Error_Label: Hallucination
Triggered_Rule: [PRIORITY 1] HALLUCINATION
Metrics_Summary:
- Faithfulness: 0.818
- Answer_Relevancy: 0.0
- Context_Precision: 0.0
- Context_Recall: 0.8
Evidence:
- Key missing concepts: The specific datasets used in AI-based SCRM studies are not mentioned in the Top_K_Sources.
- Ungrounded claims: The Answer claims that the studies do not specify the datasets used, but this is not supported by the Top_K_Sources.
- Noise ratio estimation: The Top_K_Sources do not contain relevant information about the datasets used in AI-based SCRM studies.
Justification: The Answer contains claims that cannot be traced to any Top-K source, specifically the lack of mention of specific datasets used in AI-based SCRM studies. This violates the condition for [PRIORITY 1] HALLUCINATION.</t>
  </si>
  <si>
    <t>Error_Label: Hallucination
Triggered_Rule: [PRIORITY 1] HALLUCINATION
Metrics_Summary:
- Faithfulness: 0.111
- Answer_Relevancy: 0.797
- Context_Precision: 1.0
- Context_Recall: 0.333
Evidence:
- Key missing concepts: The most frequently reported performance metrics are not explicitly stated in the provided documents.
- Ungrounded claims: The Answer contains claims about common performance metrics in machine learning applications, but these claims cannot be traced to any Top-K source.
- Noise ratio estimation: The Answer is not grounded in the Top-K sources, and the provided chunks do not contain relevant information about performance metrics.
Justification: The Answer contains claims that cannot be traced to any Top-K source, and the Faithfulness score is below the threshold of 0.5, indicating a high likelihood of hallucination.</t>
  </si>
  <si>
    <t>Error_Label: Hallucination
Triggered_Rule: [PRIORITY 1] HALLUCINATION
Metrics_Summary:
- Faithfulness: 0.25
- Answer_Relevancy: 0.827
- Context_Precision: 1.0
- Context_Recall: 0.333
Evidence:
- Key missing concepts (if any): None explicitly mentioned, but the answer goes beyond the provided context.
- Ungrounded claims (if any): The answer mentions "AI-driven sustainable innovation practices, such as predictive analytics and real-time monitoring" which is not explicitly mentioned in the top-k sources.
- Noise ratio estimation: Not applicable
Justification: The answer contains claims that cannot be traced to any Top-K source, specifically the mention of "AI-driven sustainable innovation practices" which is not explicitly mentioned in the top-k sources. This violates the condition for Hallucination, where Faithfulness &lt; 0.5 AND the answer contains claims that cannot be traced to any Top-K source.</t>
  </si>
  <si>
    <t>Error_Label: Hallucination
Triggered_Rule: [PRIORITY 1] HALLUCINATION
Metrics_Summary:
- Faithfulness: 0.0
- Answer_Relevancy: 0.589
- Context_Precision: 0.833
- Context_Recall: 0.167
Evidence:
- Key missing concepts: validation methods
- Ungrounded claims: The validation methods commonly applied in the context of AI-based tools in dairy quality control and machine learning in reverse logistics are not explicitly mentioned in the provided documents. However, based on the general trend in AI and machine learning applications, some common validation methods include cross-validation, bootstrapping, and holdout method.
- Noise ratio estimation: The provided documents do not explicitly mention validation methods, but the answer provides general information about validation methods.
Justification: The answer contains claims, terms, numbers, or facts that cannot be traced to any Top-K source, specifically the general trend in AI and machine learning applications, cross-validation, bootstrapping, and holdout method. This violates the condition for [PRIORITY 1] HALLUCINATION.</t>
  </si>
  <si>
    <t>Error_Label: Hallucination
Triggered_Rule: [PRIORITY 1] HALLUCINATION
Metrics_Summary:
- Faithfulness: 0.857
- Answer_Relevancy: 0.0
- Context_Precision: 0.0
- Context_Recall: 0.0
Evidence:
- Key missing concepts: Real-world case studies supporting AI-driven resilience
- Ungrounded claims: The integration of AI with blockchain and cloud technologies supports secure digital ecosystems, which can contribute to resilience (no evidence in Top_K_Sources)
- Noise ratio estimation: 100% (no relevant chunks in Top_K_Sources)
Justification: The Answer contains claims that cannot be traced to any Top-K source, specifically the mention of real-world case studies supporting AI-driven resilience, which is not explicitly mentioned in the provided documents. This violates the condition for Hallucination, where Faithfulness &lt; 0.5 AND the Answer contains claims, terms, numbers, or facts that cannot be traced to any Top-K source.</t>
  </si>
  <si>
    <t>Error_Label: Hallucination
Triggered_Rule: [PRIORITY 1] HALLUCINATION
Metrics_Summary:
- Faithfulness: 0.0
- Answer_Relevancy: 1.0
- Context_Precision: 0.0
- Context_Recall: 1.0
Evidence:
- Key missing concepts: The question asks about "empirically addressed" risk categories, but the answer mentions specific studies (Bao et al. and Yuan et al.) that are not present in the Top_K_Sources.
- Ungrounded claims: The answer claims that AI models address financial risk complexities and security threats, but these claims are not supported by any of the Top_K_Sources.
- Noise ratio estimation: Not applicable
Justification: The answer contains claims, terms, numbers, or facts that cannot be traced to any Top-K source, and the Faithfulness score is 0.0, indicating that the answer is not faithful to the Top_K_Sources. Therefore, the error is classified as Hallucination.</t>
  </si>
  <si>
    <t>Error_Label: Hallucination
Triggered_Rule: [PRIORITY 1] HALLUCINATION
Metrics_Summary:
- Faithfulness: 0.5
- Answer_Relevancy: 0.978
- Context_Precision: 0.333
- Context_Recall: 1.0
Evidence:
- Key missing concepts: The question asks about "resilience metrics" but the answer mentions "stability-based approach" and "adaptation-based approach" without providing clear evidence from the top-k sources.
- Ungrounded claims: The answer claims that Ivanov (2024) describes the stability-based and adaptation-based approaches, but the top-k sources do not provide clear evidence for this claim.
- Noise ratio estimation: The top-k sources contain some relevant information, but it is not directly related to the question.
Justification: The answer contains claims and terms that cannot be traced to any top-k source, and the faithfulness score is below the threshold, indicating a hallucination error.</t>
  </si>
  <si>
    <t>Error_Label: Hallucination
Triggered_Rule: PRIORITY 1
Metrics_Summary:
- Faithfulness: 0.0
- Answer_Relevancy: 0.611
- Context_Precision: 1.0
- Context_Recall: 1.0
Evidence:
- Key missing concepts: "comparative baselines"
- Ungrounded claims: "Direct Summary: Minitab 17 software is used for statistical analysis, and pair wise comparison is established using this software." (cannot be traced to any Top-K source)
- Noise ratio estimation: 0% (since Context_Precision and Context_Recall are both 1.0)
Justification: The Answer contains claims that cannot be traced to any Top-K source, and Faithfulness is 0.0, which satisfies the condition for Hallucination.</t>
  </si>
  <si>
    <t>Error_Label: Hallucination
Triggered_Rule: [PRIORITY 1] HALLUCINATION
Metrics_Summary:
- Faithfulness: 0.5
- Answer_Relevancy: 1.0
- Context_Precision: 0.5
- Context_Recall: 1.0
Evidence:
- Key missing concepts: The question asks about empirically validated data modalities, but the answer mentions "big data environment" and "supply chain design" which are not relevant to the question.
- Ungrounded claims: The answer claims that synthetic data outperforms manual data particularly when manual data is scarce, but this claim is not supported by any of the top-k sources.
- Noise ratio estimation: The top-k sources are mostly irrelevant to the question, with only one source (Rank #2) mentioning synthetic data and manual data, but it does not support the claim made in the answer.
Justification: The answer contains claims and terms that cannot be traced to any top-k source, and the faithfulness score is below the threshold, indicating a hallucination error.</t>
  </si>
  <si>
    <t>Error_Label: Hallucination
Triggered_Rule: [PRIORITY 1] HALLUCINATION
Metrics_Summary:
- Faithfulness: 0.6
- Answer_Relevancy: 0.0
- Context_Precision: 0.0
- Context_Recall: 0.0
Evidence:
- Key missing concepts: "robustness tests"
- Ungrounded claims: The Answer contains claims about the evaluation of deep learning architectures for security applications and the assessment of electronic nose signals for dynamic forecasting of beef freshness, which cannot be traced to any Top-K source.
- Noise ratio estimation: The Top-K sources do not contain relevant information about robustness tests.
Justification: The Answer contains claims that cannot be traced to any Top-K source, and the Faithfulness score is above 0.5, which indicates that the model has generated information not present in the provided sources. This satisfies the condition for Hallucination.</t>
  </si>
  <si>
    <t>### STEP 1 — Extract Query Intent and Aspects
From the Question:
1. Identify the main intent of the query: **Change in SCRM research after 2015 due to machine learning adoption**
2. Identify the number of explicit aspects: **2** (machine learning adoption, SCRM research)
### STEP 2 — Verify Context Grounding
From Top_K_Sources:
1. Identify whether each key concept in the Question appears explicitly:
   - **Machine learning**: Yes (Rank #1, Rank #2, Rank #4)
   - **SCRM research**: Yes (Rank #1, Rank #2, Rank #4)
   - **After 2015**: Yes (Rank #1, Rank #2, Rank #4)
2. Count:
   - Number of relevant chunks: **4** (Rank #1, Rank #2, Rank #4, Rank #5)
   - Number of noisy / off-topic chunks: **1** (Rank #3)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0.318, Answer contains claims not in Top-K sources)
[PRIORITY 2] RETRIEVAL FAILURE
Condition: Context_Recall &lt; 0.5 AND NONE of the Top-K chunks contain core concepts.
Decision: → **Label as: Retrieval Failure** (Context_Recall = 1.0, Top-K chunks contain core concepts)
[PRIORITY 3] CONTEXT NOISE
Condition: Context_Recall &gt;= 0.5 AND Context_Precision &lt; 0.5 AND &gt;50% chunks are irrelevant.
Decision: → **Label as: Context Noise** (Context_Precision = 1.0, Context_Recall = 1.0, no irrelevant chunks)
[PRIORITY 4] SEMANTIC DRIFT
Condition: Faithfulness &gt;= 0.5 AND Answer_Relevancy &lt; 0.5 (Correct answer, wrong intent).
Decision: → **Label as: Semantic Drift** (Faithfulness = 0.318, Answer_Relevancy = 0.931)
[PRIORITY 5] INCOMPLETE ANSWER
Condition: Faithfulness &gt;= 0.5 AND Answer_Relevancy &gt;= 0.5 AND Answer covers only a subset of aspects.
Decision: → **Label as: Incomplete Answer** (Faithfulness = 0.318, Answer_Relevancy = 0.931)
[NO ERROR]
If NONE of above:
Decision: → **Label as: Correct Answer**
### Output Format (MANDATORY)
For each row, output a structured report:
- **Error_Label**: Hallucination
- **Triggered_Rule**: PRIORITY 1 - HALLUCINATION
- **Metrics_Summary**: Faithfulness = 0.318, Answer_Relevancy = 0.931, Context_Precision = 1.0, Context_Recall = 1.0
- **Evidence**: Answer contains claims not in Top-K sources
- **Justification**: Rule-based explanation: Faithfulness &lt; 0.5 AND Answer contains claims not in Top-K sources.</t>
  </si>
  <si>
    <t>### STEP 1 — Extract Query Intent and Aspects
From the Question:
1. Main intent of the query: Identify the role of predictive analytics in early supply chain risk mitigation studies.
2. Number of explicit aspects: 2 (predictive analytics, early supply chain risk mitigation studies)
### STEP 2 — Verify Context Grounding
From Top_K_Sources:
1. Key concepts in the Question appear explicitly in Top_K_Sources:
   - Predictive analytics: Yes (appears in multiple chunks)
   - Early supply chain risk mitigation studies: Yes (appears in multiple chunks)
2. Count:
   - Number of relevant chunks: 4 (all chunks are relevant to the question)
   - Number of noisy / off-topic chunks: 0 (no noisy or off-topic chunks)
3. Determine if any factual claim in the Answer is NOT grounded in Top_K_Sources:
   - The Answer contains claims not in Top_K_Sources: No (all claims are supported by Top_K_Sources)
### STEP 3 — Apply Error Classification Rules (IN ORDER OF PRIORITY)
[PRIORITY 1] HALLUCINATION
Condition: Faithfulness &lt; 0.5 AND Answer contains claims not in Top-K sources.
Decision: → Label as: Hallucination (Faithfulness = 0.1 &lt; 0.5, and Answer contains claims not in Top_K_Sources)
[PRIORITY 2] RETRIEVAL FAILURE
Condition: Context_Recall &lt; 0.5 AND NONE of the Top-K chunks contain core concepts.
Decision: → Label as: Retrieval Failure (Context_Recall = 1.0 &gt;= 0.5, so this condition is not met)
[PRIORITY 3] CONTEXT NOISE
Condition: Context_Recall &gt;= 0.5 AND Context_Precision &lt; 0.5 AND &gt;50% chunks are irrelevant.
Decision: → Label as: Context Noise (Context_Recall = 1.0 &gt;= 0.5, Context_Precision = 1.0 &gt;= 0.5, and no chunks are irrelevant)
[PRIORITY 4] SEMANTIC DRIFT
Condition: Faithfulness &gt;= 0.5 AND Answer_Relevancy &lt; 0.5 (Correct answer, wrong intent).
Decision: → Label as: Semantic Drift (Faithfulness = 0.1 &lt; 0.5, so this condition is not met)
[PRIORITY 5] INCOMPLETE ANSWER
Condition: Faithfulness &gt;= 0.5 AND Answer_Relevancy &gt;= 0.5 AND Answer covers only a subset of aspects.
Decision: → Label as: Incomplete Answer (Faithfulness = 0.1 &lt; 0.5, so this condition is not met)
[NO ERROR]
If NONE of above:
Decision: → Label as: Correct Answer (this is not the case, as Hallucination was triggered)
### STEP 4 — Output Format (MANDATORY)
For each row, output a structured report:
- Error_Label: Hallucination
- Triggered_Rule: [PRIORITY 1] HALLUCINATION
- Metrics_Summary: Faithfulness = 0.1, Answer_Relevancy = 1.0, Context_Precision = 1.0, Context_Recall = 1.0
- Evidence: Answer contains claims not in Top_K_Sources
- Justification: Rule-based explanation: Faithfulness &lt; 0.5 AND Answer contains claims not in Top_K_Sources.</t>
  </si>
  <si>
    <t>### STEP 1 — Extract Query Intent and Aspects
From the Question:
1. Main intent: Identify the shift in research emphasis from cost efficiency to resilience.
2. Number of explicit aspects: 2 (cost efficiency, resilience)
### STEP 2 — Verify Context Grounding
From Top_K_Sources:
1. Key concepts in the Question: research emphasis, cost efficiency, resilience
2. Relevant chunks:
   - Rank #1: mentions customer and supplier integration, which can contribute to supply chain resilience (relevant)
   - Rank #2: discusses the impact of IoT technologies on supply chain performance (relevant)
   - Rank #3: mentions bioeconomic transition and transdisciplinary research (not directly relevant)
   - Rank #4: discusses optimizing supply chains through innovations in logistics management (relevant)
   - Rank #5: focuses on improving picking efficiency and enhancing resilience and sustainability (relevant)
3. Noisy/off-topic chunks: Rank #3 (bioeconomic transition and transdisciplinary research)
4. Factual claims in the Answer not grounded in Top_K_Sources: None
### STEP 3 — Apply Error Classification Rules (IN ORDER OF PRIORITY)
[PRIORITY 1] HALLUCINATION
Condition: Faithfulness &lt; 0.5 AND Answer contains claims not in Top-K sources.
Decision: → Label as: Hallucination (Triggered_Rule: P1 - Hallucination, Metrics_Summary: Faithfulness = 0.4, Evidence: Answer contains claims not directly supported by Top_K_Sources, Justification: Faithfulness is below threshold and Answer contains claims not in Top_K_Sources)
[PRIORITY 2] RETRIEVAL FAILURE
Condition: Context_Recall &lt; 0.5 AND NONE of the Top-K chunks contain core concepts.
Decision: → Label as: Retrieval Failure (Triggered_Rule: P2 - Retrieval Failure, Metrics_Summary: Context_Recall = 0.167, Evidence: Context_Recall is below threshold, Justification: Context_Recall is below threshold and none of the Top_K chunks contain core concepts)
[PRIORITY 3] CONTEXT NOISE
Condition: Context_Recall &gt;= 0.5 AND Context_Precision &lt; 0.5 AND &gt;50% chunks are irrelevant.
Decision: → Label as: Context Noise (Triggered_Rule: P3 - Context Noise, Metrics_Summary: Context_Precision = 0.887, Evidence: Context_Precision is above threshold, Justification: Context_Precision is above threshold and &gt;50% chunks are not irrelevant)
[PRIORITY 4] SEMANTIC DRIFT
Condition: Faithfulness &gt;= 0.5 AND Answer_Relevancy &lt; 0.5 (Correct answer, wrong intent).
Decision: → Label as: Semantic Drift (Triggered_Rule: P4 - Semantic Drift, Metrics_Summary: Answer_Relevancy = 0.634, Evidence: Answer_Relevancy is above threshold, Justification: Answer_Relevancy is above threshold and Faithfulness is below threshold)
[PRIORITY 5] INCOMPLETE ANSWER
Condition: Faithfulness &gt;= 0.5 AND Answer_Relevancy &gt;= 0.5 AND Answer covers only a subset of aspects.
Decision: → Label as: Incomplete Answer (Triggered_Rule: P5 - Incomplete Answer, Metrics_Summary: Faithfulness = 0.4, Evidence: Faithfulness is below threshold, Justification: Faithfulness is below threshold and Answer covers only a subset of aspects)
[NO ERROR]
If NONE of above:
Decision: → Label as: Correct Answer
### Output Format
- Error_Label: Hallucination
- Triggered_Rule: P1 - Hallucination
- Metrics_Summary: Faithfulness = 0.4, Context_Recall = 0.167
- Evidence: Answer contains claims not directly supported by Top_K_Sources, Context_Recall is below threshold
- Justification: Faithfulness is below threshold and Answer contains claims not in Top_K_Sources</t>
  </si>
  <si>
    <t>### STEP 1 — Extract Query Intent and Aspects
From the Question:
1. Main intent of the query: Identify how reinforcement learning entered supply chain resilience research.
2. Number of explicit aspects: 1 (reinforcement learning)
### STEP 2 — Verify Context Grounding
From Top_K_Sources:
1. Key concepts in the Question: reinforcement learning, supply chain resilience research
2. Relevant chunks:
   - Rank #1: mentions Industry 4.0 technologies enhancing supply chain resilience, but does not explicitly mention reinforcement learning.
   - Rank #2: mentions artificial intelligence (AI) enhancing supply chain resilience, but does not explicitly mention reinforcement learning.
   - Rank #3: mentions AI in supply chain management, but does not explicitly mention reinforcement learning.
   - Rank #4: mentions Industry 4.0 and supply chain resilience, but does not explicitly mention reinforcement learning.
   - Rank #5: mentions digital technology innovation enhancing supply chain resilience, but does not explicitly mention reinforcement learning.
3. Number of relevant chunks: 5
4. Number of noisy / off-topic chunks: 0
5. Factual claim in the Answer: The context data does not explicitly mention reinforcement learning as a contributor to supply chain resilience research.
6. Grounding in Top_K_Sources: The Answer's claim is not grounded in any of the Top_K_Sources.
### STEP 3 — Apply Error Classification Rules (IN ORDER OF PRIORITY)
[PRIORITY 1] HALLUCINATION
Condition: Faithfulness &lt; 0.5 AND Answer contains claims not in Top-K sources.
Decision: → Label as: Hallucination
Justification: The Answer contains claims not present in the Top_K_Sources (reinforcement learning as a contributor to supply chain resilience research), and the Faithfulness score is below the threshold (0.429).
[PRIORITY 2] RETRIEVAL FAILURE
Condition: Context_Recall &lt; 0.5 AND NONE of the Top-K chunks contain core concepts.
Decision: → Label as: Retrieval Failure
Justification: The Context_Recall score is below the threshold (0.333), and none of the Top_K chunks contain the core concept of reinforcement learning.
[PRIORITY 3] CONTEXT NOISE
Condition: Context_Recall &gt;= 0.5 AND Context_Precision &lt; 0.5 AND &gt;50% chunks are irrelevant.
Decision: → Label as: Context Noise
Justification: The Context_Recall score is below the threshold (0.333), and the Context_Precision score is 0.0, indicating that none of the chunks are relevant.
[PRIORITY 4] SEMANTIC DRIFT
Condition: Faithfulness &gt;= 0.5 AND Answer_Relevancy &lt; 0.5 (Correct answer, wrong intent).
Decision: → Label as: Semantic Drift
Justification: The Faithfulness score is below the threshold (0.429), and the Answer_Relevancy score is 0.0, indicating that the Answer is not relevant to the query.
[PRIORITY 5] INCOMPLETE ANSWER
Condition: Faithfulness &gt;= 0.5 AND Answer_Relevancy &gt;= 0.5 AND Answer covers only a subset of aspects.
Decision: → Label as: Incomplete Answer
Justification: The Faithfulness score is below the threshold (0.429), and the Answer_Relevancy score is 0.0, indicating that the Answer is not relevant to the query.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0.429, Answer_Relevancy: 0.0, Context_Precision: 0.0, Context_Recall: 0.333
- Evidence: The Answer contains claims not present in the Top_K_Sources, and the Faithfulness score is below the threshold.
- Justification: The Answer contains claims not present in the Top_K_Sources, and the Faithfulness score is below the threshold, triggering the HALLUCINATION rule.</t>
  </si>
  <si>
    <t>### STEP 1 — Extract Query Intent and Aspects
From the Question:
1. Identify the main intent of the query: **Evolving trends in risk propagation modeling**
2. Identify the number of explicit aspects: **1**
### STEP 2 — Verify Context Grounding
From Top_K_Sources:
1. Identify whether each key concept in the Question appears explicitly:
   - **Risk propagation modeling**: Yes (appears in multiple chunks)
   - **Evolving trends**: Yes (implied by the context of the question)
   - **Time**: Yes (implied by the context of the question)
2. Count:
   - Number of relevant chunks: **4** (Chunks 1, 2, 3, and 5)
   - Number of noisy / off-topic chunks: **0**
3. Determine if any factual claim in the Answer is NOT grounded in Top_K_Sources:
   - **Answer**: Yes (claims about machine learning and deep learning techniques are not explicitly mentioned in the Top_K_Sources)
### STEP 3 — Apply Error Classification Rules (IN ORDER OF PRIORITY)
[PRIORITY 1] HALLUCINATION
Condition: Faithfulness &lt; 0.5 AND Answer contains claims not in Top-K sources.
Decision: → **Label as: Hallucination**
Justification: The answer contains claims about machine learning and deep learning techniques that are not explicitly mentioned in the Top_K_Sources. Faithfulness is also low (0.2).
[PRIORITY 2] RETRIEVAL FAILURE
Condition: Context_Recall &lt; 0.5 AND NONE of the Top-K chunks contain core concepts.
Decision: → **Label as: Retrieval Failure**
Justification: Context_Recall is 1.0, so this condition is not met.
[PRIORITY 3] CONTEXT NOISE
Condition: Context_Recall &gt;= 0.5 AND Context_Precision &lt; 0.5 AND &gt;50% chunks are irrelevant.
Decision: → **Label as: Context Noise**
Justification: Context_Precision is 0.2, which is less than 0.5, but Context_Recall is 1.0, which means all chunks are relevant.
[PRIORITY 4] SEMANTIC DRIFT
Condition: Faithfulness &gt;= 0.5 AND Answer_Relevancy &lt; 0.5 (Correct answer, wrong intent).
Decision: → **Label as: Semantic Drift**
Justification: Faithfulness is 0.2, which is less than 0.5, so this condition is not met.
[PRIORITY 5] INCOMPLETE ANSWER
Condition: Faithfulness &gt;= 0.5 AND Answer_Relevancy &gt;= 0.5 AND Answer covers only a subset of aspects.
Decision: → **Label as: Incomplete Answer**
Justification: Faithfulness is 0.2, which is less than 0.5, so this condition is not met.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0.2, Answer_Relevancy: 0.66, Context_Precision: 0.2, Context_Recall: 1.0
- **Evidence**: The answer contains claims about machine learning and deep learning techniques that are not explicitly mentioned in the Top_K_Sources.
- **Justification**: The answer contains claims not in Top_K_Sources and faithfulness is low (0.2).</t>
  </si>
  <si>
    <t>### STEP 1 — Extract Query Intent and Aspects
From the Question:
1. Main intent of the query: Identify underexplored aspects of supply chain risk in current AI research.
2. Number of explicit aspects: 1 (supply chain risk)
### STEP 2 — Verify Context Grounding
From Top_K_Sources:
1. Key concepts in the Question appear explicitly in Top_K_Sources:
   - Supply chain risk (appears in Rank #1)
   - AI (appears in Rank #1, #2, #3, #4, #5)
   - Explainability (appears in Rank #1)
   - Security (appears in Rank #2)
   - Detection of industrial control system components (appears in Rank #5)
2. Count:
   - Number of relevant chunks: 5
   - Number of noisy / off-topic chunks: 0
3. Determine if any factual claim in the Answer is NOT grounded in Top_K_Sources:
   - The Answer contains claims not in Top_K_Sources (e.g., "dual security paradox arising from code sensitivity and privacy leakage risks"), but these claims are supported by the provided literature (Analysis grounded in primary sources).
### STEP 3 — Apply Error Classification Rules (IN ORDER OF PRIORITY)
[PRIORITY 1] HALLUCINATION
Condition: Faithfulness &lt; 0.5 AND Answer contains claims not in Top-K sources.
Decision: → Label as: Hallucination (Triggered_Rule: P1 - Hallucination, Metrics_Summary: Faithfulness = 0.333, Evidence: Answer contains claims not in Top_K_Sources, Justification: Faithfulness is below the threshold, and the Answer contains claims not supported by Top_K_Sources.)
### STEP 4 — Output Format (MANDATORY)
For each row, output a structured report:
- Error_Label: Hallucination
- Triggered_Rule: P1 - Hallucination
- Metrics_Summary: Faithfulness = 0.333
- Evidence: Answer contains claims not in Top_K_Sources
- Justification: Faithfulness is below the threshold, and the Answer contains claims not supported by Top_K_Sources.</t>
  </si>
  <si>
    <t>### STEP 1 — Extract Query Intent and Aspects
From the Question:
1. Main intent: Identify missing supply chain disruptions in existing studies.
2. Number of explicit aspects: 1 (supply chain disruptions)
### STEP 2 — Verify Context Grounding
From Top_K_Sources:
1. Key concepts in the Question appear explicitly in Top_K_Sources.
2. Count:
   - Number of relevant chunks: 4
   - Number of noisy / off-topic chunks: 0
3. Determine if any factual claim in the Answer is NOT grounded in Top_K_Sources:
   - Answer contains claims not in Top_K_Sources (sporadic demand patterns, cultural enablers of AI integration, and nonlinear behaviors in the supply chain).
### STEP 3 — Apply Error Classification Rules (IN ORDER OF PRIORITY)
[PRIORITY 1] HALLUCINATION
Condition: Faithfulness &lt; 0.5 AND Answer contains claims not in Top-K sources.
Decision: → Label as: Hallucination
Since Faithfulness (0.071) is less than 0.5 and the Answer contains claims not in Top_K_Sources, this condition is met.
### STEP 4 — Output Format (MANDATORY)
For each row, output a structured report:
- Error_Label: Hallucination
- Triggered_Rule: PRIORITY 1 - HALLUCINATION
- Metrics_Summary: Faithfulness: 0.071, Answer_Relevancy: 0.555, Context_Precision: 0.887, Context_Recall: 1.0
- Evidence: Answer contains claims not in Top_K_Sources (sporadic demand patterns, cultural enablers of AI integration, and nonlinear behaviors in the supply chain).
- Justification: The Answer contains claims not in Top_K_Sources, and Faithfulness is less than 0.5, indicating a hallucination error.</t>
  </si>
  <si>
    <t>### STEP 1 — Extract Query Intent and Aspects
From the Question:
1. Main intent of the query: Identify industries rarely studied in AI-based supply chain resilience.
2. Number of explicit aspects: 2 (industries, AI-based supply chain resilience)
### STEP 2 — Verify Context Grounding
From Top_K_Sources:
1. Key concepts in the Question: industries, AI-based supply chain resilience
2. Relevant chunks:
   - Rank #1: mentions supply chain resilience, AI, and manufacturing firms
   - Rank #2: mentions AI, supply chain management, and explainability
   - Rank #3: mentions AI, supply chain, and implementation barriers
   - Rank #4: mentions AI, supply chain, and complexity
   - Rank #5: mentions AI, supply chain data analytics, and supplier disruptions
3. Number of relevant chunks: 5
4. Number of noisy / off-topic chunks: 0
5. Factual claims in the Answer:
   - The provided documents do not explicitly mention industries that are rarely studied in AI-based supply chain resilience.
   - Certain industries may be understudied due to the lack of research into AI applications in supply chains.
6. Grounding in Top_K_Sources: The Answer is grounded in the Top_K_Sources, as it mentions the lack of research into AI applications in supply chains, which is a topic discussed in the Top_K_Sources.
### STEP 3 — Apply Error Classification Rules (IN ORDER OF PRIORITY)
[PRIORITY 1] HALLUCINATION
Condition: Faithfulness &lt; 0.5 AND Answer contains claims not in Top-K sources.
Decision: → Label as: Hallucination
Triggered Rule: [PRIORITY 1] HALLUCINATION
Metrics Summary: Faithfulness: 0.455, Answer contains claims not in Top-K sources.
Evidence: The Answer contains claims not explicitly mentioned in the Top_K_Sources, such as "certain industries may be understudied due to the lack of research into AI applications in supply chains."
Justification: The Answer contains claims not in the Top_K_Sources, and the Faithfulness score is below the threshold.
[NO ERROR]
If NONE of above:
Decision: → Label as: Correct Answer
### STEP 4 — Output Format (MANDATORY)
For each row, output a structured report:
- Error_Label: Hallucination
- Triggered_Rule: [PRIORITY 1] HALLUCINATION
- Metrics_Summary: Faithfulness: 0.455, Answer contains claims not in Top-K sources.
- Evidence: The Answer contains claims not explicitly mentioned in the Top_K_Sources, such as "certain industries may be understudied due to the lack of research into AI applications in supply chains."
- Justification: The Answer contains claims not in the Top_K_Sources, and the Faithfulness score is below the threshold.</t>
  </si>
  <si>
    <t>### STEP 1 — Extract Query Intent and Aspects
From the Question:
1. Main intent of the query: Evaluate the sufficiency of real-time adaptation mechanisms.
2. Number of explicit aspects: 1 (real-time adaptation mechanisms)
### STEP 2 — Verify Context Grounding
From Top_K_Sources:
1. Key concepts in the Question appear explicitly in Top_K_Sources:
   - Real-time adaptation mechanisms: Yes (appears in Rank #2)
   - Sufficiency: Yes (implied in Rank #2)
2. Count:
   - Number of relevant chunks: 2 (Rank #1, Rank #2)
   - Number of noisy / off-topic chunks: 3 (Rank #3, Rank #4, Rank #5)
3. Determine if any factual claim in the Answer is NOT grounded in Top_K_Sources:
   - The Answer claims that real-time adaptation mechanisms are not explicitly addressed in the provided documents. This claim is grounded in Rank #2.
### STEP 3 — Apply Error Classification Rules (IN ORDER OF PRIORITY)
[PRIORITY 1] HALLUCINATION
Condition: Faithfulness &lt; 0.5 AND Answer contains claims not in Top-K sources.
Decision: → Label as: Hallucination
Justification: The Answer contains claims not present in Top_K_Sources, and Faithfulness is 0.0.
[PRIORITY 2] RETRIEVAL FAILURE
Condition: Context_Recall &lt; 0.5 AND NONE of the Top-K chunks contain core concepts.
Decision: → Label as: Retrieval Failure
Justification: Context_Recall is 0.125, which is less than 0.5, and Rank #1 and Rank #2 contain core concepts.
[PRIORITY 3] CONTEXT NOISE
Condition: Context_Recall &gt;= 0.5 AND Context_Precision &lt; 0.5 AND &gt;50% chunks are irrelevant.
Decision: → Label as: Context Noise
Justification: Context_Recall is less than 0.5, so this condition is not met.
[PRIORITY 4] SEMANTIC DRIFT
Condition: Faithfulness &gt;= 0.5 AND Answer_Relevancy &lt; 0.5 (Correct answer, wrong intent).
Decision: → Label as: Semantic Drift
Justification: Faithfulness is 0.0, so this condition is not met.
[PRIORITY 5] INCOMPLETE ANSWER
Condition: Faithfulness &gt;= 0.5 AND Answer_Relevancy &gt;= 0.5 AND Answer covers only a subset of aspects.
Decision: → Label as: Incomplete Answer
Justification: Faithfulness is 0.0, so this condition is not met.
[NO ERROR]
If NONE of above:
Decision: → Label as: Correct Answer
Justification: The Answer is not classified as any of the above errors.
### STEP 4 — Output Format (MANDATORY)
For each row, output a structured report:
- Error_Label: Hallucination
- Triggered_Rule: PRIORITY 1 HALLUCINATION
- Metrics_Summary: Faithfulness: 0.0, Answer_Relevancy: 0.0, Context_Precision: 0.0, Context_Recall: 0.125
- Evidence: The Answer contains claims not present in Top_K_Sources, and Faithfulness is 0.0.
- Justification: The Answer is classified as Hallucination because it contains claims not present in Top_K_Sources, and Faithfulness is 0.0.</t>
  </si>
  <si>
    <t>### STEP 1 — Extract Query Intent and Aspects
From the Question:
1. Main intent of the query: Identify AI models that fail to generalize across supply chain contexts.
2. Number of explicit aspects: 2 (AI models, supply chain contexts)
### STEP 2 — Verify Context Grounding
From Top_K_Sources:
1. Key concepts in the Question: AI models, supply chain contexts
2. Relevant chunks:
   - Rank #2: "the majority of ai approaches explored in this context afford little to no explainability"
   - Rank #1: "a proper reference model for their implementation in complex supply chains is still missing"
3. Noisy / off-topic chunks:
   - Rank #3: "intelligent selection of healthcare supply chain mode"
   - Rank #4: "artificial intelligence to support collaboration in the industrial equipment life cycle"
   - Rank #5: "improved commodity supply chain performance through ai and computer vision techniques"
4. Factual claim in the Answer not grounded in Top_K_Sources: None
### STEP 3 — Apply Error Classification Rules (IN ORDER OF PRIORITY)
[PRIORITY 1] HALLUCINATION
Condition: Faithfulness &lt; 0.5 AND Answer contains claims not in Top-K sources.
Decision: → Label as: Hallucination
Triggered Rule: [PRIORITY 1] HALLUCINATION
Metrics_Summary: Faithfulness: 0.4
Evidence: The faithfulness score is below the threshold, and the answer contains claims not explicitly mentioned in the top-K sources.
Justification: The answer contains claims not explicitly mentioned in the top-K sources, and the faithfulness score is below the threshold.
### STEP 4 — Output Format (MANDATORY)
For each row, output a structured report:
- Error_Label: Hallucination
- Triggered_Rule: [PRIORITY 1] HALLUCINATION
- Metrics_Summary: Faithfulness: 0.4
- Evidence: The faithfulness score is below the threshold, and the answer contains claims not explicitly mentioned in the top-K sources.
- Justification: The answer contains claims not explicitly mentioned in the top-K sources, and the faithfulness score is below the threshold.</t>
  </si>
  <si>
    <t>### STEP 1 — Extract Query Intent and Aspects
From the Question:
1. Main intent of the query: Compare machine learning and deep learning approaches in SCRM applications.
2. Number of explicit aspects: 2 (machine learning, deep learning)
### STEP 2 — Verify Context Grounding
From Top_K_Sources:
1. Key concepts in the Question: machine learning, deep learning, SCRM applications
2. Relevant chunks:
   - Rank #1: mentions SCRM applications, machine learning, and deep learning
   - Rank #2: mentions SCRM applications, deep learning, and machine learning
   - Rank #3: mentions machine learning and SCRM applications
   - Rank #4: mentions machine learning and SCRM applications
   - Rank #5: mentions machine learning and SCRM applications
3. Number of relevant chunks: 5
4. Number of noisy / off-topic chunks: 0
5. Factual claims in the Answer:
   - Machine learning algorithms are generally more straightforward and easier to implement.
   - Deep learning algorithms are more complex and require larger datasets to train effectively.
   - Deep learning algorithms are particularly effective in handling image and sequence data.
   - Deep learning algorithms require larger datasets and more computational resources to train effectively.
6. Grounding in Top_K_Sources:
   - Rank #1: mentions SCRM applications, but does not explicitly mention machine learning or deep learning.
   - Rank #2: mentions deep learning, but does not explicitly mention machine learning.
   - Rank #3: mentions machine learning, but does not explicitly mention deep learning.
   - Rank #4: mentions machine learning, but does not explicitly mention deep learning.
   - Rank #5: mentions machine learning, but does not explicitly mention deep learning.
   - Analysis grounded in primary sources: [Chauhdary et al., 2023; Osborne et al., 2022; Srinivasan et al., 2025] mentions machine learning and deep learning.
### STEP 3 — Apply Error Classification Rules (IN ORDER OF PRIORITY)
[PRIORITY 1] HALLUCINATION
Condition: Faithfulness &lt; 0.5 AND Answer contains claims not in Top-K sources.
Decision: → Label as: Hallucination
Justification: Faithfulness is 0.182, which is less than 0.5. The Answer contains claims not explicitly mentioned in Top_K_Sources, such as "Machine learning algorithms are generally more straightforward and easier to implement" and "Deep learning algorithms are more complex and require larger datasets to train effectively".
[PRIORITY 2] RETRIEVAL FAILURE
Condition: Context_Recall &lt; 0.5 AND NONE of the Top-K chunks contain core concepts.
Decision: → Label as: Retrieval Failure
Justification: Context_Recall is 0.0, which is less than 0.5. None of the Top_K_Sources explicitly mention all core concepts (machine learning, deep learning, and SCRM applications).
[PRIORITY 3] CONTEXT NOISE
Condition: Context_Recall &gt;= 0.5 AND Context_Precision &lt; 0.5 AND &gt;50% chunks are irrelevant.
Decision: → Label as: Context Noise
Justification: Context_Recall is 0.0, which is less than 0.5. Context_Precision is 0.589, which is greater than 0.5. However, none of the Top_K_Sources explicitly mention all core concepts (machine learning, deep learning, and SCRM applications).
[PRIORITY 4] SEMANTIC DRIFT
Condition: Faithfulness &gt;= 0.5 AND Answer_Relevancy &lt; 0.5 (Correct answer, wrong intent).
Decision: → Label as: Semantic Drift
Justification: Faithfulness is 0.182, which is less than 0.5. Answer_Relevancy is 0.935, which is greater than 0.5. However, the Answer contains claims not explicitly mentioned in Top_K_Sources.
[PRIORITY 5] INCOMPLETE ANSWER
Condition: Faithfulness &gt;= 0.5 AND Answer_Relevancy &gt;= 0.5 AND Answer covers only a subset of aspects.
Decision: → Label as: Incomplete Answer
Justification: Faithfulness is 0.182, which is less than 0.5. Answer_Relevancy is 0.935, which is greater than 0.5. However, the Answer does not cover all aspects (machine learning, deep learning, and SCRM applications).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0.182, Answer_Relevancy: 0.935, Context_Precision: 0.589, Context_Recall: 0.0
- Evidence: The Answer contains claims not explicitly mentioned in Top_K_Sources.
- Justification: Faithfulness is 0.182, which is less than 0.5. The Answer contains claims not explicitly mentioned in Top_K_Sources.</t>
  </si>
  <si>
    <t>### STEP 1 — Extract Query Intent and Aspects
From the Question:
1. Identify the main intent of the query: **Compare supervised and unsupervised models in SCRM**.
2. Identify the number of explicit aspects: **2** (supervised, unsupervised, SCRM).
### STEP 2 — Verify Context Grounding
From Top_K_Sources:
1. Identify whether each key concept in the Question appears explicitly:
   - **Supervised**: Yes (Rank #2, Rank #3)
   - **Unsupervised**: Yes (Rank #1, Rank #3)
   - **SCRM**: Yes (Rank #1, Rank #2, Rank #3, Rank #5)
2. Count:
   - Number of relevant chunks: **4**
   - Number of noisy / off-topic chunks: **1** (Rank #4, Rank #5)
3. Determine if any factual claim in the Answer is NOT grounded in Top_K_Sources:
   - **No** (Answer is grounded in Top_K_Sources).
### STEP 3 — Apply Error Classification Rules (IN ORDER OF PRIORITY)
[PRIORITY 1] HALLUCINATION
Condition: Faithfulness &lt; 0.5 AND Answer contains claims not in Top-K sources.
Decision: → **Label as: Hallucination** (Faithfulness = 0.0, Answer contains claims not in Top-K sources).
[PRIORITY 2] RETRIEVAL FAILURE
Condition: Context_Recall &lt; 0.5 AND NONE of the Top-K chunks contain core concepts.
Decision: → **Label as: Retrieval Failure** (Context_Recall = 0.0, Top-K chunks contain core concepts).
[PRIORITY 3] CONTEXT NOISE
Condition: Context_Recall &gt;= 0.5 AND Context_Precision &lt; 0.5 AND &gt;50% chunks are irrelevant.
Decision: → **Label as: Context Noise** (Context_Recall = 0.0, Context_Precision = 0.0, &lt;50% chunks are irrelevant).
[PRIORITY 4] SEMANTIC DRIFT
Condition: Faithfulness &gt;= 0.5 AND Answer_Relevancy &lt; 0.5 (Correct answer, wrong intent).
Decision: → **Label as: Semantic Drift** (Faithfulness = 0.0, Answer_Relevancy = 0.0).
[PRIORITY 5] INCOMPLETE ANSWER
Condition: Faithfulness &gt;= 0.5 AND Answer_Relevancy &gt;= 0.5 AND Answer covers only a subset of aspects.
Decision: → **Label as: Incomplete Answer** (Faithfulness = 0.0, Answer_Relevancy = 0.0).
[NO ERROR]
If NONE of above:
Decision: → **Label as: Correct Answer**.
### STEP 4 — Output Format (MANDATORY)
For each row, output a structured report:
- **Error_Label**: Hallucination
- **Triggered_Rule**: PRIORITY 1 - HALLUCINATION
- **Metrics_Summary**: Faithfulness: 0.0, Answer_Relevancy: 0.0, Context_Precision: 0.0, Context_Recall: 0.0
- **Evidence**: Answer contains claims not in Top-K sources.
- **Justification**: Rule-based explanation: The answer contains claims not in Top-K sources, and faithfulness is 0.0, which indicates a hallucination error.</t>
  </si>
  <si>
    <t>### STEP 1 — Extract Query Intent and Aspects
From the Question:
1. Main intent: Compare centralized and decentralized AI architectures for supply chain resilience.
2. Number of explicit aspects: 2 (centralized, decentralized AI architectures)
### STEP 2 — Verify Context Grounding
From Top_K_Sources:
1. Key concepts in the Question appear explicitly in Top_K_Sources.
2. Count:
   - Number of relevant chunks: 4
   - Number of noisy / off-topic chunks: 0
3. Determine if any factual claim in the Answer is NOT grounded in Top_K_Sources:
   - The Answer contains claims about decentralized AI architectures being more suitable for supply chain resilience, which is supported by Top_K_Sources.
### STEP 3 — Apply Error Classification Rules (IN ORDER OF PRIORITY)
[PRIORITY 1] HALLUCINATION
Condition: Faithfulness &lt; 0.5 AND Answer contains claims not in Top-K sources.
Decision: → Label as: Hallucination
Justification: Faithfulness is 0.071, which is less than 0.5. The Answer contains claims about decentralized AI architectures being more suitable for supply chain resilience, which is supported by Top_K_Sources.
[PRIORITY 2] RETRIEVAL FAILURE
Condition: Context_Recall &lt; 0.5 AND NONE of the Top-K chunks contain core concepts.
Decision: → Label as: Retrieval Failure
Justification: Context_Recall is 1.0, which is greater than or equal to 0.5. The Top_K_Sources contain core concepts related to the Question.
[PRIORITY 3] CONTEXT NOISE
Condition: Context_Recall &gt;= 0.5 AND Context_Precision &lt; 0.5 AND &gt;50% chunks are irrelevant.
Decision: → Label as: Context Noise
Justification: Context_Precision is 1.0, which is greater than or equal to 0.5. The Top_K_Sources are relevant to the Question.
[PRIORITY 4] SEMANTIC DRIFT
Condition: Faithfulness &gt;= 0.5 AND Answer_Relevancy &lt; 0.5 (Correct answer, wrong intent).
Decision: → Label as: Semantic Drift
Justification: Faithfulness is 0.071, which is less than 0.5. Answer_Relevancy is 0.658, which is greater than or equal to 0.5.
[PRIORITY 5] INCOMPLETE ANSWER
Condition: Faithfulness &gt;= 0.5 AND Answer_Relevancy &gt;= 0.5 AND Answer covers only a subset of aspects.
Decision: → Label as: Incomplete Answer
Justification: Faithfulness is 0.071, which is less than 0.5.
[NO ERROR]
If NONE of above:
Decision: → Label as: Correct Answer
Justification: The Answer is not classified as any of the above error types.
### STEP 4 — Output Format (MANDATORY)
For each row, output a structured report:
- Error_Label: Hallucination
- Triggered_Rule: PRIORITY 1 HALLUCINATION
- Metrics_Summary: Faithfulness: 0.071, Answer_Relevancy: 0.658, Context_Precision: 1.0, Context_Recall: 1.0
- Evidence: The Answer contains claims about decentralized AI architectures being more suitable for supply chain resilience, which is supported by Top_K_Sources.
- Justification: Faithfulness is 0.071, which is less than 0.5. The Answer contains claims not in Top_K_Sources.</t>
  </si>
  <si>
    <t>### STEP 1 — Extract Query Intent and Aspects
From the Question:
1. Identify the main intent of the query: **Comparative analysis** of AI approaches in manufacturing and service supply chains.
2. Identify the number of explicit aspects: **2** (manufacturing and service supply chains).
### STEP 2 — Verify Context Grounding
From Top_K_Sources:
1. Identify whether each key concept in the Question appears explicitly:
   - **Manufacturing supply chain**: Yes (Rank #1, Rank #4)
   - **Service supply chain**: Yes (Rank #2)
   - **AI approaches**: Yes (Rank #1, Rank #2)
2. Count:
   - Number of relevant chunks: **4** (Rank #1, Rank #2, Rank #4, Rank #5)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0.0, Answer contains claims not in Top-K sources)
[PRIORITY 2] RETRIEVAL FAILURE
Condition: Context_Recall &lt; 0.5 AND NONE of the Top-K chunks contain core concepts.
Decision: → **Label as: Retrieval Failure** (Context_Recall = 0.0, Top-K chunks contain core concepts)
[PRIORITY 3] CONTEXT NOISE
Condition: Context_Recall &gt;= 0.5 AND Context_Precision &lt; 0.5 AND &gt;50% chunks are irrelevant.
Decision: → **Label as: Context Noise** (Context_Recall = 0.0, Context_Precision = 0.887, &lt;50% chunks are irrelevant)
[PRIORITY 4] SEMANTIC DRIFT
Condition: Faithfulness &gt;= 0.5 AND Answer_Relevancy &lt; 0.5 (Correct answer, wrong intent).
Decision: → **Label as: Semantic Drift** (Faithfulness = 0.0, Answer_Relevancy = 1.0)
[PRIORITY 5] INCOMPLETE ANSWER
Condition: Faithfulness &gt;= 0.5 AND Answer_Relevancy &gt;= 0.5 AND Answer covers only a subset of aspects.
Decision: → **Label as: Incomplete Answer** (Faithfulness = 0.0, Answer_Relevancy = 1.0, Answer covers all aspects)
[NO ERROR]
If NONE of above:
Decision: → **Label as: Correct Answer**
### Output Format (MANDATORY)
For each row, output a structured report:
- **Error_Label**: Hallucination
- **Triggered_Rule**: PRIORITY 1 - HALLUCINATION
- **Metrics_Summary**: Faithfulness: 0.0, Answer_Relevancy: 1.0, Context_Precision: 0.887, Context_Recall: 0.0
- **Evidence**: Answer contains claims not in Top-K sources.
- **Justification**: Rule-based explanation: The answer contains claims not in Top-K sources, indicating a hallucination error.</t>
  </si>
  <si>
    <t>### STEP 1 — Extract Query Intent and Aspects
From the Question:
1. Identify the main intent of the query: **Compare AI methods before and after major global disruptions.**
2. Identify the number of explicit aspects: **2** (AI methods, major global disruptions)
### STEP 2 — Verify Context Grounding
From Top_K_Sources:
1. Identify whether each key concept in the Question appears explicitly:
   - **AI methods**: Yes (Rank #1, Rank #2, Rank #5)
   - **major global disruptions**: Yes (Rank #1, Rank #2, Rank #3, Rank #4, Rank #5)
2. Count:
   - Number of relevant chunks: **5**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0.158 &lt; 0.5 AND Answer contains claims not in Top-K sources)
[PRIORITY 2] RETRIEVAL FAILURE
Condition: Context_Recall &lt; 0.5 AND NONE of the Top-K chunks contain core concepts.
Decision: → **Label as: Retrieval Failure** (Context_Recall = 1.0 &gt;= 0.5, so this condition is not met)
[PRIORITY 3] CONTEXT NOISE
Condition: Context_Recall &gt;= 0.5 AND Context_Precision &lt; 0.5 AND &gt;50% chunks are irrelevant.
Decision: → **Label as: Context Noise** (Context_Recall = 1.0 &gt;= 0.5, Context_Precision = 0.756 &gt;= 0.5, and only 1 chunk is irrelevant, so this condition is not met)
[PRIORITY 4] SEMANTIC DRIFT
Condition: Faithfulness &gt;= 0.5 AND Answer_Relevancy &lt; 0.5 (Correct answer, wrong intent).
Decision: → **Label as: Semantic Drift** (Faithfulness = 0.158 &lt; 0.5, so this condition is not met)
[PRIORITY 5] INCOMPLETE ANSWER
Condition: Faithfulness &gt;= 0.5 AND Answer_Relevancy &gt;= 0.5 AND Answer covers only a subset of aspects.
Decision: → **Label as: Incomplete Answer** (Faithfulness = 0.158 &lt; 0.5, so this condition is not met)
[NO ERROR]
If NONE of above:
Decision: → **Label as: Correct Answer** (no error conditions met)
### STEP 4 — Output Format (MANDATORY)
For each row, output a structured report:
- **Error_Label**: Hallucination
- **Triggered_Rule**: PRIORITY 1 - HALLUCINATION
- **Metrics_Summary**: Faithfulness: 0.158, Answer_Relevancy: 0.45, Context_Precision: 0.756, Context_Recall: 1.0
- **Evidence**: Answer contains claims not in Top-K sources.
- **Justification**: Rule-based explanation: The faithfulness score is below the threshold, and the answer contains claims not supported by the Top-K sources, indicating a hallucination error.</t>
  </si>
  <si>
    <t>### STEP 1 — Extract Query Intent and Aspects
From the Question:
1. Main intent of the query: Identify time horizons evaluated in resilience prediction studies.
2. Number of explicit aspects: 1 (time horizons)
### STEP 2 — Verify Context Grounding
From Top_K_Sources:
1. Key concepts in the Question: time horizons, resilience prediction studies
2. Relevant chunks:
   - Rank #1: mentions arbitrary periods of time, which is related to time horizons
   - Rank #2: mentions time steps, which is related to time horizons
   - Rank #3: mentions frost events, which is related to time horizons
   - Rank #4: mentions back-to-school periods, which is related to time horizons
   - Rank #5: mentions time series demand forecasting, which is related to time horizons
3. Noisy/off-topic chunks: None
4. Factual claims in the Answer not grounded in Top_K_Sources: None
### STEP 3 — Apply Error Classification Rules (IN ORDER OF PRIORITY)
[PRIORITY 1] HALLUCINATION
Condition: Faithfulness &lt; 0.5 AND Answer contains claims not in Top-K sources.
Decision: → Faithfulness is 0.385, which is less than 0.5. However, the Answer contains claims not in Top-K sources (e.g., "short-term, medium-term, and long-term predictions"). Therefore, → Label as: Hallucination
[PRIORITY 2] RETRIEVAL FAILURE
Condition: Context_Recall &lt; 0.5 AND NONE of the Top-K chunks contain core concepts.
Decision: → Context_Recall is 0.0, which is less than 0.5. However, the Top-K chunks contain core concepts (time horizons). Therefore, → Not applicable
[PRIORITY 3] CONTEXT NOISE
Condition: Context_Recall &gt;= 0.5 AND Context_Precision &lt; 0.5 AND &gt;50% chunks are irrelevant.
Decision: → Context_Recall is 0.0, which is less than 0.5. Therefore, → Not applicable
[PRIORITY 4] SEMANTIC DRIFT
Condition: Faithfulness &gt;= 0.5 AND Answer_Relevancy &lt; 0.5 (Correct answer, wrong intent).
Decision: → Faithfulness is 0.385, which is less than 0.5. Therefore, → Not applicable
[PRIORITY 5] INCOMPLETE ANSWER
Condition: Faithfulness &gt;= 0.5 AND Answer_Relevancy &gt;= 0.5 AND Answer covers only a subset of aspects.
Decision: → Faithfulness is 0.385, which is less than 0.5. Therefore, → Not applicable
[NO ERROR]
If NONE of above:
Decision: → Not applicable
### STEP 4 — Output Format (MANDATORY)
For each row, output a structured report:
- Error_Label: Hallucination
- Triggered_Rule: PRIORITY 1 - HALLUCINATION
- Metrics_Summary: Faithfulness: 0.385, Answer_Relevancy: 0.467, Context_Precision: 0.0, Context_Recall: 0.0
- Evidence: The Answer contains claims not in Top-K sources (e.g., "short-term, medium-term, and long-term predictions").
- Justification: The Answer contains claims not in Top-K sources, and Faithfulness is less than 0.5, which triggers the HALLUCINATION rule.</t>
  </si>
  <si>
    <t>### STEP 1 — Extract Query Intent and Aspects
From the Question:
1. Main intent of the query: Identify improvements reported after AI integration.
2. Number of explicit aspects: 1 (AI integration)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Faithfulness is 0.25, which is less than 0.5. The Answer contains claims not explicitly mentioned in Top_K_Sources, such as "enhance the attractiveness of green advertisements" and "optimize supply chain efficiency". These claims are not supported by the provided Top_K_Sources.
[PRIORITY 2] RETRIEVAL FAILURE
Condition: Context_Recall &lt; 0.5 AND NONE of the Top-K chunks contain core concepts.
Decision: → Label as: Retrieval Failure
Justification: Context_Recall is 1.0, which is greater than or equal to 0.5. However, the core concept of "improvements reported after AI integration" is not explicitly mentioned in any of the Top_K_Sources.
[PRIORITY 3] CONTEXT NOISE
Condition: Context_Recall &gt;= 0.5 AND Context_Precision &lt; 0.5 AND &gt;50% chunks are irrelevant.
Decision: → Label as: Context Noise
Justification: Context_Recall is 1.0, which is greater than or equal to 0.5. However, Context_Precision is 1.0, which is greater than 0.5. Also, more than 50% of the chunks are relevant.
[PRIORITY 4] SEMANTIC DRIFT
Condition: Faithfulness &gt;= 0.5 AND Answer_Relevancy &lt; 0.5 (Correct answer, wrong intent).
Decision: → Label as: Semantic Drift
Justification: Faithfulness is 0.25, which is less than 0.5. Answer_Relevancy is 0.705, which is greater than 0.5.
[PRIORITY 5] INCOMPLETE ANSWER
Condition: Faithfulness &gt;= 0.5 AND Answer_Relevancy &gt;= 0.5 AND Answer covers only a subset of aspects.
Decision: → Label as: Incomplete Answer
Justification: Faithfulness is 0.25, which is less than 0.5.
[NO ERROR]
If NONE of above:
Decision: → Label as: Correct Answer
### STEP 4 — Output Format (MANDATORY)
For each row, output a structured report:
- Error_Label: Hallucination
- Triggered_Rule: PRIORITY 1 - HALLUCINATION
- Metrics_Summary: Faithfulness: 0.25, Answer_Relevancy: 0.705, Context_Precision: 1.0, Context_Recall: 1.0
- Evidence: The Answer contains claims not explicitly mentioned in Top_K_Sources, such as "enhance the attractiveness of green advertisements" and "optimize supply chain efficiency".
- Justification: Faithfulness is 0.25, which is less than 0.5. The Answer contains claims not supported by the provided Top_K_Sources.</t>
  </si>
  <si>
    <t>### STEP 1 — Extract Query Intent and Aspects
From the Question:
1. Main intent of the query: Identify risk categories empirically addressed by AI models.
2. Number of explicit aspects: 1 (risk categories)
### STEP 2 — Verify Context Grounding
From Top_K_Sources:
1. Key concepts in the Question: risk categories, AI models
2. Relevant chunks:
   - Rank #1: mentions security threats and defense mechanisms for AI systems
   - Rank #2: mentions supply chain attacks and runtime attacks on AI systems
   - Rank #4: mentions AI assurance approaches and categories of harms
3. Noisy/off-topic chunks:
   - Rank #3: mentions safety analysis in collaborative robotics (not directly related to risk categories)
   - Rank #5: mentions predictive analytics for supply chain risk mitigation (not directly related to risk categories)
4. Factual claims in the Answer:
   - AI models empirically address two broad categories of risk: deployment harms and individual harms
   - Deployment harms emerge at or after the point of use, as mentioned in Doc [4] by Thomas et al. [1]
   - Individual harms directly impact a person as an individual, also discussed in Doc [4] by Thomas et al. [1]
5. Grounding in Top_K_Sources:
   - Deployment harms and individual harms are mentioned in Rank #1 and Rank #4, which are relevant chunks.
### STEP 3 — Apply Error Classification Rules (IN ORDER OF PRIORITY)
[PRIORITY 1] HALLUCINATION
Condition: Faithfulness &lt; 0.5 AND Answer contains claims not in Top-K sources.
Decision: → Faithfulness is 0.375, which is less than 0.5. The Answer contains claims not in Top-K sources (e.g., "deployment harms emerge at or after the point of use" is not mentioned in any of the Top_K_Sources). → Label as: Hallucination
[PRIORITY 2] RETRIEVAL FAILURE
Condition: Context_Recall &lt; 0.5 AND NONE of the Top-K chunks contain core concepts.
Decision: → Context_Recall is 1.0, which is greater than or equal to 0.5. → Skip this rule.
[PRIORITY 3] CONTEXT NOISE
Condition: Context_Recall &gt;= 0.5 AND Context_Precision &lt; 0.5 AND &gt;50% chunks are irrelevant.
Decision: → Context_Recall is 1.0, which is greater than or equal to 0.5. → Context_Precision is 0.25, which is less than 0.5. → More than 50% chunks (3 out of 5) are not directly related to risk categories. → Label as: Context Noise
[PRIORITY 4] SEMANTIC DRIFT
Condition: Faithfulness &gt;= 0.5 AND Answer_Relevancy &lt; 0.5 (Correct answer, wrong intent).
Decision: → Faithfulness is 0.375, which is less than 0.5. → Skip this rule.
[PRIORITY 5] INCOMPLETE ANSWER
Condition: Faithfulness &gt;= 0.5 AND Answer_Relevancy &gt;= 0.5 AND Answer covers only a subset of aspects.
Decision: → Faithfulness is 0.375, which is less than 0.5. → Skip this rule.
[NO ERROR]
If NONE of above:
Decision: → Skip this rule.
### STEP 4 — Output Format (MANDATORY)
For each row, output a structured report:
- Error_Label: Hallucination
- Triggered_Rule: PRIORITY 1 HALLUCINATION
- Metrics_Summary: Faithfulness: 0.375, Context_Recall: 1.0, Context_Precision: 0.25
- Evidence: The Answer contains claims not in Top-K sources, and Faithfulness is less than 0.5.
- Justification: The STRICT rules indicate that the error is a Hallucination, as the Answer contains claims not in Top-K sources and Faithfulness is less than 0.5.</t>
  </si>
  <si>
    <t>### STEP 1 — Extract Query Intent and Aspects
From the Question:
1. Main intent of the query: Identify empirically validated data modalities.
2. Number of explicit aspects: 1 (data modalities)
### STEP 2 — Verify Context Grounding
From Top_K_Sources:
1. Key concepts in the Question: empirically validated, data modalities
2. Relevant chunks:
   - Rank #1: techniques ahp and dea are the most used techniques pairwise comparisons and the fuzzy set theory are the dominant approaches to deal with uncertainty
   - Rank #2: only explore missing data scenarios in retail holistically
   - Rank #3: develop the theoretical model and further examine the relationships
   - Rank #4: literature on where and how bda has been applied within the scm context
   - Rank #5: and behaviors is captured only as statistical uncertainty
3. Number of relevant chunks: 5
4. Number of noisy / off-topic chunks: 0
5. Factual claim in the Answer: The data modalities empirically validated are not explicitly mentioned in the provided documents.
6. Grounding: The Answer is not grounded in Top_K_Sources.
### STEP 3 — Apply Error Classification Rules (IN ORDER OF PRIORITY)
[PRIORITY 1] HALLUCINATION
Condition: Faithfulness &lt; 0.5 AND Answer contains claims not in Top-K sources.
Decision: → Label as: Hallucination (Triggered_Rule: P1 - Hallucination)
[PRIORITY 2] RETRIEVAL FAILURE
Condition: Context_Recall &lt; 0.5 AND NONE of the Top-K chunks contain core concepts.
Decision: → Label as: Retrieval Failure (Triggered_Rule: P2 - Retrieval Failure)
[PRIORITY 3] CONTEXT NOISE
Condition: Context_Recall &gt;= 0.5 AND Context_Precision &lt; 0.5 AND &gt;50% chunks are irrelevant.
Decision: → Label as: Context Noise (Triggered_Rule: P3 - Context Noise)
[PRIORITY 4] SEMANTIC DRIFT
Condition: Faithfulness &gt;= 0.5 AND Answer_Relevancy &lt; 0.5 (Correct answer, wrong intent).
Decision: → Label as: Semantic Drift (Triggered_Rule: P4 - Semantic Drift)
[PRIORITY 5] INCOMPLETE ANSWER
Condition: Faithfulness &gt;= 0.5 AND Answer_Relevancy &gt;= 0.5 AND Answer covers only a subset of aspects.
Decision: → Label as: Incomplete Answer (Triggered_Rule: P5 - Incomplete Answer)
[NO ERROR]
If NONE of above:
Decision: → Label as: Correct Answer
### Evaluation
Based on the given metrics and the Answer, the conditions for PRIORITY 1 (HALLUCINATION) are met: Faithfulness (0.938) is greater than 0.5, but the Answer contains claims not in Top-K sources. Therefore, the error is classified as Hallucination.
### Output Format
- Error_Label: Hallucination
- Triggered_Rule: P1 - Hallucination
- Metrics_Summary: Faithfulness: 0.938, Answer_Relevancy: 0.0, Context_Precision: 0.0, Context_Recall: 1.0
- Evidence: The Answer contains claims not in Top_K_Sources.
- Justification: The Answer is not grounded in Top_K_Sources, and the Faithfulness is high, indicating that the model has generated a plausible but incorrect response.</t>
  </si>
  <si>
    <t>### STEP 1 — Extract Query Intent and Aspects
From the Question:
1. Identify the main intent of the query: **Analyzing the impact of machine learning adoption on SCRM research after 2015**
2. Identify the number of explicit aspects: **2** (Machine Learning, SCRM Research)
### STEP 2 — Verify Context Grounding
From Top_K_Sources:
1. Identify whether each key concept in the Question appears explicitly:
   - **Machine Learning**: Yes (Rank #1, Rank #2)
   - **SCRM Research**: Yes (Rank #1, Rank #2)
   - **2015**: Yes (Rank #1, Rank #2)
2. Count:
   - Number of relevant chunks: **2** (Rank #1, Rank #2)
   - Number of noisy / off-topic chunks: **1** (Rank #3)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0.827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0.667, Answer_Relevancy: 0.827, Context_Precision: 1.0, Context_Recall: 1.0
- **Evidence**: All relevant chunks are present in Top_K_Sources, and the Answer covers all aspects.
- **Justification**: The Answer is faithful, relevant, and covers all aspects, making it a Correct Answer.</t>
  </si>
  <si>
    <t>### STEP 1 — Extract Query Intent and Aspects
From the Question:
1. Identify the main intent of the query: **Identify the role of predictive analytics in early supply chain risk mitigation studies.**
2. Identify the number of explicit aspects: **2** (predictive analytics, supply chain risk mitigation)
### STEP 2 — Verify Context Grounding
From Top_K_Sources:
1. Identify whether each key concept in the Question appears explicitly:
   - Predictive analytics: **Yes** (appears in Rank #1 and Rank #2)
   - Supply chain risk mitigation: **Yes** (appears in Rank #1 and Rank #2)
2. Count:
   - Number of relevant chunks: **2** (Rank #1 and Rank #2)
   - Number of noisy / off-topic chunks: **0** (no off-topic chunks)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**Triggered Rule: P1 - Hallucination**
Metrics_Summary: Faithfulness = 0.0, Answer contains claims not in Top-K sources.
Evidence: Faithfulness is 0.0, indicating that the answer is not faithful to the sources.
Justification: The answer contains claims not present in the Top_K_Sources, indicating hallucination.
[NO ERROR]
If NONE of above:
Decision: → **Error_Label: Correct Answer**
Triggered_Rule: N/A
Metrics_Summary: Faithfulness = 0.0, Answer_Relevancy = 1.0, Context_Precision = 1.0, Context_Recall = 1.0
Evidence: Answer_Relevancy is 1.0, indicating that the answer is highly relevant to the question.
Justification: Although faithfulness is 0.0, the answer is highly relevant to the question, and there are no other errors.
### STEP 4 — Output Format (MANDATORY)
For each row, output a structured report:
- **Error_Label:** Hallucination
- **Triggered_Rule:** P1 - Hallucination
- **Metrics_Summary:** Faithfulness = 0.0, Answer contains claims not in Top-K sources.
- **Evidence:** Faithfulness is 0.0, indicating that the answer is not faithful to the sources.
- **Justification:** The answer contains claims not present in the Top_K_Sources, indicating hallucination.</t>
  </si>
  <si>
    <t>### STEP 1 — Extract Query Intent and Aspects
- Main intent of the query: Influence of deep learning on supply chain resilience models
- Number of explicit aspects: 2 (deep learning, supply chain resilience models)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0.619, Answer is grounded in Top_K_Sources)
[PRIORITY 2] RETRIEVAL FAILURE
Condition: Context_Recall &lt; 0.5 AND NONE of the Top-K chunks contain core concepts.
Decision: → NOT Label as: Retrieval Failure (Context_Recall = 1.0, Top_K_Sources contain core concepts)
[PRIORITY 3] CONTEXT NOISE
Condition: Context_Recall &gt;= 0.5 AND Context_Precision &lt; 0.5 AND &gt;50% chunks are irrelevant.
Decision: → NOT Label as: Context Noise (Context_Precision = 0.833, &gt;50% chunks are relevant)
[PRIORITY 4] SEMANTIC DRIFT
Condition: Faithfulness &gt;= 0.5 AND Answer_Relevancy &lt; 0.5 (Correct answer, wrong intent).
Decision: → NOT Label as: Semantic Drift (Answer_Relevancy = 0.913, Answer is relevant to the query)
[PRIORITY 5] INCOMPLETE ANSWER
Condition: Faithfulness &gt;= 0.5 AND Answer_Relevancy &gt;= 0.5 AND Answer covers only a subset of aspects.
Decision: → NOT Label as: Incomplete Answer (Answer covers all aspects mentioned in the query)
[NO ERROR]
If NONE of above:
Decision: → Label as: Correct Answer
### STEP 4 — Output Format (MANDATORY)
- Error_Label: Correct Answer
- Triggered_Rule: [NO ERROR]
- Metrics_Summary: Faithfulness: 0.619, Answer_Relevancy: 0.913, Context_Precision: 0.833, Context_Recall: 1.0
- Evidence: All conditions for error classification rules are not met.
- Justification: The answer is relevant, faithful, and covers all aspects of the query, indicating a correct answer.</t>
  </si>
  <si>
    <t>### STEP 1 — Extract Query Intent and Aspects
From the Question:
1. Identify the main intent of the query: The main intent of the query is to understand the shift from reactive to proactive risk management.
2. Identify the number of explicit aspects: There are 2 explicit aspects: "reactive risk management" and "proactive risk management".
### STEP 2 — Verify Context Grounding
From Top_K_Sources:
1. Identify whether each key concept in the Question appears explicitly:
   - "reactive risk management" is mentioned in the Top_K_Sources (Rank #1).
   - "proactive risk management" is mentioned in the Top_K_Sources (Rank #1).
2. Count:
   - Number of relevant chunks: 3 (Rank #1, Rank #2, and Rank #3).
   - Number of noisy / off-topic chunks: 0.
3. Determine if any factual claim in the Answer is NOT grounded in Top_K_Sources:
   - The Answer is grounded in the Top_K_Sources, specifically in the concept of risk identification and proactive risk management.
### STEP 3 — Apply Error Classification Rules (IN ORDER OF PRIORITY)
[PRIORITY 1] HALLUCINATION
Condition: Faithfulness &lt; 0.5 AND Answer contains claims not in Top-K sources.
Decision: → NOT APPLICABLE (Faithfulness = 0.692, which is greater than 0.5)
[PRIORITY 2] RETRIEVAL FAILURE
Condition: Context_Recall &lt; 0.5 AND NONE of the Top-K chunks contain core concepts.
Decision: → NOT APPLICABLE (Context_Recall = 1.0, which is greater than 0.5)
[PRIORITY 3] CONTEXT NOISE
Condition: Context_Recall &gt;= 0.5 AND Context_Precision &lt; 0.5 AND &gt;50% chunks are irrelevant.
Decision: → NOT APPLICABLE (Context_Precision = 0.833, which is greater than 0.5)
[PRIORITY 4] SEMANTIC DRIFT
Condition: Faithfulness &gt;= 0.5 AND Answer_Relevancy &lt; 0.5 (Correct answer, wrong intent).
Decision: → NOT APPLICABLE (Answer_Relevancy = 0.894, which is greater than 0.5)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NOT APPLICABLE
- Metrics_Summary: Faithfulness = 0.692, Answer_Relevancy = 0.894, Context_Precision = 0.833, Context_Recall = 1.0
- Evidence: The Answer is grounded in the Top_K_Sources, and all aspects mentioned in the question are covered.
- Justification: The Answer is correct, and none of the error classification rules are triggered.</t>
  </si>
  <si>
    <t>### STEP 1 — Extract Query Intent and Aspects
From the Question:
1. Main intent: Identify trends showing the integration of real-time data and AI in SCRM.
2. Number of explicit aspects: 2 (real-time data, AI)
### STEP 2 — Verify Context Grounding
From Top_K_Sources:
1. Key concepts in the Question appear explicitly in Top_K_Sources:
   - Real-time data: Present in Rank #2
   - AI: Present in Rank #1 and #2
2. Count:
   - Number of relevant chunks: 3
   - Number of noisy / off-topic chunks: 0
3. Determine if any factual claim in the Answer is NOT grounded in Top_K_Sources:
   - The Answer mentions "digitalization", "metaverse technologies", "digital twin", "extended reality", which are present in Top_K_Sources.
### STEP 3 — Apply Error Classification Rules (IN ORDER OF PRIORITY)
[PRIORITY 1] HALLUCINATION
Condition: Faithfulness &lt; 0.5 AND Answer contains claims not in Top-K sources.
Decision: → NOT APPLICABLE (Faithfulness = 0.643)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0.583)
[PRIORITY 4] SEMANTIC DRIFT
Condition: Faithfulness &gt;= 0.5 AND Answer_Relevancy &lt; 0.5 (Correct answer, wrong intent).
Decision: → NOT APPLICABLE (Answer_Relevancy = 0.883)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0.643, Answer_Relevancy: 0.883, Context_Precision: 0.583, Context_Recall: 1.0
- Evidence: The Answer is relevant and covers all aspects of the question, with a high faithfulness score.
- Justification: The Answer is grounded in the Top_K_Sources and does not contain any hallucinations or retrieval failures.</t>
  </si>
  <si>
    <t>### STEP 1 — Extract Query Intent and Aspects
From the Question:
1. Main intent of the query: **Evolvement of simulation-based AI models**
2. Number of explicit aspects: **1**
### STEP 2 — Verify Context Grounding
From Top_K_Sources:
1. Key concepts in the Question: **simulation-based AI models, evolvement**
   - Rank #1: **Grounded** (contains relevant chunk)
   - Rank #2: **Not Grounded** (contains off-topic chunk)
   - Rank #3: **Grounded** (contains relevant chunk)
2. Count:
   - Number of relevant chunks: **2**
   - Number of noisy / off-topic chunks: **1**
3. Determine if any factual claim in the Answer is NOT grounded in Top_K_Sources:
   - Answer contains claims from Ivanov (2025), which is grounded in Rank #3.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0.333, but not &gt;50% chunks are irrelevant)
[PRIORITY 4] SEMANTIC DRIFT
Condition: Faithfulness &gt;= 0.5 AND Answer_Relevancy &lt; 0.5 (Correct answer, wrong intent).
Decision: → **NOT APPLICABLE** (Answer_Relevancy = 0.771)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 ERROR]**
- Metrics_Summary: **Faithfulness: 1.0, Answer_Relevancy: 0.771, Context_Precision: 0.333, Context_Recall: 1.0**
- Evidence: **All conditions for error classification are not met.**
- Justification: **The answer is faithful, relevant, and covers all aspects of the question.**</t>
  </si>
  <si>
    <t>### STEP 1 — Extract Query Intent and Aspects
From the Question:
1. Main intent of the query: Identify historical trends in data sources used for AI-based SCRM.
2. Number of explicit aspects: 2 (historical trends, data sources, AI-based SCRM)
### STEP 2 — Verify Context Grounding
From Top_K_Sources:
1. Key concepts in the Question: historical trends, data sources, AI-based SCRM
2. Relevant chunks:
   - Rank #2: mentions traditional techniques, surveys, case studies, and statistical tools, which are relevant to the query.
   - Rank #3: mentions classical statistical methods and AI methods for demand forecasting, which are relevant to the query.
3. Noisy / off-topic chunks:
   - Rank #1: mentions large-scale group decision making and the macromicro model, which are not directly related to the query.
4. Factual claim in the Answer not grounded in Top_K_Sources: None
### STEP 3 — Apply Error Classification Rules (IN ORDER OF PRIORITY)
[PRIORITY 1] HALLUCINATION
Condition: Faithfulness &lt; 0.5 AND Answer contains claims not in Top-K sources.
Decision: → Not applicable (Faithfulness = 0.778)
[PRIORITY 2] RETRIEVAL FAILURE
Condition: Context_Recall &lt; 0.5 AND NONE of the Top-K chunks contain core concepts.
Decision: → Not applicable (Context_Recall = 0.0, but Rank #2 and Rank #3 contain relevant chunks)
[PRIORITY 3] CONTEXT NOISE
Condition: Context_Recall &gt;= 0.5 AND Context_Precision &lt; 0.5 AND &gt;50% chunks are irrelevant.
Decision: → Not applicable (Context_Recall = 0.0, Context_Precision = 0.583)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0.778, Answer_Relevancy = 1.0, Context_Precision = 0.583, Context_Recall = 0.0
- Evidence: Relevant chunks in Top_K_Sources (Rank #2 and Rank #3) support the Answer.
- Justification: The Answer is faithful to the Top_K_Sources and covers all aspects of the query, making it a Correct Answer.</t>
  </si>
  <si>
    <t>### STEP 1 — Extract Query Intent and Aspects
From the Question:
1. Identify the main intent of the query: **Identify trends indicating the convergence of AI and digital twins.**
2. Identify the number of explicit aspects: **2 (AI, digital twins)**
### STEP 2 — Verify Context Grounding
From Top_K_Sources:
1. Identify whether each key concept in the Question appears explicitly:
   - **AI**: Yes (appears in Rank #1 and Rank #3)
   - **Digital twins**: Yes (appears in Rank #1 and Rank #3)
   - **Convergence**: Yes (implied in Rank #1 and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0.99, Context_Precision: 1.0, Context_Recall: 0.8
- **Evidence**: All relevant chunks are present in Top_K_Sources, and the answer is faithful and relevant.
- **Justification**: The answer is a correct and complete response to the question, with all aspects covered and no errors detected.</t>
  </si>
  <si>
    <t>### STEP 1 — Extract Query Intent and Aspects
From the Question:
1. Main intent of the query: **Incorporation of sustainability into AI-based resilience models**
2. Number of explicit aspects: **3** (agility, resilience, sustainability)
### STEP 2 — Verify Context Grounding
From Top_K_Sources:
1. Key concepts in the Question appear explicitly in Top_K_Sources:
   - **Sustainability**: appears in Rank #1
   - **AI-based resilience models**: appears in Rank #1 and #2
   - **Supply chain**: appears in Rank #1 and #3
2. Count:
   - Number of relevant chunks: **3** (Rank #1, #2, #3)
   - Number of noisy / off-topic chunks: **0**
3. Determine if any factual claim in the Answer is NOT grounded in Top_K_Sources:
   - The Answer mentions **Doc [1]**, **Doc [3]**, and **Doc [2]**, which are all present in Top_K_Sources.
### STEP 3 — Apply Error Classification Rules (IN ORDER OF PRIORITY)
[PRIORITY 1] HALLUCINATION
Condition: Faithfulness &lt; 0.5 AND Answer contains claims not in Top-K sources.
Decision: → **NOT APPLICABLE** (Faithfulness = 0.706)
[PRIORITY 2] RETRIEVAL FAILURE
Condition: Context_Recall &lt; 0.5 AND NONE of the Top-K chunks contain core concepts.
Decision: → **NOT APPLICABLE** (Context_Recall = 0.0, but Context_Precision = 0.0, which is not sufficient to trigger this rule)
[PRIORITY 3] CONTEXT NOISE
Condition: Context_Recall &gt;= 0.5 AND Context_Precision &lt; 0.5 AND &gt;50% chunks are irrelevant.
Decision: → **NOT APPLICABLE** (Context_Recall = 0.0, which does not meet the condition)
[PRIORITY 4] SEMANTIC DRIFT
Condition: Faithfulness &gt;= 0.5 AND Answer_Relevancy &lt; 0.5 (Correct answer, wrong intent).
Decision: → **NOT APPLICABLE** (Answer_Relevancy = 0.788, which meets the condition, but the intent is correct)
[PRIORITY 5] INCOMPLETE ANSWER
Condition: Faithfulness &gt;= 0.5 AND Answer_Relevancy &gt;= 0.5 AND Answer covers only a subset of aspects.
Decision: → **NOT APPLICABLE** (Answer covers all 3 aspects, so it is not incomplete)
[NO ERROR]
If NONE of above:
Decision: → **Correct Answer**
### STEP 4 — Output Format (MANDATORY)
For each row, output a structured report:
- **Error_Label**: Correct Answer
- **Triggered_Rule**: N/A
- **Metrics_Summary**: Faithfulness: 0.706, Answer_Relevancy: 0.788, Context_Precision: 0.0, Context_Recall: 0.0
- **Evidence**: The Answer is faithful and relevant, and covers all 3 aspects of the query.
- **Justification**: The query intent and aspects are correctly identified, and the Answer is grounded in Top_K_Sources.</t>
  </si>
  <si>
    <t>### STEP 1 — Extract Query Intent and Aspects
From the Question:
1. Main intent of the query: Identify emerging trends defining the current era of AI for supply chain resilience.
2. Number of explicit aspects: 2 (AI, supply chain resilience)
### STEP 2 — Verify Context Grounding
From Top_K_Sources:
1. Key concepts in the Question appear explicitly in Top_K_Sources:
   - "current era of AI" is related to Rank #3 (enterprise artificial intelligence)
   - "supply chain resilience" is related to Rank #1 (agrifood supply chain network design) and Rank #3 (enterprise artificial intelligence)
2. Count:
   - Number of relevant chunks: 3
   - Number of noisy / off-topic chunks: 0
3. Determine if any factual claim in the Answer is NOT grounded in Top_K_Sources:
   - The Answer mentions "integration of analytics applications" which is related to Rank #2 (analytics applications in fashion supply chain management)
   - The Answer mentions "digital technologies" which is related to Rank #1 (agrifood supply chain network design)
### STEP 3 — Apply Error Classification Rules (IN ORDER OF PRIORITY)
[PRIORITY 1] HALLUCINATION
Condition: Faithfulness &lt; 0.5 AND Answer contains claims not in Top-K sources.
Decision: → Label as: Hallucination (Faithfulness = 0.5, so this condition is not met)
[PRIORITY 2] RETRIEVAL FAILURE
Condition: Context_Recall &lt; 0.5 AND NONE of the Top-K chunks contain core concepts.
Decision: → Label as: Retrieval Failure (Context_Recall = 1.0, so this condition is not met)
[PRIORITY 3] CONTEXT NOISE
Condition: Context_Recall &gt;= 0.5 AND Context_Precision &lt; 0.5 AND &gt;50% chunks are irrelevant.
Decision: → Label as: Context Noise (Context_Precision = 0.833, which is greater than 0.5, so this condition is not met)
[PRIORITY 4] SEMANTIC DRIFT
Condition: Faithfulness &gt;= 0.5 AND Answer_Relevancy &lt; 0.5 (Correct answer, wrong intent).
Decision: → Label as: Semantic Drift (Answer_Relevancy = 0.994, which is greater than 0.5, so this condition is not met)
[PRIORITY 5] INCOMPLETE ANSWER
Condition: Faithfulness &gt;= 0.5 AND Answer_Relevancy &gt;= 0.5 AND Answer covers only a subset of aspects.
Decision: → Label as: Incomplete Answer (Faithfulness = 0.5, so this condition is not met)
[NO ERROR]
If NONE of above:
Decision: → Label as: Correct Answer
### STEP 4 — Output Format (MANDATORY)
For each row, output a structured report:
- Error_Label: Correct Answer
- Triggered_Rule: N/A
- Metrics_Summary: Faithfulness: 0.5, Answer_Relevancy: 0.994, Context_Precision: 0.833, Context_Recall: 1.0
- Evidence: The Answer is relevant and covers all aspects of the question.
- Justification: The Answer is faithful to the Top_K_Sources and covers all aspects of the question, so it is classified as a Correct Answer.</t>
  </si>
  <si>
    <t>### STEP 1 — Extract Query Intent and Aspects
- Main intent of the query: Identify underexplored aspects of supply chain risk in current AI research.
- Number of explicit aspects: 2 (explainability and security)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0.833, which is greater than 0.5)
[PRIORITY 2] RETRIEVAL FAILURE
Condition: Context_Recall &lt; 0.5 AND NONE of the Top-K chunks contain core concepts.
Decision: → NOT Label as: Retrieval Failure (Context_Recall = 1.0,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0.987, which is greater than 0.5)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 Error_Label: Correct Answer
- Triggered_Rule: N/A
- Metrics_Summary: Faithfulness = 0.833, Answer_Relevancy = 0.987, Context_Precision = 1.0, Context_Recall = 1.0
- Evidence: All relevant chunks are present in Top_K_Sources, and the answer is relevant and faithful to the question.
- Justification: The answer is a correct and complete response to the question, with all relevant aspects covered and no errors in faithfulness or relevance.</t>
  </si>
  <si>
    <t>### STEP 1 — Extract Query Intent and Aspects
From the Question:
1. Main intent of the query: Identify geographic regions underrepresented in AI-based SCRM research.
2. Number of explicit aspects: 2 (geographic regions, AI-based SCRM research)
### STEP 2 — Verify Context Grounding
From Top_K_Sources:
1. Key concepts in the Question: geographic regions, AI-based SCRM research
2. Relevant chunks:
   - Rank #1: literature on where and how bda has been applied within the scm context (relevant)
   - Rank #2: supply chain risk management and artificial intelligence state of the art and future research directions (partially relevant)
   - Rank #3: aiaugmented hrm literature review and a proposed multilevel framework for future research (partially relevant)
3. Number of relevant chunks: 3
4. Number of noisy / off-topic chunks: 0
5. Factual claim in the Answer: certain geographic regions are underrepresented in AI-based SCRM research
6. Grounding in Top_K_Sources: The Answer is grounded in Top_K_Sources, specifically in Rank #1 and Rank #3.
### STEP 3 — Apply Error Classification Rules (IN ORDER OF PRIORITY)
[PRIORITY 1] HALLUCINATION
Condition: Faithfulness &lt; 0.5 AND Answer contains claims not in Top-K sources.
Decision: → Faithfulness is 0.333, which is less than 0.5. However, the Answer is grounded in Top_K_Sources. Therefore, this condition is not met.
[PRIORITY 2] RETRIEVAL FAILURE
Condition: Context_Recall &lt; 0.5 AND NONE of the Top-K chunks contain core concepts.
Decision: → Context_Recall is 0.75, which is greater than 0.5. Therefore, this condition is not met.
[PRIORITY 3] CONTEXT NOISE
Condition: Context_Recall &gt;= 0.5 AND Context_Precision &lt; 0.5 AND &gt;50% chunks are irrelevant.
Decision: → Context_Recall is 0.75, which is greater than or equal to 0.5. However, Context_Precision is 0.833, which is greater than 0.5. Therefore, this condition is not met.
[PRIORITY 4] SEMANTIC DRIFT
Condition: Faithfulness &gt;= 0.5 AND Answer_Relevancy &lt; 0.5 (Correct answer, wrong intent).
Decision: → Faithfulness is 0.333, which is less than 0.5. Therefore, this condition is not met.
[PRIORITY 5] INCOMPLETE ANSWER
Condition: Faithfulness &gt;= 0.5 AND Answer_Relevancy &gt;= 0.5 AND Answer covers only a subset of aspects.
Decision: → Faithfulness is 0.333,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0.333, Answer_Relevancy: 0.744, Context_Precision: 0.833, Context_Recall: 0.75
- Evidence: The Answer is grounded in Top_K_Sources, and the Context_Recall is greater than 0.5.
- Justification: The Answer is classified as Correct Answer because none of the error classification rules are triggered.</t>
  </si>
  <si>
    <t>### STEP 1 — Extract Query Intent and Aspects
From the Question:
1. Main intent of the query: Identify supply chain stages that receive little attention in AI models.
2. Number of explicit aspects: 1 (supply chain stages)
### STEP 2 — Verify Context Grounding
From Top_K_Sources:
1. Key concepts in the Question: supply chain, AI models, stages
2. Relevant chunks:
   - Rank #1: mentions AI in supply chain research, explainability, and adoption
   - Rank #2: mentions dynamic supply chain processes, complexity, and AI applications
   - Rank #3: mentions AI technology, operational efficiency, and production costs
3. Noisy/off-topic chunks: None
4. Factual claims in the Answer: 
   - Supply chain stages receive little attention in AI models
   - Interest demands of multistakeholders are often overlooked
   - Traditional service supplier selection methods rarely consider interest demands of multistakeholders
5. Grounding in Top_K_Sources: 
   - Rank #1: mentions explainability and adoption of AI in supply chains
   - Rank #2: mentions dynamic supply chain processes and AI applications
   - Rank #3: mentions AI technology and operational efficiency
### STEP 3 — Apply Error Classification Rules (IN ORDER OF PRIORITY)
[PRIORITY 1] HALLUCINATION
Condition: Faithfulness &lt; 0.5 AND Answer contains claims not in Top-K sources.
Decision: → NOT Label as: Hallucination (Faithfulness = 0.692, claims in Answer are grounded in Top_K_Sources)
[PRIORITY 2] RETRIEVAL FAILURE
Condition: Context_Recall &lt; 0.5 AND NONE of the Top-K chunks contain core concepts.
Decision: → NOT Label as: Retrieval Failure (Context_Recall = 0.75, Top_K_Sources contain relevant chunks)
[PRIORITY 3] CONTEXT NOISE
Condition: Context_Recall &gt;= 0.5 AND Context_Precision &lt; 0.5 AND &gt;50% chunks are irrelevant.
Decision: → NOT Label as: Context Noise (Context_Precision = 0.833, &gt;50% chunks are relevant)
[PRIORITY 4] SEMANTIC DRIFT
Condition: Faithfulness &gt;= 0.5 AND Answer_Relevancy &lt; 0.5 (Correct answer, wrong intent).
Decision: → NOT Label as: Semantic Drift (Answer_Relevancy = 0.979, Answer is highly relevant)
[PRIORITY 5] INCOMPLETE ANSWER
Condition: Faithfulness &gt;= 0.5 AND Answer_Relevancy &gt;= 0.5 AND Answer covers only a subset of aspects.
Decision: → NOT Label as: Incomplete Answer (Answer covers the main intent and aspects of the query)
[NO ERROR]
If NONE of above:
Decision: → Label as: Correct Answer
### STEP 4 — Output Format (MANDATORY)
For each row, output a structured report:
- Error_Label: Correct Answer
- Triggered_Rule: N/A
- Metrics_Summary: Faithfulness: 0.692, Answer_Relevancy: 0.979, Context_Precision: 0.833, Context_Recall: 0.75
- Evidence: Top_K_Sources contain relevant chunks, Answer is highly relevant and faithful
- Justification: None of the error classification rules were triggered, therefore the answer is classified as Correct Answer.</t>
  </si>
  <si>
    <t>### STEP 1 — Extract Query Intent and Aspects
- Main intent of the query: Identify risks not captured by current AI frameworks.
- Number of explicit aspects: 1 (risks not captured by current AI frameworks)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and Context_Recall = 1.0)
[PRIORITY 4] SEMANTIC DRIFT
Condition: Faithfulness &gt;= 0.5 AND Answer_Relevancy &lt; 0.5 (Correct answer, wrong intent).
Decision: → NOT Label as: Semantic Drift (Answer_Relevancy = 0.976)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[NO ERROR]
- Metrics_Summary: Faithfulness = 1.0, Answer_Relevancy = 0.976, Context_Precision = 1.0, Context_Recall = 1.0
- Evidence: All metrics are above the threshold, and the answer is fully grounded in the top-k sources.
- Justification: The answer is correct, and none of the error classification rules are triggered.</t>
  </si>
  <si>
    <t>### STEP 1 — Extract Query Intent and Aspects
From the Question:
1. Main intent of the query: Evaluate the sufficiency of real-time adaptation mechanisms.
2. Number of explicit aspects: 1 (real-time adaptation mechanisms)
### STEP 2 — Verify Context Grounding
From Top_K_Sources:
1. Key concepts in the Question: real-time adaptation mechanisms, sufficiency
2. Relevant chunks:
   - Rank #1: mentions "real-time data" and "weaknesses in existing solutions" but does not explicitly address the sufficiency of real-time adaptation mechanisms.
   - Rank #2: mentions "real-time data" and "weaknesses in existing solutions" and addresses the concept of a self-controlled inbound supply chain, which is related to real-time adaptation mechanisms.
   - Rank #3: mentions "autonomous technology" but is unrelated to real-time adaptation mechanisms.
3. Number of relevant chunks: 2
4. Number of noisy / off-topic chunks: 1
5. Factual claim in the Answer: The answer does not explicitly state whether real-time adaptation mechanisms are sufficiently addressed.
### STEP 3 — Apply Error Classification Rules (IN ORDER OF PRIORITY)
[PRIORITY 1] HALLUCINATION
Condition: Faithfulness &lt; 0.5 AND Answer contains claims not in Top-K sources.
Decision: → Not applicable (Faithfulness = 0.6)
[PRIORITY 2] RETRIEVAL FAILURE
Condition: Context_Recall &lt; 0.5 AND NONE of the Top-K chunks contain core concepts.
Decision: → Not applicable (Context_Recall = 0.0, but Top-K chunks do contain core concepts)
[PRIORITY 3] CONTEXT NOISE
Condition: Context_Recall &gt;= 0.5 AND Context_Precision &lt; 0.5 AND &gt;50% chunks are irrelevant.
Decision: → Not applicable (Context_Recall = 0.0, Context_Precision = 0.0)
[PRIORITY 4] SEMANTIC DRIFT
Condition: Faithfulness &gt;= 0.5 AND Answer_Relevancy &lt; 0.5 (Correct answer, wrong intent).
Decision: → Not applicable (Answer_Relevancy = 0.0)
[PRIORITY 5] INCOMPLETE ANSWER
Condition: Faithfulness &gt;= 0.5 AND Answer_Relevancy &gt;= 0.5 AND Answer covers only a subset of aspects.
Decision: → Not applicable (Answer_Relevancy = 0.0)
[NO ERROR]
If NONE of above:
Decision: → Label as: Correct Answer
### STEP 4 — Output Format (MANDATORY)
For each row, output a structured report:
- Error_Label: Correct Answer
- Triggered_Rule: Not Applicable
- Metrics_Summary: Faithfulness = 0.6, Answer_Relevancy = 0.0, Context_Precision = 0.0, Context_Recall = 0.0
- Evidence: Top-K sources do not explicitly address the sufficiency of real-time adaptation mechanisms.
- Justification: The answer does not explicitly state whether real-time adaptation mechanisms are sufficiently addressed, but the faithfulness metric is above the threshold, and the answer is not completely irrelevant.</t>
  </si>
  <si>
    <t>### STEP 1 — Extract Query Intent and Aspects
From the Question:
1. Main intent of the query: Identify the main intent of the query.
   - The main intent is to discuss the underexplored areas in AI-based SCRM.
2. Number of explicit aspects: Identify the number of explicit aspects.
   - The explicit aspects are: ethical issues, governance issues, and AI-based SCRM.
### STEP 2 — Verify Context Grounding
From Top_K_Sources:
1. Key concepts in the Question appear explicitly:
   - Yes, the key concepts appear explicitly in the Top_K_Sources.
2. Count:
   - Number of relevant chunks: 3
   - Number of noisy / off-topic chunks: 0
3. Factual claims in the Answer are grounded in Top_K_Sources:
   - Yes, the factual claims in the Answer are grounded in Top_K_Sources.
### STEP 3 — Apply Error Classification Rules (IN ORDER OF PRIORITY)
[PRIORITY 1] HALLUCINATION
Condition: Faithfulness &lt; 0.5 AND Answer contains claims not in Top-K sources.
Decision: → Not applicable, Faithfulness is 0.857.
[PRIORITY 2] RETRIEVAL FAILURE
Condition: Context_Recall &lt; 0.5 AND NONE of the Top-K chunks contain core concepts.
Decision: → Not applicable, Context_Recall is 0.857.
[PRIORITY 3] CONTEXT NOISE
Condition: Context_Recall &gt;= 0.5 AND Context_Precision &lt; 0.5 AND &gt;50% chunks are irrelevant.
Decision: → Not applicable, Context_Precision is 1.0.
[PRIORITY 4] SEMANTIC DRIFT
Condition: Faithfulness &gt;= 0.5 AND Answer_Relevancy &lt; 0.5 (Correct answer, wrong intent).
Decision: → Not applicable, Answer_Relevancy is 0.888.
[PRIORITY 5] INCOMPLETE ANSWER
Condition: Faithfulness &gt;= 0.5 AND Answer_Relevancy &gt;= 0.5 AND Answer covers only a subset of aspects.
Decision: → Not applicable, the Answer covers all the aspects mentioned in the Question.
[NO ERROR]
If NONE of above:
Decision: → Label as: Correct Answer
### STEP 4 — Output Format (MANDATORY)
For each row, output a structured report:
- Error_Label: Correct Answer
- Triggered_Rule: Not Applicable
- Metrics_Summary: Faithfulness: 0.857, Answer_Relevancy: 0.888, Context_Precision: 1.0, Context_Recall: 0.857
- Evidence: The Answer is grounded in Top_K_Sources and covers all the aspects mentioned in the Question.
- Justification: The Answer is correct based on the STRICT rules.</t>
  </si>
  <si>
    <t>### STEP 1 — Extract Query Intent and Aspects
From the Question:
1. Main intent of the query: Identify the utilization of multimodal data sources.
2. Number of explicit aspects: 1 (multimodal data sources)
### STEP 2 — Verify Context Grounding
From Top_K_Sources:
1. Key concepts in the Question appear explicitly:
   - Multimodal data sources: Yes (appears in Rank #2 and Rank #3)
   - Utilization: Yes (implied in Rank #2 and Rank #3)
2. Count:
   - Number of relevant chunks: 2 (Rank #2 and Rank #3)
   - Number of noisy / off-topic chunks: 1 (Rank #1)
3. Determine if any factual claim in the Answer is NOT grounded in Top_K_Sources:
   - The Answer mentions "poor multimodal data fusion" and "critical drawbacks in combining these modalities", which is supported by Rank #2.
### STEP 3 — Apply Error Classification Rules (IN ORDER OF PRIORITY)
[PRIORITY 1] HALLUCINATION
Condition: Faithfulness &lt; 0.5 AND Answer contains claims not in Top-K sources.
Decision: → NOT Label as: Hallucination (Faithfulness = 0.636, claims in Answer are supported by Top_K_Sources)
[PRIORITY 2] RETRIEVAL FAILURE
Condition: Context_Recall &lt; 0.5 AND NONE of the Top-K chunks contain core concepts.
Decision: → NOT Label as: Retrieval Failure (Context_Recall = 1.0, Rank #2 and Rank #3 contain core concepts)
[PRIORITY 3] CONTEXT NOISE
Condition: Context_Recall &gt;= 0.5 AND Context_Precision &lt; 0.5 AND &gt;50% chunks are irrelevant.
Decision: → NOT Label as: Context Noise (Context_Precision = 1.0, Context_Recall = 1.0, only 1 chunk is irrelevant)
[PRIORITY 4] SEMANTIC DRIFT
Condition: Faithfulness &gt;= 0.5 AND Answer_Relevancy &lt; 0.5 (Correct answer, wrong intent).
Decision: → NOT Label as: Semantic Drift (Answer_Relevancy = 0.727, the Answer is relevant to the query intent)
[PRIORITY 5] INCOMPLETE ANSWER
Condition: Faithfulness &gt;= 0.5 AND Answer_Relevancy &gt;= 0.5 AND Answer covers only a subset of aspects.
Decision: → NOT Label as: Incomplete Answer (the Answer covers the main intent and aspects of the query)
[NO ERROR]
If NONE of above:
Decision: → Label as: Correct Answer
### STEP 4 — Output Format (MANDATORY)
For each row, output a structured report:
- Error_Label: Correct Answer
- Triggered_Rule: NOT Labelled (all rules failed)
- Metrics_Summary: Faithfulness = 0.636, Answer_Relevancy = 0.727, Context_Precision = 1.0, Context_Recall = 1.0
- Evidence: The Answer is supported by Top_K_Sources, and the metrics indicate a high level of faithfulness and relevance.
- Justification: The query intent and aspects are correctly identified, and the Answer is relevant and faithful to the Top_K_Sources.</t>
  </si>
  <si>
    <t>### STEP 1 — Extract Query Intent and Aspects
From the Question:
1. Identify the main intent of the query: **Compare AI models used for disruption prediction versus resilience optimization.**
2. Identify the number of explicit aspects: **2** (disruption prediction, resilience optimization)
### STEP 2 — Verify Context Grounding
From Top_K_Sources:
1. Identify whether each key concept in the Question appears explicitly:
   - Disruption prediction: **Yes** (Rank #2, Rank #1)
   - Resilience optimization: **Yes** (Rank #2, Rank #3)
2. Count:
   - Number of relevant chunks: **2** (Rank #1, Rank #2)
   - Number of noisy / off-topic chunks: **1** (Rank #3)
3. Determine if any factual claim in the Answer is NOT grounded in Top_K_Sources:
   - The Answer mentions "big data, AI, and high-level architecture (HLA) federated simulations" which is present in Rank #2.
   - The Answer mentions "deep reinforcement learning (DRL)" which is present in Rank #3.
   - The Answer mentions "construction industry" which is present in Rank #2.
   - The Answer mentions "competitive footwear industry supply chain" which is present in Rank #3.
   - The Answer mentions "stochastic environments" which is not explicitly mentioned in any of the Top_K_Sources.
   - The Answer mentions "collaboration among competing companies" which is not explicitly mentioned in any of the Top_K_Sources.
### STEP 3 — Apply Error Classification Rules (IN ORDER OF PRIORITY)
[PRIORITY 1] HALLUCINATION
Condition: Faithfulness &lt; 0.5 AND Answer contains claims not in Top-K sources.
Decision: → **Label as: Hallucination** (Faithfulness = 0.667 &gt; 0.5, so this rule is not triggered)
[PRIORITY 2] RETRIEVAL FAILURE
Condition: Context_Recall &lt; 0.5 AND NONE of the Top-K chunks contain core concepts.
Decision: → **Label as: Retrieval Failure** (Context_Recall = 1.0 &gt; 0.5, so this rule is not triggered)
[PRIORITY 3] CONTEXT NOISE
Condition: Context_Recall &gt;= 0.5 AND Context_Precision &lt; 0.5 AND &gt;50% chunks are irrelevant.
Decision: → **Label as: Context Noise** (Context_Precision = 0.583 &gt; 0.5, so this rule is not triggered)
[PRIORITY 4] SEMANTIC DRIFT
Condition: Faithfulness &gt;= 0.5 AND Answer_Relevancy &lt; 0.5 (Correct answer, wrong intent).
Decision: → **Label as: Semantic Drift** (Faithfulness = 0.667 &gt; 0.5 and Answer_Relevancy = 0.693 &gt; 0.5, so this rule is not triggered)
[PRIORITY 5] INCOMPLETE ANSWER
Condition: Faithfulness &gt;= 0.5 AND Answer_Relevancy &gt;= 0.5 AND Answer covers only a subset of aspects.
Decision: → **Label as: Incomplete Answer** (Faithfulness = 0.667 &gt; 0.5 and Answer_Relevancy = 0.693 &gt; 0.5, but the Answer covers all aspects, so this rule is not triggered)
[NO ERROR]
If NONE of above:
Decision: → **Label as: Correct Answer**
### STEP 4 — Output Format (MANDATORY)
For each row, output a structured report:
- **Error_Label:** Correct Answer
- **Triggered_Rule:** N/A
- **Metrics_Summary:** Faithfulness: 0.667, Answer_Relevancy: 0.693, Context_Precision: 0.583, Context_Recall: 1.0
- **Evidence:** The Answer is faithful to the Top_K_Sources and covers all aspects of the question.
- **Justification:** The Answer is a correct and complete response to the question, with no errors or inaccuracies.</t>
  </si>
  <si>
    <t>### STEP 1 — Extract Query Intent and Aspects
From the Question:
1. Main intent of the query: Compare rule-based systems and data-driven AI in risk management.
2. Number of explicit aspects: 2 (rule-based systems, data-driven AI)
### STEP 2 — Verify Context Grounding
From Top_K_Sources:
1. Key concepts in the Question appear explicitly in Top_K_Sources:
   - "rule-based systems"
   - "data-driven AI"
   - "risk management"
2. Count:
   - Number of relevant chunks: 3
   - Number of noisy / off-topic chunks: 0
3. Determine if any factual claim in the Answer is NOT grounded in Top_K_Sources:
   - The Answer discusses the differences between rule-based systems and data-driven AI, which is supported by the Top_K_Sources.
### STEP 3 — Apply Error Classification Rules (IN ORDER OF PRIORITY)
[PRIORITY 1] HALLUCINATION
Condition: Faithfulness &lt; 0.5 AND Answer contains claims not in Top-K sources.
Decision: → NOT Label as: Hallucination (Faithfulness = 0.909, which is greater than 0.5)
[PRIORITY 2] RETRIEVAL FAILURE
Condition: Context_Recall &lt; 0.5 AND NONE of the Top-K chunks contain core concepts.
Decision: → NOT Label as: Retrieval Failure (Context_Recall = 0.125, which is less than 0.5, but the Top_K_Sources contain relevant chunks)
[PRIORITY 3] CONTEXT NOISE
Condition: Context_Recall &gt;= 0.5 AND Context_Precision &lt; 0.5 AND &gt;50% chunks are irrelevant.
Decision: → NOT Label as: Context Noise (Context_Recall = 0.125, which is less than 0.5, so the condition is not met)
[PRIORITY 4] SEMANTIC DRIFT
Condition: Faithfulness &gt;= 0.5 AND Answer_Relevancy &lt; 0.5 (Correct answer, wrong intent).
Decision: → NOT Label as: Semantic Drift (Answer_Relevancy = 0.911, which is greater than 0.5)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For each row, output a structured report:
- Error_Label: Correct Answer
- Triggered_Rule: N/A
- Metrics_Summary: Faithfulness = 0.909, Answer_Relevancy = 0.911, Context_Recall = 0.125, Context_Precision = 0.0
- Evidence: The Answer is relevant and faithful to the question, and the Top_K_Sources contain relevant chunks.
- Justification: The Answer correctly compares rule-based systems and data-driven AI in risk management, and the Top_K_Sources support the Answer's claims.</t>
  </si>
  <si>
    <t>### STEP 1 — Extract Query Intent and Aspects
From the Question:
1. Main intent: Compare AI approaches for short-term versus long-term supply chain resilience.
2. Number of explicit aspects: 2 (short-term, long-term)
### STEP 2 — Verify Context Grounding
From Top_K_Sources:
1. Key concepts in the Question appear explicitly in Top_K_Sources:
   - "AI approaches"
   - "short-term versus long-term supply chain resilience"
   - "digital resilience"
   - "AI-driven practices"
   - "sustainable supply chain performance"
2. Count:
   - Number of relevant chunks: 3
   - Number of noisy / off-topic chunks: 0
3. Determine if any factual claim in the Answer is NOT grounded in Top_K_Sources:
   - The Answer contains claims not in Top_K_Sources, but they are related to the main concepts.
### STEP 3 — Apply Error Classification Rules (IN ORDER OF PRIORITY)
[PRIORITY 1] HALLUCINATION
Condition: Faithfulness &lt; 0.5 AND Answer contains claims not in Top-K sources.
Decision: → Label as: Hallucination (Faithfulness = 0.533 &gt; 0.5, so this rule is not triggered)
[PRIORITY 2] RETRIEVAL FAILURE
Condition: Context_Recall &lt; 0.5 AND NONE of the Top-K chunks contain core concepts.
Decision: → Label as: Retrieval Failure (Context_Recall = 0.571 &gt; 0.5, so this rule is not triggered)
[PRIORITY 3] CONTEXT NOISE
Condition: Context_Recall &gt;= 0.5 AND Context_Precision &lt; 0.5 AND &gt;50% chunks are irrelevant.
Decision: → Label as: Context Noise (Context_Precision = 1.0 &gt; 0.5, so this rule is not triggered)
[PRIORITY 4] SEMANTIC DRIFT
Condition: Faithfulness &gt;= 0.5 AND Answer_Relevancy &lt; 0.5 (Correct answer, wrong intent).
Decision: → Label as: Semantic Drift (Answer_Relevancy = 0.859 &gt; 0.5, so this rule is not triggered)
[PRIORITY 5] INCOMPLETE ANSWER
Condition: Faithfulness &gt;= 0.5 AND Answer_Relevancy &gt;= 0.5 AND Answer covers only a subset of aspects.
Decision: → Label as: Incomplete Answer (Faithfulness = 0.533 &gt; 0.5, Answer_Relevancy = 0.859 &gt; 0.5, but the Answer covers all aspects, so this rule is not triggered)
[NO ERROR]
If NONE of above:
Decision: → Label as: Correct Answer
### STEP 4 — Output Format (MANDATORY)
For each row, output a structured report:
- Error_Label: Correct Answer
- Triggered_Rule: None
- Metrics_Summary: Faithfulness = 0.533, Answer_Relevancy = 0.859, Context_Precision = 1.0, Context_Recall = 0.571
- Evidence: The Answer contains relevant information and covers all aspects of the question.
- Justification: The Answer is faithful to the Top_K_Sources and relevant to the question, so it is classified as a Correct Answer.</t>
  </si>
  <si>
    <t>### STEP 1 — Extract Query Intent and Aspects
From the Question:
1. Identify the main intent of the query: Compare centralized and decentralized AI architectures for supply chain resilience.
2. Identify the number of explicit aspects: 2 (centralized and decentralized AI architectures, supply chain resilience)
### STEP 2 — Verify Context Grounding
From Top_K_Sources:
1. Identify whether each key concept in the Question appears explicitly:
   - Centralized AI architecture: Yes (Rank #1)
   - Decentralized AI architecture: Yes (Rank #2)
   - Supply chain resilience: Yes (Rank #1)
2. Count:
   - Number of relevant chunks: 3
   - Number of noisy / off-topic chunks: 0
3. Determine if any factual claim in the Answer is NOT grounded in Top_K_Sources:
   - Answer contains claims not in Top-K sources: No
### STEP 3 — Apply Error Classification Rules (IN ORDER OF PRIORITY)
[PRIORITY 1] HALLUCINATION
Condition: Faithfulness &lt; 0.5 AND Answer contains claims not in Top-K sources.
Decision: → Not applicable (Faithfulness &gt;= 0.5)
[PRIORITY 2] RETRIEVAL FAILURE
Condition: Context_Recall &lt; 0.5 AND NONE of the Top-K chunks contain core concepts.
Decision: → Not applicable (Context_Recall &gt;= 0.5)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0.571, Answer_Relevancy: 0.801, Context_Precision: 1.0, Context_Recall: 0.667
- Evidence: Answer covers all aspects and is grounded in Top_K_Sources.
- Justification: The answer is faithful, relevant, and covers all aspects of the query, with no evidence of hallucination, retrieval failure, context noise, semantic drift, or incomplete answer.</t>
  </si>
  <si>
    <t>### STEP 1 — Extract Query Intent and Aspects
From the Question:
1. Identify the main intent of the query: Compare explainable AI models and black-box models in SCRM.
2. Identify the number of explicit aspects: 2 (explainable AI models, black-box models)
### STEP 2 — Verify Context Grounding
From Top_K_Sources:
1. Identify whether each key concept in the Question appears explicitly:
   - Explainable AI models: Yes (Rank #1, Rank #3)
   - Black-box models: Yes (Rank #2)
   - SCRM: Yes (Rank #1, Rank #2)
2. Count:
   - Number of relevant chunks: 3
   - Number of noisy / off-topic chunks: 0
3. Determine if any factual claim in the Answer is NOT grounded in Top_K_Sources:
   - The Answer mentions "Intelligent Random Forest Model (IRFM)" and "Reinforcement Learning (RL)", which are both present in Top_K_Sources.
### STEP 3 — Apply Error Classification Rules (IN ORDER OF PRIORITY)
[PRIORITY 1] HALLUCINATION
Condition: Faithfulness &lt; 0.5 AND Answer contains claims not in Top-K sources.
Decision: → NOT Label as: Hallucination (Faithfulness = 0.889, Answer is grounded in Top_K_Sources)
[PRIORITY 2] RETRIEVAL FAILURE
Condition: Context_Recall &lt; 0.5 AND NONE of the Top-K chunks contain core concepts.
Decision: → NOT Label as: Retrieval Failure (Context_Recall = 1.0, Top_K_Sources contain core concepts)
[PRIORITY 3] CONTEXT NOISE
Condition: Context_Recall &gt;= 0.5 AND Context_Precision &lt; 0.5 AND &gt;50% chunks are irrelevant.
Decision: → NOT Label as: Context Noise (Context_Precision = 0.5, which is not less than 0.5, and there are no irrelevant chunks)
[PRIORITY 4] SEMANTIC DRIFT
Condition: Faithfulness &gt;= 0.5 AND Answer_Relevancy &lt; 0.5 (Correct answer, wrong intent).
Decision: → NOT Label as: Semantic Drift (Answer_Relevancy = 0.708, which is greater than or equal to 0.5)
[PRIORITY 5] INCOMPLETE ANSWER
Condition: Faithfulness &gt;= 0.5 AND Answer_Relevancy &gt;= 0.5 AND Answer covers only a subset of aspects.
Decision: → NOT Label as: Incomplete Answer (Answer covers all aspects of the question)
[NO ERROR]
If NONE of above:
Decision: → Label as: Correct Answer
### STEP 4 — Output Format (MANDATORY)
For each row, output a structured report:
- Error_Label: Correct Answer
- Triggered_Rule: NOT Labelled
- Metrics_Summary: Faithfulness: 0.889, Answer_Relevancy: 0.708, Context_Precision: 0.5, Context_Recall: 1.0
- Evidence: Top_K_Sources contain relevant chunks, Answer is grounded in Top_K_Sources.
- Justification: None of the error classification rules were triggered, therefore the answer is classified as Correct Answer.</t>
  </si>
  <si>
    <t>### STEP 1 — Extract Query Intent and Aspects
From the Question:
1. Main intent of the query: Compare AI approaches across manufacturing and service supply chains.
2. Number of explicit aspects: 2 (manufacturing and service supply chains)
### STEP 2 — Verify Context Grounding
From Top_K_Sources:
1. Key concepts in the Question appear explicitly in Top_K_Sources:
   - "AI approaches"
   - "manufacturing supply chains"
   - "service supply chains"
2. Count:
   - Number of relevant chunks: 3
   - Number of noisy / off-topic chunks: 0
3. Determine if any factual claim in the Answer is NOT grounded in Top_K_Sources:
   - Answer is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1.0, Answer_Relevancy: 1.0, Context_Precision: 1.0, Context_Recall: 1.0
- Evidence: Answer is grounded in Top_K_Sources and covers all aspects.
- Justification: All error classification rules are not applicable due to high faithfulness, answer relevancy, context precision, and context recall values.</t>
  </si>
  <si>
    <t>### STEP 1 — Extract Query Intent and Aspects
- Main intent of the query: Compare AI-driven risk detection and risk mitigation frameworks.
- Number of explicit aspects: 2 (risk detection and risk mitigation)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0.923)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0.583, which is &gt;= 0.5)
[PRIORITY 4] SEMANTIC DRIFT
Condition: Faithfulness &gt;= 0.5 AND Answer_Relevancy &lt; 0.5 (Correct answer, wrong intent).
Decision: → NOT Label as: Semantic Drift (Answer_Relevancy = 0.681, which is &gt;= 0.5)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N/A
- Metrics_Summary: Faithfulness: 0.923, Answer_Relevancy: 0.681, Context_Precision: 0.583, Context_Recall: 1.0
- Evidence: All relevant chunks are present in Top_K_Sources, and the Answer is faithful and relevant.
- Justification: The Answer is a correct and complete response to the query, with all aspects covered and no errors detected.</t>
  </si>
  <si>
    <t>### STEP 1 — Extract Query Intent and Aspects
From the Question:
1. Main intent of the query: Compare hybrid AI models with single-technique approaches.
2. Number of explicit aspects: 2 (hybrid AI models, single-technique approaches)
### STEP 2 — Verify Context Grounding
From Top_K_Sources:
1. Key concepts in the Question appear explicitly in Top_K_Sources:
   - "hybrid AI models" appears in Rank #2
   - "single-technique approaches" appears in Rank #2
2. Count:
   - Number of relevant chunks: 2
   - Number of noisy / off-topic chunks: 1 (Rank #1 is not directly related to the question)
3. Determine if any factual claim in the Answer is NOT grounded in Top_K_Sources:
   - The study by Keskin and Taskin in 2024 is mentioned in Rank #2, so it is grounded.
### STEP 3 — Apply Error Classification Rules (IN ORDER OF PRIORITY)
[PRIORITY 1] HALLUCINATION
Condition: Faithfulness &lt; 0.5 AND Answer contains claims not in Top-K sources.
Decision: → NOT APPLICABLE (Faithfulness is 0.625, which is greater than 0.5)
[PRIORITY 2] RETRIEVAL FAILURE
Condition: Context_Recall &lt; 0.5 AND NONE of the Top-K chunks contain core concepts.
Decision: → NOT APPLICABLE (Context_Recall is 1.0, which is greater than 0.5)
[PRIORITY 3] CONTEXT NOISE
Condition: Context_Recall &gt;= 0.5 AND Context_Precision &lt; 0.5 AND &gt;50% chunks are irrelevant.
Decision: → NOT APPLICABLE (Context_Precision is 0.5, which is equal to 0.5, and only 1 out of 3 chunks is irrelevant)
[PRIORITY 4] SEMANTIC DRIFT
Condition: Faithfulness &gt;= 0.5 AND Answer_Relevancy &lt; 0.5 (Correct answer, wrong intent).
Decision: → NOT APPLICABLE (Answer_Relevancy is 0.796, which is greater than 0.5)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NOT APPLICABLE
- Metrics_Summary: Faithfulness: 0.625, Answer_Relevancy: 0.796, Context_Precision: 0.5, Context_Recall: 1.0
- Evidence: All conditions for error classification rules are not met.
- Justification: The answer is relevant and faithful to the question, and all aspects are covered.</t>
  </si>
  <si>
    <t>### STEP 1 — Extract Query Intent and Aspects
From the Question:
1. Main intent: Compare static and adaptive AI models for resilience.
2. Number of explicit aspects: 2 (static AI models, adaptive AI models)
### STEP 2 — Verify Context Grounding
From Top_K_Sources:
1. Key concepts in the Question: static AI models, adaptive AI models, resilience
2. Relevant chunks:
   - Rank #1: application of mathematical modeling in supply chain management a review (contains "artificial intelligence ai" and "model responsive")
   - Rank #2: enhancing wheat price forecasting accuracy through prophet based models (contains "structural time series patterns" and "nonlinear market dynamics")
   - Rank #3: generative artificial intelligence in manufacturing applications case studies and future directions for nextgeneration intelligent production systems (contains "generative ai" and "selflearning and pattern recognition capabilities")
3. Noisy / off-topic chunks: None
4. Factual claim in the Answer not grounded in Top_K_Sources: None
### STEP 3 — Apply Error Classification Rules (IN ORDER OF PRIORITY)
[PRIORITY 1] HALLUCINATION
Condition: Faithfulness &lt; 0.5 AND Answer contains claims not in Top-K sources.
Decision: → Faithfulness is 0.462, which is greater than 0.5, so this condition is not met.
[PRIORITY 2] RETRIEVAL FAILURE
Condition: Context_Recall &lt; 0.5 AND NONE of the Top-K chunks contain core concepts.
Decision: → Context_Recall is 1.0, which is greater than 0.5, so this condition is not met.
[PRIORITY 3] CONTEXT NOISE
Condition: Context_Recall &gt;= 0.5 AND Context_Precision &lt; 0.5 AND &gt;50% chunks are irrelevant.
Decision: → Context_Precision is 0.333, which is less than 0.5, but Context_Recall is 1.0, which is greater than 0.5. However, the chunks are relevant, so this condition is not met.
[PRIORITY 4] SEMANTIC DRIFT
Condition: Faithfulness &gt;= 0.5 AND Answer_Relevancy &lt; 0.5 (Correct answer, wrong intent).
Decision: → Faithfulness is 0.462, which is greater than 0.5, and Answer_Relevancy is 0.759, which is greater than 0.5, so this condition is not met.
[PRIORITY 5] INCOMPLETE ANSWER
Condition: Faithfulness &gt;= 0.5 AND Answer_Relevancy &gt;= 0.5 AND Answer covers only a subset of aspects.
Decision: → Faithfulness is 0.462, which is greater than 0.5, and Answer_Relevancy is 0.759, which is greater than 0.5. However, the Answer covers all aspects, so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0.462, Answer_Relevancy: 0.759, Context_Precision: 0.333, Context_Recall: 1.0
- Evidence: The Answer is relevant and covers all aspects of the Question.
- Justification: The Answer is classified as Correct Answer because none of the error conditions are met.</t>
  </si>
  <si>
    <t>### STEP 1 — Extract Query Intent and Aspects
From the Question:
1. Identify the main intent of the query: **Compare** optimization-based and learning-based AI approaches.
2. Identify the number of explicit aspects: **2** (optimization-based, learning-based).
### STEP 2 — Verify Context Grounding
From Top_K_Sources:
1. Identify whether each key concept in the Question appears explicitly:
   - **Optimization-based**: appears in Rank #1 (linear programming and dynamic programming)
   - **Learning-based**: appears in Rank #1 (machine learning and deep learning) and Rank #2 (machine learning and iot applications)
   - **AI**: appears in Rank #1 (artificial intelligence) and Rank #3 (artificial intelligence)
2. Count:
   - Number of relevant chunks: **3** (Rank #1, Rank #2, Rank #3)
   - Number of noisy / off-topic chunks: **0**
3. Determine if any factual claim in the Answer is NOT grounded in Top_K_Sources:
   - The Answer discusses the primary objectives and methodologies of optimization-based and learning-based approaches, which is grounded in Rank #1.
   - The Answer also discusses the ability of optimization-based and learning-based approaches to adapt to changing conditions, which is not explicitly mentioned in Top_K_Sources. However, this is a general concept that can be inferred from the information provided.
### STEP 3 — Apply Error Classification Rules (IN ORDER OF PRIORITY)
[PRIORITY 1] HALLUCINATION
Condition: Faithfulness &lt; 0.5 AND Answer contains claims not in Top-K sources.
Decision: → **NO** (Faithfulness = 0.6, and while the Answer discusses adaptation, it is a general concept that can be inferred from the information provided)
[PRIORITY 2] RETRIEVAL FAILURE
Condition: Context_Recall &lt; 0.5 AND NONE of the Top-K chunks contain core concepts.
Decision: → **NO** (Context_Recall = 0.0, but the Top_K_Sources do contain relevant chunks)
[PRIORITY 3] CONTEXT NOISE
Condition: Context_Recall &gt;= 0.5 AND Context_Precision &lt; 0.5 AND &gt;50% chunks are irrelevant.
Decision: → **NO** (Context_Recall = 0.0, so the condition is not met)
[PRIORITY 4] SEMANTIC DRIFT
Condition: Faithfulness &gt;= 0.5 AND Answer_Relevancy &lt; 0.5 (Correct answer, wrong intent).
Decision: → **NO** (Answer_Relevancy = 0.803, so the condition is not met)
[PRIORITY 5] INCOMPLETE ANSWER
Condition: Faithfulness &gt;= 0.5 AND Answer_Relevancy &gt;= 0.5 AND Answer covers only a subset of aspects.
Decision: → **NO** (Answer covers all aspects, so the condition is not met)
[NO ERROR]
If NONE of above:
Decision: → **Correct Answer**
### STEP 4 — Output Format (MANDATORY)
For each row, output a structured report:
- Error_Label: **Correct Answer**
- Triggered_Rule: **[NO ERROR]**
- Metrics_Summary: Faithfulness = 0.6, Answer_Relevancy = 0.803, Context_Precision = 0.0, Context_Recall = 0.0
- Evidence: The Answer accurately reflects the information provided in Top_K_Sources, and the metrics indicate a high level of faithfulness and answer relevancy.
- Justification: The Answer is correct, and none of the error classification rules were triggered.</t>
  </si>
  <si>
    <t>### STEP 1 — Extract Query Intent and Aspects
From the Question:
1. Identify the main intent of the query.
   - Main intent: Understanding how AI-based resilience outcomes vary across contexts.
2. Identify the number of explicit aspects.
   - Number of explicit aspects: 2 (AI-based resilience outcomes, contexts)
### STEP 2 — Verify Context Grounding
From Top_K_Sources:
1. Identify whether each key concept in the Question appears explicitly.
   - Key concepts: AI, resilience, outcomes, contexts
   - Explicit appearance: Yes, all key concepts appear in Top_K_Sources.
2. Count:
   - Number of relevant chunks: 3
   - Number of noisy / off-topic chunks: 0
3. Determine if any factual claim in the Answer is NOT grounded in Top_K_Sources.
   - Factual claims: All claims are grounded in Top_K_Sources.
### STEP 3 — Apply Error Classification Rules (IN ORDER OF PRIORITY)
[PRIORITY 1] HALLUCINATION
Condition: Faithfulness &lt; 0.5 AND Answer contains claims not in Top-K sources.
Decision: → NOT APPLICABLE (Faithfulness = 0.909)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0.687)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0.909, Answer_Relevancy: 0.687, Context_Precision: 1.0, Context_Recall: 1.0
- Evidence: All key concepts appear in Top_K_Sources, and the Answer is grounded in Top_K_Sources.
- Justification: The Answer is faithful, relevant, and covers all aspects, with perfect context precision and recall.</t>
  </si>
  <si>
    <t>### STEP 1 — Extract Query Intent and Aspects
From the Question:
1. Main intent: Identify empirical improvements of AI on supply chain resilience.
2. Number of explicit aspects: 2 (empirical improvements, supply chain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1.0, Context_Precision: 1.0, Context_Recall: 0.833
- Evidence: All metrics are above the threshold, and the answer is fully grounded in the top-k sources.
- Justification: The answer is a correct and complete response to the question, with all aspects covered and no hallucinations or retrieval failures.</t>
  </si>
  <si>
    <t>### STEP 1 — Extract Query Intent and Aspects
- Main intent of the query: Identify AI models with high predictive performance.
- Number of explicit aspects: 1 (predictive performance)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0.615, which is greater than 0.5)
[PRIORITY 2] RETRIEVAL FAILURE
Condition: Context_Recall &lt; 0.5 AND NONE of the Top-K chunks contain core concepts.
Decision: → NOT Label as: Retrieval Failure (Context_Recall = 0.8,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0.998, which is greater than 0.5)
[PRIORITY 5] INCOMPLETE ANSWER
Condition: Faithfulness &gt;= 0.5 AND Answer_Relevancy &gt;= 0.5 AND Answer covers only a subset of aspects.
Decision: → NOT Label as: Incomplete Answer (Answer covers all aspects of predictive performance)
[NO ERROR]
If NONE of above:
Decision: → Label as: Correct Answer
### STEP 4 — Output Format (MANDATORY)
- Error_Label: Correct Answer
- Triggered_Rule: [NO ERROR]
- Metrics_Summary: Faithfulness = 0.615, Answer_Relevancy = 0.998, Context_Precision = 1.0, Context_Recall = 0.8
- Evidence: All conditions for error classification are not met.
- Justification: The answer is faithful, relevant, and covers all aspects of the query, indicating a correct answer.</t>
  </si>
  <si>
    <t>### STEP 1 — Extract Query Intent and Aspects
From the Question:
1. Main intent: Identify real-world case studies supporting AI-driven resilience.
2. Number of explicit aspects: 2 (AI-driven resilience, real-world case studies)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0.667)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0.333, but it's not &lt; 0.5)
[PRIORITY 4] SEMANTIC DRIFT
Condition: Faithfulness &gt;= 0.5 AND Answer_Relevancy &lt; 0.5 (Correct answer, wrong intent).
Decision: → Not applicable (Answer_Relevancy = 0.588, which is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0.667, Answer_Relevancy: 0.588, Context_Precision: 0.333, Context_Recall: 1.0
- Evidence: All conditions for error classification rules are not met.
- Justification: The answer is faithful and relevant, and all aspects are covered, so it is classified as a Correct Answer.</t>
  </si>
  <si>
    <t>### STEP 1 — Extract Query Intent and Aspects
From the Question:
1. Main intent: Identify risk categories empirically addressed by AI models.
2. Number of explicit aspects: 1 (risk categories)
### STEP 2 — Verify Context Grounding
From Top_K_Sources:
1. Key concepts in the Question appear explicitly in Top_K_Sources.
2. Count:
   - Number of relevant chunks: 2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 Answer_Relevancy: 1.0, Context_Precision: 1.0, Context_Recall: 1.0
- Evidence: All metrics are within acceptable ranges.
- Justification: None of the error classification rules were triggered, indicating a correct answer.</t>
  </si>
  <si>
    <t>### STEP 1 — Extract Query Intent and Aspects
From the Question:
1. Main intent of the query: **Evaluating the scalability of AI-based SCRM solutions**
2. Number of explicit aspects: **1** (scalability)
### STEP 2 — Verify Context Grounding
From Top_K_Sources:
1. Key concepts in the Question appear explicitly:
   - **Scalability**: Present in Top_K_Sources (Rank #1, Rank #3)
   - **AI-based SCRM solutions**: Present in Top_K_Sources (Rank #1, Rank #3)
2. Count:
   - Number of relevant chunks: **3** (Rank #1, Rank #2, Rank #3)
   - Number of noisy / off-topic chunks: **0**
3. Determine if any factual claim in the Answer is NOT grounded in Top_K_Sources:
   - The Answer mentions "Doc [3]" which corresponds to Rank #3 in Top_K_Sources.
### STEP 3 — Apply Error Classification Rules (IN ORDER OF PRIORITY)
[PRIORITY 1] HALLUCINATION
Condition: Faithfulness &lt; 0.5 AND Answer contains claims not in Top-K sources.
Decision: → **NOT APPLICABLE** (Faithfulness = 0.778)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0.902)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N/A
- **Metrics_Summary**: Faithfulness: 0.778, Answer_Relevancy: 0.902, Context_Precision: 1.0, Context_Recall: 0.75
- **Evidence**: The Answer is well-grounded in Top_K_Sources, and all aspects are covered.
- **Justification**: The Answer is correct, and all error classification rules are not applicable.</t>
  </si>
  <si>
    <t>### STEP 1 — Extract Query Intent and Aspects
From the Question:
1. Main intent: The query is about the evolution of AI in supply chain risk management over time.
2. Number of explicit aspects: 2 (AI, supply chain risk management)
### STEP 2 — Verify Context Grounding
From Top_K_Sources:
1. Key concepts in the Question appear explicitly in Top_K_Sources:
   - AI: Present in all Top_K_Sources
   - Supply chain risk management: Present in all Top_K_Sources
2. Count:
   - Number of relevant chunks: 4
   - Number of noisy / off-topic chunks: 1 (Rank #3, #4, #5 are related but not directly relevant to the question)
3. Determine if any factual claim in the Answer is NOT grounded in Top_K_Sources:
   - The Answer is grounded in Top_K_Sources, with references to specific studies and authors.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0.867)
[PRIORITY 4] SEMANTIC DRIFT
Condition: Faithfulness &gt;= 0.5 AND Answer_Relevancy &lt; 0.5 (Correct answer, wrong intent).
Decision: → NOT APPLICABLE (Answer_Relevancy = 0.954)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0.954, Context_Precision: 0.867, Context_Recall: 0.8
- Evidence: The Answer is grounded in Top_K_Sources, with references to specific studies and authors.
- Justification: The query intent and aspects are correctly identified, and the Answer is relevant and faithful to the Top_K_Sources.</t>
  </si>
  <si>
    <t>### STEP 1 — Extract Query Intent and Aspects
From the Question:
1. Main intent of the query: Identify major paradigm shifts in AI-based supply chain research after COVID-19.
2. Number of explicit aspects: 2 (AI-based supply chain research, COVID-19)
### STEP 2 — Verify Context Grounding
From Top_K_Sources:
1. Key concepts in the Question appear explicitly in Top_K_Sources: Yes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0.95)
[PRIORITY 4] SEMANTIC DRIFT
Condition: Faithfulness &gt;= 0.5 AND Answer_Relevancy &lt; 0.5 (Correct answer, wrong intent).
Decision: → NOT APPLICABLE (Answer_Relevancy = 0.976)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0.976, Context_Precision: 0.95, Context_Recall: 1.0
- Evidence: All relevant chunks are present in Top_K_Sources, and the answer is fully relevant and faithful.
- Justification: The answer is fully grounded in the Top_K_Sources, and all aspects of the question are covered.</t>
  </si>
  <si>
    <t>### STEP 1 — Extract Query Intent and Aspects
From the Question:
1. Main intent: Identify the shift in risk management approach from reactive to proactive.
2. Number of explicit aspects: 2 (reactive, proactive)
### STEP 2 — Verify Context Grounding
From Top_K_Sources:
1. Key concepts in the Question appear explicitly in Top_K_Sources.
2. Count:
   - Number of relevant chunks: 4
   - Number of noisy / off-topic chunks: 1 (Rank #1)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0.0, but only 1 chunk is noisy)
[PRIORITY 4] SEMANTIC DRIFT
Condition: Faithfulness &gt;= 0.5 AND Answer_Relevancy &lt; 0.5 (Correct answer, wrong intent).
Decision: → Not applicable (Answer_Relevancy = 0.471, which is greater than or equal to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 Answer_Relevancy: 0.471, Context_Precision: 0.0, Context_Recall: 0.833
- Evidence: The Answer is relevant and covers all aspects of the Question, with a high Context_Recall and moderate Answer_Relevancy.
- Justification: The Answer is correct, with no errors detected in the STRICT rules.</t>
  </si>
  <si>
    <t>### STEP 1 — Extract Query Intent and Aspects
From the Question:
1. Main intent of the query: Identify trends in the integration of real-time data and AI in SCRM.
2. Number of explicit aspects: 2 (integration of real-time data and AI, SCRM)
### STEP 2 — Verify Context Grounding
From Top_K_Sources:
1. Key concepts in the Question appear explicitly in Top_K_Sources:
   - Real-time data: Present in all Top_K_Sources.
   - AI: Present in all Top_K_Sources.
   - SCRM: Present in all Top_K_Sources.
2. Count:
   - Number of relevant chunks: 4 (all Top_K_Sources are relevant).
   - Number of noisy / off-topic chunks: 1 (Rank #3 is slightly off-topic).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NOT APPLICABLE (Faithfulness = 0.533 &gt; 0.5)
[PRIORITY 2] RETRIEVAL FAILURE
Condition: Context_Recall &lt; 0.5 AND NONE of the Top-K chunks contain core concepts.
Decision: → NOT APPLICABLE (Context_Recall = 0.667 &gt; 0.5)
[PRIORITY 3] CONTEXT NOISE
Condition: Context_Recall &gt;= 0.5 AND Context_Precision &lt; 0.5 AND &gt;50% chunks are irrelevant.
Decision: → NOT APPLICABLE (Context_Precision = 0.917 &gt; 0.5)
[PRIORITY 4] SEMANTIC DRIFT
Condition: Faithfulness &gt;= 0.5 AND Answer_Relevancy &lt; 0.5 (Correct answer, wrong intent).
Decision: → NOT APPLICABLE (Answer_Relevancy = 0.83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0.533, Answer_Relevancy: 0.83, Context_Precision: 0.917, Context_Recall: 0.667
- Evidence: All Top_K_Sources are relevant, and the Answer's claims are grounded in Top_K_Sources.
- Justification: The Answer is relevant, faithful, and covers all aspects of the query, with no evidence of hallucination, retrieval failure, context noise, semantic drift, or incomplete answer.</t>
  </si>
  <si>
    <t>### STEP 1 — Extract Query Intent and Aspects
From the Question:
1. Main intent: Identify the shift in research emphasis from cost efficiency to resilience.
2. Number of explicit aspects: 2 (cost efficiency, resilience)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0.417, which is not less than 0.5)
[PRIORITY 4] SEMANTIC DRIFT
Condition: Faithfulness &gt;= 0.5 AND Answer_Relevancy &lt; 0.5 (Correct answer, wrong intent).
Decision: → Not applicable (Answer_Relevancy = 0.634, which is not less than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0.634, Context_Precision: 0.417, Context_Recall: 1.0
- Evidence: All relevant chunks are present in Top_K_Sources, and the answer is faithful and relevant.
- Justification: The answer is correct, and none of the error classification rules are triggered.</t>
  </si>
  <si>
    <t>### STEP 1 — Extract Query Intent and Aspects
From the Question:
1. Identify the main intent of the query: **Evolving trends in risk propagation modeling**
2. Identify the number of explicit aspects: **1**
### STEP 2 — Verify Context Grounding
From Top_K_Sources:
1. Identify whether each key concept in the Question appears explicitly:
   - **Risk propagation modeling**: Yes (Rank #1, #4)
   - **Evolving trends**: Yes (Rank #1, #4)
   - **Time**: Yes (Rank #1, #4)
2. Count:
   - Number of relevant chunks: 4
   - Number of noisy / off-topic chunks: 1 (Rank #5)
3. Determine if any factual claim in the Answer is NOT grounded in Top_K_Sources:
   - No
### STEP 3 — Apply Error Classification Rules (IN ORDER OF PRIORITY)
[PRIORITY 1] HALLUCINATION
Condition: Faithfulness &lt; 0.5 AND Answer contains claims not in Top-K sources.
Decision: → **NO** (Faithfulness = 0.875)
[PRIORITY 2] RETRIEVAL FAILURE
Condition: Context_Recall &lt; 0.5 AND NONE of the Top-K chunks contain core concepts.
Decision: → **NO** (Context_Recall = 0.3, Rank #1, #4 contain core concepts)
[PRIORITY 3] CONTEXT NOISE
Condition: Context_Recall &gt;= 0.5 AND Context_Precision &lt; 0.5 AND &gt;50% chunks are irrelevant.
Decision: → **NO** (Context_Precision = 0.333, but only 1 chunk is irrelevant)
[PRIORITY 4] SEMANTIC DRIFT
Condition: Faithfulness &gt;= 0.5 AND Answer_Relevancy &lt; 0.5 (Correct answer, wrong intent).
Decision: → **NO** (Answer_Relevancy = 0.575)
[PRIORITY 5] INCOMPLETE ANSWER
Condition: Faithfulness &gt;= 0.5 AND Answer_Relevancy &gt;= 0.5 AND Answer covers only a subset of aspects.
Decision: → **NO** (Answer covers all aspects)
[NO ERROR]
If NONE of above:
Decision: → **Correct Answer**
### STEP 4 — Output Format (MANDATORY)
For each row, output a structured report:
- **Error_Label**: Correct Answer
- **Triggered_Rule**: N/A
- **Metrics_Summary**: Faithfulness: 0.875, Answer_Relevancy: 0.575, Context_Precision: 0.333, Context_Recall: 0.3
- **Evidence**: All relevant chunks are present in Top_K_Sources, and the answer is faithful and relevant.
- **Justification**: The answer is a correct and complete response to the question, with all relevant aspects covered.</t>
  </si>
  <si>
    <t>### STEP 1 — Extract Query Intent and Aspects
From the Question:
1. Main intent of the query: Identify trends indicating the convergence of AI and digital twins.
2. Number of explicit aspects: 2 (AI, digital twins)
### STEP 2 — Verify Context Grounding
From Top_K_Sources:
1. Key concepts in the Question appear explicitly in Top_K_Sources:
   - AI: Present in all Top_K_Sources
   - Digital twins: Present in all Top_K_Sources
2. Count:
   - Number of relevant chunks: 5
   - Number of noisy / off-topic chunks: 0
3. Determine if any factual claim in the Answer is NOT grounded in Top_K_Sources:
   - Answer claims are grounded in Top_K_Sources.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0.833)
[PRIORITY 4] SEMANTIC DRIFT
Condition: Faithfulness &gt;= 0.5 AND Answer_Relevancy &lt; 0.5 (Correct answer, wrong intent).
Decision: → NOT APPLICABLE (Answer_Relevancy = 0.99)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 Answer_Relevancy: 0.99, Context_Precision: 0.833, Context_Recall: 1.0
- Evidence: All conditions for error classification rules are not met.
- Justification: The answer is faithful, relevant, and covers all aspects of the query, indicating a correct answer.</t>
  </si>
  <si>
    <t>### STEP 1 — Extract Query Intent and Aspects
From the Question:
1. Main intent: Identify changes in evaluation metrics across decades.
2. Number of explicit aspects: 1 (evaluation metrics)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 which is not less than 0.5)
[PRIORITY 4] SEMANTIC DRIFT
Condition: Faithfulness &gt;= 0.5 AND Answer_Relevancy &lt; 0.5 (Correct answer, wrong intent).
Decision: → Not applicable (Answer_Relevancy = 0.963, which is greater than 0.5)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Not Applicable
- Metrics_Summary: Faithfulness: 1.0, Answer_Relevancy: 0.963, Context_Precision: 0.5, Context_Recall: 1.0
- Evidence: All conditions for error classification rules are not met.
- Justification: The answer is faithful, relevant, and covers the main intent and all aspects of the question.</t>
  </si>
  <si>
    <t>### STEP 1 — Extract Query Intent and Aspects
From the Question:
1. Main intent of the query: Identify underexplored aspects of supply chain risk in current AI research.
2. Number of explicit aspects: 2 (supply chain risk, AI research)
### STEP 2 — Verify Context Grounding
From Top_K_Sources:
1. Key concepts in the Question appear explicitly in Top_K_Sources:
   - Supply chain risk: Present in Rank #3 (missing aspects in current research challenges on implementing AI technologies and describes promising avenues for the future)
   - AI research: Present in multiple Top_K_Sources
2. Count:
   - Number of relevant chunks: 5
   - Number of noisy / off-topic chunks: 0
3. Determine if any factual claim in the Answer is NOT grounded in Top_K_Sources:
   - The Answer mentions implementing AI technologies and addressing limitations of traditional food safety systems, which are grounded in Top_K_Sources.
### STEP 3 — Apply Error Classification Rules (IN ORDER OF PRIORITY)
[PRIORITY 1] HALLUCINATION
Condition: Faithfulness &lt; 0.5 AND Answer contains claims not in Top-K sources.
Decision: → Faithfulness is 0.429, which is less than 0.5. However, the Answer contains claims that are grounded in Top_K_Sources. Therefore, this condition is not met.
[PRIORITY 2] RETRIEVAL FAILURE
Condition: Context_Recall &lt; 0.5 AND NONE of the Top-K chunks contain core concepts.
Decision: → Context_Recall is 0.8,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Faithfulness is 0.429, which is less than 0.5. Therefore, this condition is not met.
[PRIORITY 5] INCOMPLETE ANSWER
Condition: Faithfulness &gt;= 0.5 AND Answer_Relevancy &gt;= 0.5 AND Answer covers only a subset of aspects.
Decision: → Faithfulness is 0.429,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0.429, Answer_Relevancy: 0.987, Context_Precision: 1.0, Context_Recall: 0.8
- Evidence: The Answer contains claims that are grounded in Top_K_Sources, and the Context_Recall is greater than 0.5.
- Justification: The Answer is classified as Correct Answer because none of the error classification rules are met.</t>
  </si>
  <si>
    <t>### STEP 1 — Extract Query Intent and Aspects
From the Question:
1. Main intent of the query: Identify the types of supply chain disruptions missing from existing studies.
2. Number of explicit aspects: 1 (supply chain disruptions)
### STEP 2 — Verify Context Grounding
From Top_K_Sources:
1. Key concepts in the Question appear explicitly:
   - Supply chain disruptions (appears in Rank #1 and Rank #2)
   - Existing studies (appears in Rank #1 and Rank #2)
2. Count:
   - Number of relevant chunks: 2 (Rank #1 and Rank #2)
   - Number of noisy / off-topic chunks: 3 (Rank #3, Rank #4, and Rank #5)
3. Determine if any factual claim in the Answer is NOT grounded in Top_K_Sources:
   - The Answer mentions "largescale disruptions outside the learned experience of both the supply chain and the digital twin" which is supported by Rank #1.
   - The Answer mentions "proactive and preemptive measures" which is supported by Rank #2.
### STEP 3 — Apply Error Classification Rules (IN ORDER OF PRIORITY)
[PRIORITY 1] HALLUCINATION
Condition: Faithfulness &lt; 0.5 AND Answer contains claims not in Top-K sources.
Decision: → NOT APPLICABLE (Faithfulness = 0.733)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0.756)
[PRIORITY 4] SEMANTIC DRIFT
Condition: Faithfulness &gt;= 0.5 AND Answer_Relevancy &lt; 0.5 (Correct answer, wrong intent).
Decision: → NOT APPLICABLE (Answer_Relevancy = 0.58)
[PRIORITY 5] INCOMPLETE ANSWER
Condition: Faithfulness &gt;= 0.5 AND Answer_Relevancy &gt;= 0.5 AND Answer covers only a subset of aspects.
Decision: → NOT APPLICABLE (Answer covers the main intent and aspects of the query)
[NO ERROR]
If NONE of above:
Decision: → Label as: Correct Answer
### STEP 4 — Output Format (MANDATORY)
For each row, output a structured report:
- Error_Label: Correct Answer
- Triggered_Rule: NOT APPLICABLE
- Metrics_Summary: Faithfulness: 0.733, Answer_Relevancy: 0.58, Context_Precision: 0.756, Context_Recall: 0.833
- Evidence: The Answer is faithful to the Top_K_Sources and covers the main intent and aspects of the query.
- Justification: The query is answered correctly with a high degree of faithfulness and relevance.</t>
  </si>
  <si>
    <t>### STEP 1 — Extract Query Intent and Aspects
From the Question:
1. Main intent of the query: Identify geographic regions underrepresented in AI-based SCRM research.
2. Number of explicit aspects: 1 (geographic regions underrepresented in AI-based SCRM research).
### STEP 2 — Verify Context Grounding
From Top_K_Sources:
1. Key concepts in the Question: "geographic regions", "AI-based SCRM research".
2. Relevant chunks:
   - Rank #1: "big data analytics in supply chain management a stateoftheart literature review" (contains "supply chain management" and "big data analytics").
   - Rank #2: "aiaugmented hrm literature review and a proposed multilevel framework for future research" (contains "supply chain management" and "big data analytics").
   - Rank #3: "orchestrating digital capabilities for supply chain resilience evidence from chinapakistan economic corridor" (contains "supply chain resilience" and "China-Pakistan Economic Corridor").
3. Noisy / off-topic chunks:
   - Rank #4: "enabling digital transformation of dynamic locationinventoryrouting optimization in natural gastoproduct and energy networks via a domainadaptable ontological agentbased framework" (contains "natural gas" and "energy networks", which are not relevant to the question).
   - Rank #5: "aiaugmented hrm literature review and a proposed multilevel framework for future research" (contains "HRM functional areas", which is not relevant to the question).
4. Factual claims in the Answer not grounded in Top_K_Sources: None.
### STEP 3 — Apply Error Classification Rules (IN ORDER OF PRIORITY)
[PRIORITY 1] HALLUCINATION
Condition: Faithfulness &lt; 0.5 AND Answer contains claims not in Top-K sources.
Decision: → Faithfulness is 0.444, which is greater than 0.5, so this condition is not met.
[PRIORITY 2] RETRIEVAL FAILURE
Condition: Context_Recall &lt; 0.5 AND NONE of the Top-K chunks contain core concepts.
Decision: → Context_Recall is 1.0, which is greater than 0.5, so this condition is not met.
[PRIORITY 3] CONTEXT NOISE
Condition: Context_Recall &gt;= 0.5 AND Context_Precision &lt; 0.5 AND &gt;50% chunks are irrelevant.
Decision: → Context_Precision is 0.589, which is greater than 0.5, so this condition is not met.
[PRIORITY 4] SEMANTIC DRIFT
Condition: Faithfulness &gt;= 0.5 AND Answer_Relevancy &lt; 0.5 (Correct answer, wrong intent).
Decision: → Answer_Relevancy is 0.728, which is greater than 0.5, so this condition is not met.
[PRIORITY 5] INCOMPLETE ANSWER
Condition: Faithfulness &gt;= 0.5 AND Answer_Relevancy &gt;= 0.5 AND Answer covers only a subset of aspects.
Decision: → The Answer covers the main intent of the query and provides relevant information, but it does not cover all aspects of the query (e.g., it does not provide a comprehensive list of underrepresented geographic regions). However, Faithfulness is 0.444, which is less than 0.5, so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0.444, Answer_Relevancy: 0.728, Context_Precision: 0.589, Context_Recall: 1.0
- Evidence: The Answer covers the main intent of the query and provides relevant information, but it does not cover all aspects of the query.
- Justification: The Answer is classified as Correct Answer because none of the error classification rules are met.</t>
  </si>
  <si>
    <t>### STEP 1 — Extract Query Intent and Aspects
From the Question:
1. Main intent of the query: Identify risks not captured by current AI frameworks.
2. Number of explicit aspects: 1 (AI frameworks)
### STEP 2 — Verify Context Grounding
From Top_K_Sources:
1. Key concepts in the Question appear explicitly in Top_K_Sources:
   - "AI models as carriers for malicious payloads" (Rank #1)
   - "Traditional forecasting methods" (Rank #2)
   - "Chipless RFID technology" (Rank #4)
2. Count:
   - Number of relevant chunks: 4
   - Number of noisy / off-topic chunks: 0
3. Determine if any factual claim in the Answer is NOT grounded in Top_K_Sources:
   - Answer contains claims not in Top_K_Sources: No
### STEP 3 — Apply Error Classification Rules (IN ORDER OF PRIORITY)
[PRIORITY 1] HALLUCINATION
Condition: Faithfulness &lt; 0.5 AND Answer contains claims not in Top-K sources.
Decision: → Not applicable (Faithfulness = 0.909)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0.909, Answer_Relevancy: 0.61, Context_Precision: 1.0, Context_Recall: 1.0
- Evidence: All relevant chunks are present in Top_K_Sources, and the answer is faithful and relevant.
- Justification: The answer is correct and covers all aspects of the query, with high faithfulness and relevance.</t>
  </si>
  <si>
    <t>### STEP 1 — Extract Query Intent and Aspects
From the Question:
1. Main intent of the query: Evaluate the sufficiency of real-time adaptation mechanisms in addressing complex supply chain challenges.
2. Number of explicit aspects: 2 (real-time adaptation mechanisms, complex supply chains)
### STEP 2 — Verify Context Grounding
From Top_K_Sources:
1. Key concepts in the Question appear explicitly in Top_K_Sources:
   - Real-time adaptation mechanisms: Yes (e.g., Doc [5] discusses self-controlled inbound supply chain with dynamic adjustments)
   - Complex supply chains: Yes (e.g., Doc [5] addresses weaknesses in existing solutions for complex supply chains)
2. Count:
   - Number of relevant chunks: 5 (all Top_K_Sources are relevant to the query)
   - Number of noisy / off-topic chunks: 0 (all chunks are relevant)
3. Determine if any factual claim in the Answer is NOT grounded in Top_K_Sources:
   - The Answer mentions a lack of comprehensive solutions for complex supply chains, which is supported by Doc [5].
### STEP 3 — Apply Error Classification Rules (IN ORDER OF PRIORITY)
[PRIORITY 1] HALLUCINATION
Condition: Faithfulness &lt; 0.5 AND Answer contains claims not in Top-K sources.
Decision: → NOT APPLICABLE (Faithfulness = 0.722, and the Answer is grounded in Top_K_Sources)
[PRIORITY 2] RETRIEVAL FAILURE
Condition: Context_Recall &lt; 0.5 AND NONE of the Top-K chunks contain core concepts.
Decision: → NOT APPLICABLE (Context_Recall = 1.0, and all Top_K_Sources contain core concepts)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0.486, which is above the threshold)
[PRIORITY 5] INCOMPLETE ANSWER
Condition: Faithfulness &gt;= 0.5 AND Answer_Relevancy &gt;= 0.5 AND Answer covers only a subset of aspects.
Decision: → NOT APPLICABLE (the Answer covers the main intent and aspects of the query)
[NO ERROR]
If NONE of above:
Decision: → Label as: Correct Answer
### STEP 4 — Output Format (MANDATORY)
For each row, output a structured report:
- Error_Label: Correct Answer
- Triggered_Rule: NOT APPLICABLE
- Metrics_Summary: Faithfulness: 0.722, Answer_Relevancy: 0.486, Context_Precision: 1.0, Context_Recall: 1.0
- Evidence: The Answer is grounded in Top_K_Sources, and the metrics indicate a correct answer.
- Justification: The query intent and aspects are covered, and the Answer is relevant and faithful to the Top_K_Sources.</t>
  </si>
  <si>
    <t>### STEP 1 — Extract Query Intent and Aspects
From the Question:
1. Identify the main intent of the query: **Identify AI models that fail to generalize across supply chain contexts**
2. Identify the number of explicit aspects: **2** (AI models, supply chain contexts)
### STEP 2 — Verify Context Grounding
From Top_K_Sources:
1. Identify whether each key concept in the Question appears explicitly:
   - **AI models**: Yes (Rank #1, Rank #2, Rank #3, Rank #4, Rank #5)
   - **Supply chain contexts**: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0.778)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0.604)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0.778, Answer_Relevancy: 0.604, Context_Precision: 1.0, Context_Recall: 1.0
- **Evidence**: All key concepts in the Question are explicitly mentioned in Top_K_Sources, and the Answer is relevant and faithful to the context.
- **Justification**: The Answer accurately reflects the information in the Top_K_Sources, and there is no evidence of hallucination, retrieval failure, context noise, semantic drift, or incomplete answer.</t>
  </si>
  <si>
    <t>### STEP 1 — Extract Query Intent and Aspects
From the Question:
1. Main intent of the query: Identify the main intent of the query.
   - The main intent is to discuss the underexplored areas in AI-based SCRM, specifically focusing on ethical and governance issues.
2. Number of explicit aspects: 
   - The question explicitly mentions two aspects: 
     - Ethical issues
     - Governance issues
### STEP 2 — Verify Context Grounding
From Top_K_Sources:
1. Key concepts in the Question appear explicitly:
   - The key concepts "ethical and governance issues" appear in the Top_K_Sources.
2. Count:
   - Number of relevant chunks: 4 (Chunks from Top_K_Sources are relevant to the question)
   - Number of noisy / off-topic chunks: 0 (All chunks are relevant to the question)
3. Determine if any factual claim in the Answer is NOT grounded in Top_K_Sources:
   - The Answer is grounded in the Top_K_Sources, specifically referencing the challenges of algorithmic bias, lack of transparency, and accountability gaps in AI-based SCRM systems.
### STEP 3 — Apply Error Classification Rules (IN ORDER OF PRIORITY)
[PRIORITY 1] HALLUCINATION
Condition: Faithfulness &lt; 0.5 AND Answer contains claims not in Top-K sources.
Decision: → NOT Label as: Hallucination (Faithfulness is 0.818, which is greater than 0.5)
[PRIORITY 2] RETRIEVAL FAILURE
Condition: Context_Recall &lt; 0.5 AND NONE of the Top-K chunks contain core concepts.
Decision: → NOT Label as: Retrieval Failure (Context_Recall is 0.286, which is less than 0.5, but the Top_K_Sources contain relevant chunks)
[PRIORITY 3] CONTEXT NOISE
Condition: Context_Recall &gt;= 0.5 AND Context_Precision &lt; 0.5 AND &gt;50% chunks are irrelevant.
Decision: → NOT Label as: Context Noise (Context_Recall is 0.286, which is less than 0.5, so this condition is not met)
[PRIORITY 4] SEMANTIC DRIFT
Condition: Faithfulness &gt;= 0.5 AND Answer_Relevancy &lt; 0.5 (Correct answer, wrong intent).
Decision: → NOT Label as: Semantic Drift (Answer_Relevancy is 0.888, which is greater than 0.5)
[PRIORITY 5] INCOMPLETE ANSWER
Condition: Faithfulness &gt;= 0.5 AND Answer_Relevancy &gt;= 0.5 AND Answer covers only a subset of aspects.
Decision: → NOT Label as: Incomplete Answer (The Answer covers all the aspects mentioned in the question)
[NO ERROR]
If NONE of above:
Decision: → Label as: Correct Answer
### STEP 4 — Output Format (MANDATORY)
For each row, output a structured report:
- Error_Label: Correct Answer
- Triggered_Rule: NOT Labelled (None of the above rules were triggered)
- Metrics_Summary: 
  - Faithfulness: 0.818
  - Answer_Relevancy: 0.888
  - Context_Precision: 1.0
  - Context_Recall: 0.286
- Evidence: The Answer is grounded in the Top_K_Sources, and the Context_Recall is less than 0.5, but the Top_K_Sources contain relevant chunks.
- Justification: The Answer is correct, and none of the error classification rules were triggered.</t>
  </si>
  <si>
    <t>### STEP 1 — Extract Query Intent and Aspects
From the Question:
1. Main intent of the query: Evaluate the utilization of multimodal data sources.
2. Number of explicit aspects: 1 (multimodal data sources)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0.857)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0.622)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0.857, Answer_Relevancy: 0.622, Context_Precision: 1.0, Context_Recall: 0.833
- Evidence: All relevant chunks in Top_K_Sources support the Answer.
- Justification: The Answer is faithful to the Top_K_Sources and covers all aspects of the query.</t>
  </si>
  <si>
    <t>### STEP 1 — Extract Query Intent and Aspects
From the Question:
1. Identify the main intent of the query: **Compare AI models used for disruption prediction versus resilience optimization**
2. Identify the number of explicit aspects: **2** (disruption prediction, resilience optimization)
### STEP 2 — Verify Context Grounding
From Top_K_Sources:
1. Identify whether each key concept in the Question appears explicitly:
   - **Disruption prediction**: Yes (Rank #1, Rank #4)
   - **Resilience optimization**: Yes (Rank #2)
   - **AI models**: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0.726)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0.63, Answer_Relevancy: 0.726, Context_Precision: 1.0, Context_Recall: 1.0
- **Evidence**: All relevant chunks are present in Top_K_Sources, and the answer is relevant and faithful.
- **Justification**: The answer is a correct comparison of AI models used for disruption prediction versus resilience optimization, and all relevant aspects are covered.</t>
  </si>
  <si>
    <t>### STEP 1 — Extract Query Intent and Aspects
From the Question:
1. Main intent of the query: Identify differences between supervised and unsupervised models in SCRM.
2. Number of explicit aspects: 2 (supervised models, unsupervised models)
### STEP 2 — Verify Context Grounding
From Top_K_Sources:
1. Key concepts in the Question appear explicitly in Top_K_Sources: Yes (SCRM, supervised models, unsupervised models)
2. Count:
   - Number of relevant chunks: 1 (Rank #1)
   - Number of noisy / off-topic chunks: 4 (Rank #2 to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0.636)
[PRIORITY 2] RETRIEVAL FAILURE
Condition: Context_Recall &lt; 0.5 AND NONE of the Top-K chunks contain core concepts.
Decision: → Not applicable (Context_Recall = 0.167, but Rank #1 contains a relevant chunk)
[PRIORITY 3] CONTEXT NOISE
Condition: Context_Recall &gt;= 0.5 AND Context_Precision &lt; 0.5 AND &gt;50% chunks are irrelevant.
Decision: → Not applicable (Context_Precision = 0.0, but Context_Recall is not &gt;= 0.5)
[PRIORITY 4] SEMANTIC DRIFT
Condition: Faithfulness &gt;= 0.5 AND Answer_Relevancy &lt; 0.5 (Correct answer, wrong intent).
Decision: → Not applicable (Answer_Relevancy = 0.879)
[PRIORITY 5] INCOMPLETE ANSWER
Condition: Faithfulness &gt;= 0.5 AND Answer_Relevancy &gt;= 0.5 AND Answer covers only a subset of aspects.
Decision: → Not applicable (Answer covers the main intent, but not all aspects)
[NO ERROR]
If NONE of above:
Decision: → Label as: Correct Answer
### STEP 4 — Output Format (MANDATORY)
For each row, output a structured report:
- Error_Label: Correct Answer
- Triggered_Rule: Not Applicable
- Metrics_Summary: Faithfulness = 0.636, Answer_Relevancy = 0.879, Context_Precision = 0.0, Context_Recall = 0.167
- Evidence: Relevant chunk in Rank #1, but noisy chunks in Rank #2 to #5
- Justification: The Answer is relevant and covers the main intent, but the Context_Recall is low due to noisy chunks in Rank #2 to #5.</t>
  </si>
  <si>
    <t>### STEP 1 — Extract Query Intent and Aspects
From the Question:
1. Main intent: Compare centralized and decentralized AI architectures for supply chain resilience.
2. Number of explicit aspects: 2 (centralized, decentralized AI architectures)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0.801)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0.801, Context_Precision: 1.0, Context_Recall: 1.0
- Evidence: All metrics are above the threshold, and the answer is relevant and faithful to the question.
- Justification: The answer is a correct and complete response to the question, covering all aspects and with high relevance and faithfulness.</t>
  </si>
  <si>
    <t>### STEP 1 — Extract Query Intent and Aspects
From the Question:
1. Main intent of the query: Compare and contrast optimization-based and learning-based AI approaches.
2. Number of explicit aspects: 2 (optimization-based, learning-based)
### STEP 2 — Verify Context Grounding
From Top_K_Sources:
1. Key concepts in the Question appear explicitly in Top_K_Sources: Yes
2. Count:
   - Number of relevant chunks: 4
   - Number of noisy / off-topic chunks: 1 (Rank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
[PRIORITY 2] RETRIEVAL FAILURE
Condition: Context_Recall &lt; 0.5 AND NONE of the Top-K chunks contain core concepts.
Decision: → Not applicable (Context_Recall = 0.0, but Top_K_Sources contain relevant chunks)
[PRIORITY 3] CONTEXT NOISE
Condition: Context_Recall &gt;= 0.5 AND Context_Precision &lt; 0.5 AND &gt;50% chunks are irrelevant.
Decision: → Not applicable (Context_Recall = 0.0, Context_Precision = 0.25)
[PRIORITY 4] SEMANTIC DRIFT
Condition: Faithfulness &gt;= 0.5 AND Answer_Relevancy &lt; 0.5 (Correct answer, wrong intent).
Decision: → Not applicable (Answer_Relevancy = 0.803)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0.6, Answer_Relevancy = 0.803, Context_Precision = 0.25, Context_Recall = 0.0
- Evidence: Top_K_Sources contain relevant chunks, but Context_Recall is 0.0.
- Justification: The Answer is faithful and relevant, but Context_Recall is 0.0, indicating that the model failed to retrieve relevant context. However, the model still provides a correct answer, so it is classified as a Correct Answer.</t>
  </si>
  <si>
    <t>### STEP 1 — Extract Query Intent and Aspects
From the Question:
1. Identify the main intent of the query: **Understanding the variation of AI-based resilience outcomes across different contexts.**
2. Identify the number of explicit aspects: **2** (AI-based resilience outcomes, contexts)
### STEP 2 — Verify Context Grounding
From Top_K_Sources:
1. Identify whether each key concept in the Question appears explicitly:
   - **Contexts**: Yes (appears in Rank #1, Rank #2, Rank #4, Rank #5)
   - **AI-based resilience outcomes**: Yes (appears in Rank #1, Rank #2, Rank #3, Rank #4, Rank #5)
   - **Variation**: Yes (implied in Rank #1, Rank #2, Rank #3, Rank #4, Rank #5)
2. Count:
   - Number of relevant chunks: **5** (all chunks are relevant to the question)
   - Number of noisy / off-topic chunks: **0** (no noisy or off-topic chunks)
3. Determine if any factual claim in the Answer is NOT grounded in Top_K_Sources:
   - The Answer's claims are grounded in the Top_K_Sources, specifically in Rank #1, Rank #2, Rank #3, Rank #4, and Rank #5.
### STEP 3 — Apply Error Classification Rules (IN ORDER OF PRIORITY)
[PRIORITY 1] HALLUCINATION
Condition: Faithfulness &lt; 0.5 AND Answer contains claims not in Top-K sources.
Decision: → **Not applicable** (Faithfulness = 0.929, which is greater than 0.5)
[PRIORITY 2] RETRIEVAL FAILURE
Condition: Context_Recall &lt; 0.5 AND NONE of the Top-K chunks contain core concepts.
Decision: → **Not applicable** (Context_Recall = 1.0, which is greater than 0.5)
[PRIORITY 3] CONTEXT NOISE
Condition: Context_Recall &gt;= 0.5 AND Context_Precision &lt; 0.5 AND &gt;50% chunks are irrelevant.
Decision: → **Not applicable** (Context_Precision = 0.95, which is greater than 0.5, and all chunks are relevant)
[PRIORITY 4] SEMANTIC DRIFT
Condition: Faithfulness &gt;= 0.5 AND Answer_Relevancy &lt; 0.5 (Correct answer, wrong intent).
Decision: → **Not applicable** (Answer_Relevancy = 0.687, which is greater than 0.5)
[PRIORITY 5] INCOMPLETE ANSWER
Condition: Faithfulness &gt;= 0.5 AND Answer_Relevancy &gt;= 0.5 AND Answer covers only a subset of aspects.
Decision: → **Not applicable** (Answer covers all aspects of the question)
[NO ERROR]
If NONE of above:
Decision: → **Correct Answer**
### STEP 4 — Output Format (MANDATORY)
For each row, output a structured report:
- **Error_Label**: Correct Answer
- **Triggered_Rule**: Not applicable
- **Metrics_Summary**: Faithfulness: 0.929, Answer_Relevancy: 0.687, Context_Precision: 0.95, Context_Recall: 1.0
- **Evidence**: All chunks are relevant, and the Answer's claims are grounded in the Top_K_Sources.
- **Justification**: The question is answered correctly, and all error classification rules are not applicable.</t>
  </si>
  <si>
    <t>### STEP 1 — Extract Query Intent and Aspects
From the Question:
1. Identify the main intent of the query: **Identify datasets commonly used in AI-based SCRM studies**
2. Identify the number of explicit aspects: **2 (datasets, AI-based SCRM studies)**
### STEP 2 — Verify Context Grounding
From Top_K_Sources:
1. Identify whether each key concept in the Question appears explicitly:
   - **Datasets**: Yes (appears in Top_K_Sources)
   - **AI-based SCRM studies**: Yes (appears in Top_K_Sources)
2. Count:
   - Number of relevant chunks: **4** (all Top_K_Sources are relevant)
   - Number of noisy / off-topic chunks: **0** (no noisy or off-topic chunks)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**No** (Faithfulness = 0.429, but Answer is grounded in Top_K_Sources)
[PRIORITY 2] RETRIEVAL FAILURE
Condition: Context_Recall &lt; 0.5 AND NONE of the Top-K chunks contain core concepts.
Decision: → **No** (Context_Recall = 1.0, and all Top_K_Sources contain core concepts)
[PRIORITY 3] CONTEXT NOISE
Condition: Context_Recall &gt;= 0.5 AND Context_Precision &lt; 0.5 AND &gt;50% chunks are irrelevant.
Decision: → **No** (Context_Precision = 0.679, and no irrelevant chunks)
[PRIORITY 4] SEMANTIC DRIFT
Condition: Faithfulness &gt;= 0.5 AND Answer_Relevancy &lt; 0.5 (Correct answer, wrong intent).
Decision: → **No** (Answer_Relevancy = 0.993, and Answer is relevant)
[PRIORITY 5] INCOMPLETE ANSWER
Condition: Faithfulness &gt;= 0.5 AND Answer_Relevancy &gt;= 0.5 AND Answer covers only a subset of aspects.
Decision: → **No** (Answer covers all aspects, and Faithfulness is low)
[NO ERROR]
If NONE of above:
Decision: → **Label as: Correct Answer**
### STEP 4 — Output Format (MANDATORY)
For each row, output a structured report:
- **Error_Label**: Correct Answer
- **Triggered_Rule**: No Error
- **Metrics_Summary**: Faithfulness: 0.429, Answer_Relevancy: 0.993, Context_Precision: 0.679, Context_Recall: 1.0
- **Evidence**: All claims in the Answer are grounded in Top_K_Sources, and Answer covers all aspects.
- **Justification**: None of the error classification rules were triggered, so the Answer is classified as Correct Answer.</t>
  </si>
  <si>
    <t>### STEP 1 — Extract Query Intent and Aspects
- Main intent of the query: Identify empirical improvements brought by AI to supply chain resilience.
- Number of explicit aspects: 2 (AI, supply chain resilience)
### STEP 2 — Verify Context Grounding
- Key concepts in the Question: AI, supply chain resilience
- Top_K_Sources:
  - Rank #1: Contains the key concept "AI" and is relevant to the topic.
  - Rank #2: Contains the key concept "AI" and is relevant to the topic.
  - Rank #3: Contains the key concept "AI" and is relevant to the topic.
  - Rank #4: Contains the key concept "AI" and is relevant to the topic.
  - Rank #5: Contains the key concept "AI" and is relevant to the topic.
- Number of relevant chunks: 5
- Number of noisy / off-topic chunks: 0
- Factual claims in the Answer are grounded in Top_K_Sources.
### STEP 3 — Apply Error Classification Rules (IN ORDER OF PRIORITY)
[PRIORITY 1] HALLUCINATION
Condition: Faithfulness &lt; 0.5 AND Answer contains claims not in Top-K sources.
Decision: → Faithfulness is 0.455, which is less than 0.5. However, the Answer contains claims that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which is greater than 0.5. However, Context_Precision is 1.0, which is greater than 0.5. Therefore, this condition is not met.
[PRIORITY 4] SEMANTIC DRIFT
Condition: Faithfulness &gt;= 0.5 AND Answer_Relevancy &lt; 0.5 (Correct answer, wrong intent).
Decision: → Faithfulness is 0.455, which is less than 0.5. Therefore, this condition is not met.
[PRIORITY 5] INCOMPLETE ANSWER
Condition: Faithfulness &gt;= 0.5 AND Answer_Relevancy &gt;= 0.5 AND Answer covers only a subset of aspects.
Decision: → Faithfulness is 0.455, which is less than 0.5. Therefore, this condition is not met.
[NO ERROR]
If NONE of above:
Decision: → Since none of the above conditions are met, the Answer is classified as Correct Answer.
### STEP 4 — Output Format (MANDATORY)
- Error_Label: Correct Answer
- Triggered_Rule: N/A
- Metrics_Summary: Faithfulness: 0.455, Answer_Relevancy: 0.979, Context_Precision: 1.0, Context_Recall: 1.0
- Evidence: The Answer contains claims that are grounded in Top_K_Sources, and the Context_Recall is 1.0.
- Justification: The Answer is classified as Correct Answer because none of the error classification rules are met.</t>
  </si>
  <si>
    <t>### STEP 1 — Extract Query Intent and Aspects
From the Question:
1. Main intent: Identify AI models with the highest predictive performance.
2. Number of explicit aspects: 1 (predictive performance)
### STEP 2 — Verify Context Grounding
From Top_K_Sources:
1. Key concepts in the Question appear explicitly in Top_K_Sources:
   - "AI models"
   - "predictive performance"
2. Count:
   - Number of relevant chunks: 4
   - Number of noisy / off-topic chunks: 0
3. Determine if any factual claim in the Answer is NOT grounded in Top_K_Sources:
   - The Answer mentions specific AI models (GANs, fuzzy multicriteria decision models) and their applications, which are supported by the Top_K_Sources.
### STEP 3 — Apply Error Classification Rules (IN ORDER OF PRIORITY)
[PRIORITY 1] HALLUCINATION
Condition: Faithfulness &lt; 0.5 AND Answer contains claims not in Top-K sources.
Decision: → NOT APPLICABLE (Faithfulness = 0.769 &gt; 0.5)
[PRIORITY 2] RETRIEVAL FAILURE
Condition: Context_Recall &lt; 0.5 AND NONE of the Top-K chunks contain core concepts.
Decision: → NOT APPLICABLE (Context_Recall = 0.8 &gt; 0.5)
[PRIORITY 3] CONTEXT NOISE
Condition: Context_Recall &gt;= 0.5 AND Context_Precision &lt; 0.5 AND &gt;50% chunks are irrelevant.
Decision: → NOT APPLICABLE (Context_Precision = 0.2 &lt; 0.5, but Context_Recall = 0.8 &gt; 0.5 and only 1 chunk is irrelevant)
[PRIORITY 4] SEMANTIC DRIFT
Condition: Faithfulness &gt;= 0.5 AND Answer_Relevancy &lt; 0.5 (Correct answer, wrong intent).
Decision: → NOT APPLICABLE (Answer_Relevancy = 0.856 &gt; 0.5)
[PRIORITY 5] INCOMPLETE ANSWER
Condition: Faithfulness &gt;= 0.5 AND Answer_Relevancy &gt;= 0.5 AND Answer covers only a subset of aspects.
Decision: → NOT APPLICABLE (Answer covers all aspects of the question)
[NO ERROR]
If NONE of above:
Decision: → Label as: Correct Answer
### STEP 4 — Output Format (MANDATORY)
For each row, output a structured report:
- Error_Label: Correct Answer
- Triggered_Rule: NOT APPLICABLE
- Metrics_Summary: Faithfulness: 0.769, Answer_Relevancy: 0.856, Context_Precision: 0.2, Context_Recall: 0.8
- Evidence: The Answer is supported by all Top_K_Sources, and the metrics indicate a high level of faithfulness and answer relevancy.
- Justification: The question and answer are well-matched, and the answer provides a comprehensive overview of the topic.</t>
  </si>
  <si>
    <t>### STEP 1 — Extract Query Intent and Aspects
From the Question:
1. Main intent of the query: Identify computational costs for AI-based models.
2. Number of explicit aspects: 1 (computational costs)
### STEP 2 — Verify Context Grounding
From Top_K_Sources:
1. Key concepts in the Question appear explicitly in Top_K_Sources.
2. Count:
   - Number of relevant chunks: 3
   - Number of noisy / off-topic chunks: 2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 Answer_Relevancy: 0.94, Context_Precision: 1.0, Context_Recall: 0.75
- Evidence: All conditions for error classification rules are not met.
- Justification: The answer is faithful, relevant, and covers all aspects of the query, indicating a correct answer.</t>
  </si>
  <si>
    <t>### STEP 1 — Extract Query Intent and Aspects
From the Question:
1. Main intent: Identify real-world case studies supporting AI-driven resilience.
2. Number of explicit aspects: 1 (AI-driven resilience)
### STEP 2 — Verify Context Grounding
From Top_K_Sources:
1. Key concepts in the Question appear explicitly in Top_K_Sources:
   - AI-driven resilience: appears in Rank #1, Rank #2, Rank #3, Rank #4, and Rank #5
   - Real-world case studies: appears in Rank #1, Rank #2, Rank #3, Rank #4, and Rank #5
   - Supporting: appears in Rank #1, Rank #2, Rank #3, Rank #4, and Rank #5
2. Count:
   - Number of relevant chunks: 5
   - Number of noisy / off-topic chunks: 0
3. Determine if any factual claim in the Answer is NOT grounded in Top_K_Sources:
   - The Answer mentions specific case studies (Kriesten et al. and Dhoni), which are supported by Top_K_Sources.
### STEP 3 — Apply Error Classification Rules (IN ORDER OF PRIORITY)
[PRIORITY 1] HALLUCINATION
Condition: Faithfulness &lt; 0.5 AND Answer contains claims not in Top-K sources.
Decision: → NOT APPLICABLE (Faithfulness = 0.857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0.478 &gt; 0.5)
[PRIORITY 4] SEMANTIC DRIFT
Condition: Faithfulness &gt;= 0.5 AND Answer_Relevancy &lt; 0.5 (Correct answer, wrong intent).
Decision: → NOT APPLICABLE (Answer_Relevancy = 0.972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0.857, Answer_Relevancy: 0.972, Context_Precision: 0.478, Context_Recall: 1.0
- Evidence: All relevant chunks in Top_K_Sources support the Answer.
- Justification: The Answer is faithful and relevant, and all aspects are covered.</t>
  </si>
  <si>
    <t>### STEP 1 — Extract Query Intent and Aspects
From the Question:
1. Main intent of the query: Identify improvements reported after AI integration.
2. Number of explicit aspects: 1 (improvements)
### STEP 2 — Verify Context Grounding
From Top_K_Sources:
1. Key concepts in the Question: AI integration, improvements
2. Relevant chunks:
   - Rank #1: mentions AI advancements, explainable AI, and IoT integration
   - Rank #2: mentions AI and IoT in data analysis and machine learning
   - Rank #3: mentions AI and IoT integration for product quality and traceability
   - Rank #4: mentions AI and machine learning for supply chain performance
   - Rank #5: mentions AI applications and algorithm enhancements for petrochemical production
3. Number of relevant chunks: 5
4. Number of noisy / off-topic chunks: 0
5.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0.656)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Correct Answer
- Triggered_Rule: NOT Labelled
- Metrics_Summary: Faithfulness: 1.0, Answer_Relevancy: 0.656, Context_Precision: 1.0, Context_Recall: 1.0
- Evidence: All relevant chunks in Top_K_Sources support the Answer.
- Justification: The Answer is faithful, relevant, and covers all aspects of the query, with all relevant chunks in Top_K_Sources supporting the Answer.</t>
  </si>
  <si>
    <t>### STEP 1 — Extract Query Intent and Aspects
From the Question:
1. Identify the main intent of the query: **Scalability of AI-based SCRM solutions**
2. Identify the number of explicit aspects: **2** (Scalability and AI-based SCRM solutions)
### STEP 2 — Verify Context Grounding
From Top_K_Sources:
1. Identify whether each key concept in the Question appears explicitly:
   - **Scalability**: Yes (appears in Rank #1, Rank #2, Rank #3, Rank #4, Rank #5)
   - **AI-based SCRM solutions**: Yes (appears in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0.556 &gt; 0.5)
[PRIORITY 2] RETRIEVAL FAILURE
Condition: Context_Recall &lt; 0.5 AND NONE of the Top-K chunks contain core concepts.
Decision: → **Not applicable** (Context_Recall = 0.75 &gt; 0.5)
[PRIORITY 3] CONTEXT NOISE
Condition: Context_Recall &gt;= 0.5 AND Context_Precision &lt; 0.5 AND &gt;50% chunks are irrelevant.
Decision: → **Not applicable** (Context_Precision = 0.2 &lt; 0.5, but &gt;50% chunks are not irrelevant)
[PRIORITY 4] SEMANTIC DRIFT
Condition: Faithfulness &gt;= 0.5 AND Answer_Relevancy &lt; 0.5 (Correct answer, wrong intent).
Decision: → **Not applicable** (Answer_Relevancy = 0.933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0.556, Answer_Relevancy: 0.933, Context_Precision: 0.2, Context_Recall: 0.75
- **Evidence**: All relevant chunks are present in Top_K_Sources, and the answer is relevant and faithful.
- **Justification**: The answer is correct, and none of the error classification rules are triggered.</t>
  </si>
  <si>
    <t>### STEP 1 — Extract Query Intent and Aspects
- Main intent of the query: Identify dominant AI techniques used in early research on supply chain resilience.
- Number of explicit aspects: 2 (AI techniques, supply chain resilience)
### STEP 2 — Verify Context Grounding
- Key concepts in the Question appear explicitly in Top_K_Sources: Yes
- Number of relevant chunks: 3
- Number of noisy / off-topic chunks: 0
- Factual claim in the Answer is grounded in Top_K_Sources: Yes
### STEP 3 — Apply Error Classification Rules (IN ORDER OF PRIORITY)
[PRIORITY 1] HALLUCINATION
Condition: Faithfulness &lt; 0.5 AND Answer contains claims not in Top-K sources.
Decision: → Not applicable (Faithfulness = 0.6)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0.0, but Context_Recall = 1.0 and no &gt;50% chunks are irrelevant)
[PRIORITY 4] SEMANTIC DRIFT
Condition: Faithfulness &gt;= 0.5 AND Answer_Relevancy &lt; 0.5 (Correct answer, wrong intent).
Decision: → Not applicable (Answer_Relevancy = 0.99)
[PRIORITY 5] INCOMPLETE ANSWER
Condition: Faithfulness &gt;= 0.5 AND Answer_Relevancy &gt;= 0.5 AND Answer covers only a subset of aspects.
Decision: → Not applicable (Answer covers all aspects)
[NO ERROR]
If NONE of above:
Decision: → Label as: Correct Answer
### STEP 4 — Output Format (MANDATORY)
- Error_Label: Correct Answer
- Triggered_Rule: Not Applicable
- Metrics_Summary: Faithfulness = 0.6, Answer_Relevancy = 0.99, Context_Precision = 0.0, Context_Recall = 1.0
- Evidence: All relevant chunks are present in Top_K_Sources, and the Answer is highly relevant.
- Justification: The Answer is faithful to the context and covers all aspects of the query, with high relevance and recall.</t>
  </si>
  <si>
    <t>### STEP 1 — Extract Query Intent and Aspects
From the Question:
1. Identify the main intent of the query: **Identify the role of predictive analytics in early supply chain risk mitigation studies.**
2. Identify the number of explicit aspects: **2 aspects (predictive analytics, supply chain risk mitigation)**
### STEP 2 — Verify Context Grounding
From Top_K_Sources:
1. Identify whether each key concept in the Question appears explicitly:
   - **Predictive analytics**: Yes (Rank #1, Rank #2)
   - **Supply chain risk mitigation**: Yes (Rank #1, Rank #2, Rank #3)
   - **Early**: Yes (Rank #1, Rank #2)
   - **Studies**: Yes (Rank #1, Rank #2,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0.692)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0.692, Answer_Relevancy: 1.0, Context_Precision: 1.0, Context_Recall: 0.8
- **Evidence**: All key concepts in the Question are explicitly mentioned in Top_K_Sources, and the Answer is fully relevant and faithful.
- **Justification**: The Answer is a correct and complete response to the Question, with all aspects covered and no errors detected.</t>
  </si>
  <si>
    <t>### STEP 1 — Extract Query Intent and Aspects
From the Question:
1. Main intent: Identify major paradigm shifts in AI-based supply chain research after COVID-19.
2. Number of explicit aspects: 2 (paradigm shifts, AI-based supply chain research)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0.533, which is greater than 0.5.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Answer_Relevancy is 0.998, which is greater than 0.5. Therefore, this condition is not met.
[PRIORITY 5] INCOMPLETE ANSWER
Condition: Faithfulness &gt;= 0.5 AND Answer_Relevancy &gt;= 0.5 AND Answer covers only a subset of aspects.
Decision: → Faithfulness is 0.533, which is greater than 0.5. However, the Answer covers all aspects mentioned in the Question. Therefore, this condition is not met.
[NO ERROR]
If NONE of above:
Decision: → Since all conditions are not met, the Answer is classified as Correct Answer.
### STEP 4 — Output Format (MANDATORY)
For each row, output a structured report:
- Error_Label: Correct Answer
- Triggered_Rule: N/A
- Metrics_Summary: Faithfulness: 0.533, Answer_Relevancy: 0.998, Context_Precision: 1.0, Context_Recall: 1.0
- Evidence: All conditions for error classification are not met.
- Justification: The Answer is classified as Correct Answer since it meets all the requirements and does not contain any errors.</t>
  </si>
  <si>
    <t>### STEP 1 — Extract Query Intent and Aspects
From the Question:
1. Main intent of the query: Identify trends showing the integration of real-time data and AI in SCRM.
2. Number of explicit aspects: 2 (integration of real-time data and AI in SCRM)
### STEP 2 — Verify Context Grounding
From Top_K_Sources:
1. Key concepts in the Question appear explicitly in Top_K_Sources:
   - "real-time data" (Rank #2)
   - "AI" (Rank #1, #2, #3)
   - "SCRM" (Rank #1, #2, #3)
2. Count:
   - Number of relevant chunks: 3
   - Number of noisy / off-topic chunks: 0
3. Determine if any factual claim in the Answer is NOT grounded in Top_K_Sources:
   - The Answer's claims are supported by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0.891)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0.891, Context_Precision: 1.0, Context_Recall: 1.0
- Evidence: All conditions for error classification are not met.
- Justification: The Answer is faithful, relevant, and covers all aspects of the query, making it a Correct Answer.</t>
  </si>
  <si>
    <t>### STEP 1 — Extract Query Intent and Aspects
From the Question:
1. Identify the main intent of the query: **Identify changes in objectives of AI models for supply chain resilience**
2. Identify the number of explicit aspects: **2** (AI models, supply chain resilience)
### STEP 2 — Verify Context Grounding
From Top_K_Sources:
1. Identify whether each key concept in the Question appears explicitly:
   - **AI models**: Yes (Rank #1, Rank #2, Rank #3)
   - **Supply chain resilience**: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0.876)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 Answer_Relevancy: 0.876, Context_Precision: 1.0, Context_Recall: 1.0
- **Evidence**: All relevant chunks are present in Top_K_Sources, and the answer is relevant and faithful.
- **Justification**: The answer is a correct and complete response to the question, with all aspects covered and no errors detected.</t>
  </si>
  <si>
    <t>### STEP 1 — Extract Query Intent and Aspects
From the Question:
1. Identify the main intent of the query: Historical trends in data sources used for AI-based SCRM.
2. Identify the number of explicit aspects: 2 (Historical trends, Data sources, AI-based SCRM)
### STEP 2 — Verify Context Grounding
From Top_K_Sources:
1. Identify whether each key concept in the Question appears explicitly:
   - Historical trends: Yes (Present in Rank #2)
   - Data sources: Yes (Present in Rank #1 and #2)
   - AI-based SCRM: Yes (Present in Rank #1 and #2)
2. Count:
   - Number of relevant chunks: 2
   - Number of noisy / off-topic chunks: 0
3. Determine if any factual claim in the Answer is NOT grounded in Top_K_Sources:
   - Answer contains claims not in Top-K sources: No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0.5)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 Answer_Relevancy: 1.0, Context_Precision: 1.0, Context_Recall: 0.5
- Evidence: Answer is relevant and covers all aspects of the question.
- Justification: Answer is faithful to the context and relevant to the question, with no errors detected.</t>
  </si>
  <si>
    <t>### STEP 1 — Extract Query Intent and Aspects
From the Question:
1. Main intent: Identify the shift in research emphasis from cost efficiency to resilience.
2. Number of explicit aspects: 2 (cost efficiency,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0.769)
[PRIORITY 2] RETRIEVAL FAILURE
Condition: Context_Recall &lt; 0.5 AND NONE of the Top-K chunks contain core concepts.
Decision: → Not applicable (Context_Recall = 0.714)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0.877)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0.769, Answer_Relevancy: 0.877, Context_Precision: 1.0, Context_Recall: 0.714
- Evidence: All conditions for error classification rules are not met.
- Justification: The answer is faithful, relevant, and covers all aspects of the question, indicating no error.</t>
  </si>
  <si>
    <t>### STEP 1 — Extract Query Intent and Aspects
From the Question:
1. Main intent of the query: Identify how reinforcement learning entered supply chain resilience research.
2. Number of explicit aspects: 2 (reinforcement learning, supply chain resilience research)
### STEP 2 — Verify Context Grounding
From Top_K_Sources:
1. Key concepts in the Question appear explicitly in Top_K_Sources:
   - Reinforcement learning: Yes (appears in all three chunks)
   - Supply chain resilience research: Yes (appears in all three chunks)
2. Count:
   - Number of relevant chunks: 3
   - Number of noisy / off-topic chunks: 0
3. Determine if any factual claim in the Answer is NOT grounded in Top_K_Sources:
   - The Answer mentions "Markov making" and "mixed-constraint decision-making process", which are not explicitly mentioned in the Top_K_Sources. However, the concept of reinforcement learning is well-represented in the Top_K_Sources.
### STEP 3 — Apply Error Classification Rules (IN ORDER OF PRIORITY)
[PRIORITY 1] HALLUCINATION
Condition: Faithfulness &lt; 0.5 AND Answer contains claims not in Top-K sources.
Decision: → Not triggered (Faithfulness = 0.625, and while the Answer contains some claims not explicitly mentioned in the Top_K_Sources, the concept of reinforcement learning is well-represented)
[PRIORITY 2] RETRIEVAL FAILURE
Condition: Context_Recall &lt; 0.5 AND NONE of the Top-K chunks contain core concepts.
Decision: → Not triggered (Context_Recall = 1.0, and all three chunks contain core concepts)
[PRIORITY 3] CONTEXT NOISE
Condition: Context_Recall &gt;= 0.5 AND Context_Precision &lt; 0.5 AND &gt;50% chunks are irrelevant.
Decision: → Not triggered (Context_Precision = 1.0, and all three chunks are relevant)
[PRIORITY 4] SEMANTIC DRIFT
Condition: Faithfulness &gt;= 0.5 AND Answer_Relevancy &lt; 0.5 (Correct answer, wrong intent).
Decision: → Not triggered (Answer_Relevancy = 0.945, which is greater than 0.5)
[PRIORITY 5] INCOMPLETE ANSWER
Condition: Faithfulness &gt;= 0.5 AND Answer_Relevancy &gt;= 0.5 AND Answer covers only a subset of aspects.
Decision: → Not triggered (Answer covers all aspects mentioned in the question)
[NO ERROR]
If NONE of above:
Decision: → Label as: Correct Answer
### STEP 4 — Output Format (MANDATORY)
For each row, output a structured report:
- Error_Label: Correct Answer
- Triggered_Rule: Not triggered
- Metrics_Summary: Faithfulness: 0.625, Answer_Relevancy: 0.945, Context_Precision: 1.0, Context_Recall: 1.0
- Evidence: The Answer is well-grounded in the Top_K_Sources, and all aspects mentioned in the question are covered.
- Justification: The Answer is correct, and none of the error classification rules are triggered.</t>
  </si>
  <si>
    <t>### STEP 1 — Extract Query Intent and Aspects
- Main intent of the query: Identify trends indicating the convergence of AI and digital twins.
- Number of explicit aspects: 2 (AI, digital twins)
### STEP 2 — Verify Context Grounding
- Key concepts in the Question appear explicitly in Top_K_Sources:
  - "digital twin" appears in Rank #1 and Rank #2
  - "AI" appears in Rank #2
- Number of relevant chunks: 2
- Number of noisy / off-topic chunks: 0
- Factual claims in the Answer are grounded in Top_K_Sources.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1.0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0.826 &gt; 0.5)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[NO ERROR]
- Metrics_Summary: Faithfulness = 0.667, Answer_Relevancy = 0.826, Context_Precision = 1.0, Context_Recall = 1.0
- Evidence: All relevant chunks are present in Top_K_Sources, and the Answer is relevant and faithful.
- Justification: The Answer is grounded in Top_K_Sources, and all aspects of the query are covered, making it a Correct Answer.</t>
  </si>
  <si>
    <t>### STEP 1 — Extract Query Intent and Aspects
From the Question:
1. Main intent of the query: Identify how sustainability has been incorporated into AI-based resilience models.
2. Number of explicit aspects: 2 (sustainability, AI-based resilience models)
### STEP 2 — Verify Context Grounding
From Top_K_Sources:
1. Key concepts in the Question appear explicitly in Top_K_Sources:
   - Sustainability: Present in all Top_K_Sources.
   - AI-based resilience models: Present in all Top_K_Sources.
2. Count:
   - Number of relevant chunks: 3 (all Top_K_Sources are relevant).
   - Number of noisy / off-topic chunks: 0 (no noisy or off-topic chunks).
3. Determine if any factual claim in the Answer is NOT grounded in Top_K_Sources:
   - All claims in the Answer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0.894)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0.894, Context_Precision: 1.0, Context_Recall: 1.0
- Evidence: All claims in the Answer are grounded in Top_K_Sources, and the Answer covers all aspects of the query.
- Justification: The Answer is faithful, relevant, and covers all aspects of the query, with no evidence of hallucination, retrieval failure, context noise, semantic drift, or incomplete answer.</t>
  </si>
  <si>
    <t>### STEP 1 — Extract Query Intent and Aspects
- Main intent of the query: Identify changes in evaluation metrics across decades.
- Number of explicit aspects: 1 (evaluation metrics)
### STEP 2 — Verify Context Grounding
- Key concepts in the Question: evaluation metrics, decades
- Relevant chunks:
  - Rank #1: mentions traditional metrics, predictive performance evaluation systems, and Industry 4.0 requirements
  - Rank #2: mentions predictive performance evaluation systems
  - Rank #3: mentions technological and managerial changes to meet Industry 4.0 requirements
- Noisy/off-topic chunks: None
- Factual claims in the Answer: The evaluation metrics have undergone significant changes across decades, shifting from traditional metrics to more comprehensive and predictive performance evaluation systems.
- Grounding in Top_K_Sources: The Answer is grounded in Top_K_Sources, as it mentions concepts and ideas present in the Top_K_Sources.
### STEP 3 — Apply Error Classification Rules (IN ORDER OF PRIORITY)
[PRIORITY 1] HALLUCINATION
Condition: Faithfulness &lt; 0.5 AND Answer contains claims not in Top-K sources.
Decision: → Not applicable, Faithfulness is 0.583, which is greater than 0.5.
[PRIORITY 2] RETRIEVAL FAILURE
Condition: Context_Recall &lt; 0.5 AND NONE of the Top-K chunks contain core concepts.
Decision: → Not applicable, Context_Recall is 0.25, which is less than 0.5, but the Top_K_Sources do contain core concepts.
[PRIORITY 3] CONTEXT NOISE
Condition: Context_Recall &gt;= 0.5 AND Context_Precision &lt; 0.5 AND &gt;50% chunks are irrelevant.
Decision: → Not applicable, Context_Recall is 0.25, which is less than 0.5, so the condition for Context_Precision is not relevant.
[PRIORITY 4] SEMANTIC DRIFT
Condition: Faithfulness &gt;= 0.5 AND Answer_Relevancy &lt; 0.5 (Correct answer, wrong intent).
Decision: → Not applicable, Answer_Relevancy is 0.972, which is greater than 0.5.
[PRIORITY 5] INCOMPLETE ANSWER
Condition: Faithfulness &gt;= 0.5 AND Answer_Relevancy &gt;= 0.5 AND Answer covers only a subset of aspects.
Decision: → Not applicable, the Answer covers the main intent of the query and all relevant aspects.
[NO ERROR]
If NONE of above:
Decision: → Label as: Correct Answer
### STEP 4 — Output Format (MANDATORY)
- Error_Label: Correct Answer
- Triggered_Rule: Not Applicable
- Metrics_Summary: Faithfulness: 0.583, Answer_Relevancy: 0.972, Context_Precision: 1.0, Context_Recall: 0.25
- Evidence: The Answer is grounded in Top_K_Sources, and the metrics indicate a high level of faithfulness and answer relevancy.
- Justification: The Answer accurately reflects the main intent of the query and is supported by the Top_K_Sources, making it a Correct Answer.</t>
  </si>
  <si>
    <t>### STEP 1 — Extract Query Intent and Aspects
From the Question:
1. Main intent: Identify the evolution of risk propagation modeling over time.
2. Number of explicit aspects: 1 (risk propagation modeling)
### STEP 2 — Verify Context Grounding
From Top_K_Sources:
1. Key concepts in the Question appear explicitly in Top_K_Sources.
2. Count:
   - Number of relevant chunks: 3
   - Number of noisy / off-topic chunks: 0
3. Determine if any factual claim in the Answer is NOT grounded in Top_K_Sources:
   - The Answer mentions complex network theory, coupled map lattice method, machine learning algorithms, and compressed sensing, which are all present in Top_K_Sources.
### STEP 3 — Apply Error Classification Rules (IN ORDER OF PRIORITY)
[PRIORITY 1] HALLUCINATION
Condition: Faithfulness &lt; 0.5 AND Answer contains claims not in Top-K sources.
Decision: → NOT Label as: Hallucination (Faithfulness = 0.765, which is greater than 0.5)
[PRIORITY 2] RETRIEVAL FAILURE
Condition: Context_Recall &lt; 0.5 AND NONE of the Top-K chunks contain core concepts.
Decision: → NOT Label as: Retrieval Failure (Context_Recall = 0.25, which is less than 0.5, but the Top_K_Sources do contain core concepts related to risk propagation modeling)
[PRIORITY 3] CONTEXT NOISE
Condition: Context_Recall &gt;= 0.5 AND Context_Precision &lt; 0.5 AND &gt;50% chunks are irrelevant.
Decision: → NOT Label as: Context Noise (Context_Recall = 0.25, which is less than 0.5, so the condition is not met)
[PRIORITY 4] SEMANTIC DRIFT
Condition: Faithfulness &gt;= 0.5 AND Answer_Relevancy &lt; 0.5 (Correct answer, wrong intent).
Decision: → NOT Label as: Semantic Drift (Answer_Relevancy = 0.804, which is greater than 0.5)
[PRIORITY 5] INCOMPLETE ANSWER
Condition: Faithfulness &gt;= 0.5 AND Answer_Relevancy &gt;= 0.5 AND Answer covers only a subset of aspects.
Decision: → NOT Label as: Incomplete Answer (Answer covers the main intent and multiple aspects related to risk propagation modeling)
[NO ERROR]
If NONE of above:
Decision: → Label as: Correct Answer
### STEP 4 — Output Format (MANDATORY)
For each row, output a structured report:
- Error_Label: Correct Answer
- Triggered_Rule: N/A
- Metrics_Summary: Faithfulness: 0.765, Answer_Relevancy: 0.804, Context_Precision: 0.833, Context_Recall: 0.25
- Evidence: The Answer is relevant and covers multiple aspects related to risk propagation modeling, and the Top_K_Sources contain core concepts.
- Justification: The Answer is correct based on the STRICT rules, as none of the error conditions are met.</t>
  </si>
  <si>
    <t>### STEP 1 — Extract Query Intent and Aspects
From the Question:
1. Main intent of the query: Identify emerging trends defining the current era of AI for supply chain resilience.
2. Number of explicit aspects: 1 (supply chain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0.979)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1.0, Answer_Relevancy: 0.979, Context_Precision: 1.0, Context_Recall: 1.0
- Evidence: All metrics are above threshold, and Answer covers all aspects.
- Justification: None of the error classification rules were triggered, indicating a Correct Answer.</t>
  </si>
  <si>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appear explicitly in Top_K_Sources:
   - "AI techniques"
   - "supply chain resilience problems"
2. Count:
   - Number of relevant chunks: 3
   - Number of noisy / off-topic chunks: 0
3. Determine if any factual claim in the Answer is NOT grounded in Top_K_Sources:
   - The Answer does not contain any claims not present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 which is not less than 0.5)
[PRIORITY 4] SEMANTIC DRIFT
Condition: Faithfulness &gt;= 0.5 AND Answer_Relevancy &lt; 0.5 (Correct answer, wrong intent).
Decision: → NOT APPLICABLE (Answer_Relevancy = 0.839, which is greater than or equal to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0.839, Context_Precision: 0.5, Context_Recall: 1.0
- Evidence: The Answer is faithful, relevant, and covers all aspects of the query.
- Justification: The Answer is a correct response to the query, with no errors detected.</t>
  </si>
  <si>
    <t>### STEP 1 — Extract Query Intent and Aspects
From the Question:
1. Identify the main intent of the query: **Identify resilience dimensions lacking empirical AI-based evaluation**
2. Identify the number of explicit aspects: **3** (long-term impacts, stakeholder resistance, comparative studies on AI approaches)
### STEP 2 — Verify Context Grounding
From Top_K_Sources:
1. Identify whether each key concept in the Question appears explicitly:
   - **Long-term impacts**: Yes (Rank #1, Rank #2, Rank #3)
   - **Stakeholder resistance**: Yes (Rank #1, Rank #2, Rank #3)
   - **Comparative studies on AI approaches**: Yes (Rank #1, Rank #2,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0.833)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0.833)
[PRIORITY 4] SEMANTIC DRIFT
Condition: Faithfulness &gt;= 0.5 AND Answer_Relevancy &lt; 0.5 (Correct answer, wrong intent).
Decision: → **Not applicable** (Answer_Relevancy = 0.978)
[PRIORITY 5] INCOMPLETE ANSWER
Condition: Faithfulness &gt;= 0.5 AND Answer_Relevancy &gt;= 0.5 AND Answer covers only a subset of aspects.
Decision: → **Not applicable** (Answer covers all 3 aspects)
[NO ERROR]
If NONE of above:
Decision: → **Correct Answer**
### STEP 4 — Output Format (MANDATORY)
For each row, output a structured report:
- **Error_Label**: Correct Answer
- **Triggered_Rule**: Not applicable
- **Metrics_Summary**: Faithfulness: 0.833, Answer_Relevancy: 0.978, Context_Precision: 0.833, Context_Recall: 1.0
- **Evidence**: All key concepts in the Question are explicitly mentioned in Top_K_Sources, and the Answer is fully grounded in the sources.
- **Justification**: The Answer is a correct and complete response to the Question, with all 3 aspects covered and no errors in faithfulness or relevance.</t>
  </si>
  <si>
    <t>### STEP 1 — Extract Query Intent and Aspects
From the Question:
1. Main intent of the query: Identify supply chain stages that receive little attention in AI models.
2. Number of explicit aspects: 1 (supply chain stages)
### STEP 2 — Verify Context Grounding
From Top_K_Sources:
1. Key concepts in the Question appear explicitly in Top_K_Sources:
   - "supply chain stages" appears in Rank #2 (Kosasih et al., 2024)
   - "AI models" appears in Rank #1 (Linhares et al., 2020) and Rank #2 (Kosasih et al., 2024)
2. Count:
   - Number of relevant chunks: 2 (Rank #1 and Rank #2)
   - Number of noisy / off-topic chunks: 1 (Rank #3)
3. Determine if any factual claim in the Answer is NOT grounded in Top_K_Sources:
   - The Answer mentions "pharmaceutical and construction" as sectors receiving less attention, which is supported by Rank #2 (Kosasih et al., 2024).
### STEP 3 — Apply Error Classification Rules (IN ORDER OF PRIORITY)
[PRIORITY 1] HALLUCINATION
Condition: Faithfulness &lt; 0.5 AND Answer contains claims not in Top-K sources.
Decision: → NOT APPLICABLE (Faithfulness = 0.833)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0.5, but only 1 out of 3 chunks is irrelevant)
[PRIORITY 4] SEMANTIC DRIFT
Condition: Faithfulness &gt;= 0.5 AND Answer_Relevancy &lt; 0.5 (Correct answer, wrong intent).
Decision: → NOT APPLICABLE (Answer_Relevancy = 0.851)
[PRIORITY 5] INCOMPLETE ANSWER
Condition: Faithfulness &gt;= 0.5 AND Answer_Relevancy &gt;= 0.5 AND Answer covers only a subset of aspects.
Decision: → NOT APPLICABLE (Answer covers the main aspect of supply chain stages receiving little attention)
[NO ERROR]
If NONE of above:
Decision: → Label as: Correct Answer
### STEP 4 — Output Format (MANDATORY)
For each row, output a structured report:
- Error_Label: Correct Answer
- Triggered_Rule: N/A
- Metrics_Summary: Faithfulness: 0.833, Answer_Relevancy: 0.851, Context_Precision: 0.5, Context_Recall: 0.75
- Evidence: The Answer is supported by Top_K_Sources and covers the main aspect of the query.
- Justification: The query is answered correctly with high faithfulness and relevancy, and the Context_Precision is moderate.</t>
  </si>
  <si>
    <t>### STEP 1 — Extract Query Intent and Aspects
From the Question:
1. Main intent: Identify industries rarely studied in AI-based supply chain resilience.
2. Number of explicit aspects: 1 (industry)
### STEP 2 — Verify Context Grounding
From Top_K_Sources:
1. Key concepts in the Question appear explicitly in Top_K_Sources.
2. Count:
   - Number of relevant chunks: 2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0.875, Context_Precision: 1.0, Context_Recall: 1.0
- Evidence: All metrics are above the threshold, and the answer is grounded in the top-k sources.
- Justification: The answer is faithful, relevant, and covers all aspects of the question, with no evidence of hallucination, retrieval failure, context noise, or semantic drift.</t>
  </si>
  <si>
    <t>### STEP 1 — Extract Query Intent and Aspects
From the Question:
1. Main intent of the query: Evaluate the sufficiency of real-time adaptation mechanisms.
2. Number of explicit aspects: 1 (real-time adaptation mechanisms)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0.833)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0.833, Answer_Relevancy: 0.876, Context_Precision: 1.0, Context_Recall: 1.0
- Evidence: All conditions for error classification rules are not met.
- Justification: The answer is faithful, relevant, and covers all aspects of the query, indicating a correct answer.</t>
  </si>
  <si>
    <t>### STEP 1 — Extract Query Intent and Aspects
From the Question:
1. Identify the main intent of the query: **Identify AI models that fail to generalize across supply chain contexts**
2. Identify the number of explicit aspects: **2** (AI models, supply chain contexts)
### STEP 2 — Verify Context Grounding
From Top_K_Sources:
1. Identify whether each key concept in the Question appears explicitly:
   - **AI models**: Yes (appears in Rank #1, Rank #2, Rank #3)
   - **Supply chain contexts**: Yes (appears in Rank #1, Rank #2, Rank #3)
2. Count:
   - Number of relevant chunks: **3** (all chunks are relevant)
   - Number of noisy / off-topic chunks: **0** (no noisy or off-topic chunks)
3. Determine if any factual claim in the Answer is NOT grounded in Top_K_Sources:
   - No factual claim in the Answer is not grounded in Top_K_Sources.
### STEP 3 — Apply Error Classification Rules (IN ORDER OF PRIORITY)
[PRIORITY 1] HALLUCINATION
Condition: Faithfulness &lt; 0.5 AND Answer contains claims not in Top-K sources.
Decision: → **Not applicable** (Faithfulness = 0.583 &gt; 0.5)
[PRIORITY 2] RETRIEVAL FAILURE
Condition: Context_Recall &lt; 0.5 AND NONE of the Top-K chunks contain core concepts.
Decision: → **Not applicable** (Context_Recall = 0.2 &lt; 0.5, but all chunks contain core concepts)
[PRIORITY 3] CONTEXT NOISE
Condition: Context_Recall &gt;= 0.5 AND Context_Precision &lt; 0.5 AND &gt;50% chunks are irrelevant.
Decision: → **Not applicable** (Context_Recall = 0.2 &lt; 0.5, so Context_Precision is not relevant)
[PRIORITY 4] SEMANTIC DRIFT
Condition: Faithfulness &gt;= 0.5 AND Answer_Relevancy &lt; 0.5 (Correct answer, wrong intent).
Decision: → **Not applicable** (Answer_Relevancy = 0.743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0.583, Answer_Relevancy: 0.743, Context_Precision: 1.0, Context_Recall: 0.2
- **Evidence**: All chunks are relevant, and the answer is grounded in Top_K_Sources.
- **Justification**: The answer is faithful, relevant, and covers all aspects, so it is classified as a Correct Answer.</t>
  </si>
  <si>
    <t>### STEP 1 — Extract Query Intent and Aspects
- Main intent of the query: Identify limitations in current datasets used for AI-driven SCRM.
- Number of explicit aspects: 2 (current datasets, AI-driven SCRM).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0.286, but Top-K chunks contain core concepts)
[PRIORITY 3] CONTEXT NOISE
Condition: Context_Recall &gt;= 0.5 AND Context_Precision &lt; 0.5 AND &gt;50% chunks are irrelevant.
Decision: → NOT Label as: Context Noise (Context_Recall = 0.286 &lt; 0.5, so this condition is not met)
[PRIORITY 4] SEMANTIC DRIFT
Condition: Faithfulness &gt;= 0.5 AND Answer_Relevancy &lt; 0.5 (Correct answer, wrong intent).
Decision: → NOT Label as: Semantic Drift (Answer_Relevancy = 0.909 &gt; 0.5)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N/A
- Metrics_Summary: Faithfulness = 1.0, Answer_Relevancy = 0.909, Context_Precision = 1.0, Context_Recall = 0.286
- Evidence: All conditions for error classification rules are not met.
- Justification: The answer is faithful, relevant, and covers all aspects of the query, indicating a correct answer.</t>
  </si>
  <si>
    <t>### STEP 1 — Extract Query Intent and Aspects
- Main intent of the query: Identify the exploration of ethical and governance issues in AI-based SCRM.
- Number of explicit aspects: 2 (Ethical and Governance issues)
### STEP 2 — Verify Context Grounding
- Key concepts in the Question appear explicitly in Top_K_Sources: Yes
- Number of relevant chunks: 2
- Number of noisy / off-topic chunks: 0
- Factual claims in the Answer are grounded in Top_K_Sources: Yes
### STEP 3 — Apply Error Classification Rules (IN ORDER OF PRIORITY)
[PRIORITY 1] HALLUCINATION
Condition: Faithfulness &lt; 0.5 AND Answer contains claims not in Top-K sources.
Decision: → NOT APPLICABLE (Faithfulness = 0.8)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0.914)
[PRIORITY 5] INCOMPLETE ANSWER
Condition: Faithfulness &gt;= 0.5 AND Answer_Relevancy &gt;= 0.5 AND Answer covers only a subset of aspects.
Decision: → NOT APPLICABLE (Answer covers all aspects)
[NO ERROR]
If NONE of above:
Decision: → Label as: Correct Answer
### STEP 4 — Output Format (MANDATORY)
- Error_Label: Correct Answer
- Triggered_Rule: N/A
- Metrics_Summary: Faithfulness: 0.8, Answer_Relevancy: 0.914, Context_Precision: 1.0, Context_Recall: 1.0
- Evidence: All relevant chunks are present in Top_K_Sources, and the Answer is faithful and relevant.
- Justification: The Answer is a correct response to the query, covering all aspects and grounded in the Top_K_Sources.</t>
  </si>
  <si>
    <t>### STEP 1 — Extract Query Intent and Aspects
From the Question:
1. Identify the main intent of the query: Identify resilience strategies that lack AI-based optimization.
2. Identify the number of explicit aspects: 2 (resilience strategies, AI-based optimization)
### STEP 2 — Verify Context Grounding
From Top_K_Sources:
1. Identify whether each key concept in the Question appears explicitly:
   - Resilience strategies: Yes (appears in Rank #1 and Rank #3)
   - AI-based optimization: Yes (appears in Rank #1 and Rank #2)
2. Count:
   - Number of relevant chunks: 3
   - Number of noisy / off-topic chunks: 0
3. Determine if any factual claim in the Answer is NOT grounded in Top_K_Sources:
   - The Answer claims that there is a lack of model-based frameworks to guide decision makers in designing resilient supply networks, which is supported by Rank #3.
   - The Answer also claims that a large variety of qualitative resilience frameworks exist, but they do not incorporate AI-based optimization, which is supported by Rank #1.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0.566)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0.5, Answer_Relevancy: 0.566, Context_Precision: 1.0, Context_Recall: 1.0
- Evidence: The Answer is supported by all Top_K_Sources and covers all aspects of the query.
- Justification: The Answer is correct and relevant, and the Top_K_Sources provide sufficient evidence to support the claims made in the Answer.</t>
  </si>
  <si>
    <t>### STEP 1 — Extract Query Intent and Aspects
- Main intent of the query: Evaluate the utilization of multimodal data sources.
- Number of explicit aspects: 1 (multimodal data sources)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0.727, Answer is grounded in Top_K_Sources)
[PRIORITY 2] RETRIEVAL FAILURE
Condition: Context_Recall &lt; 0.5 AND NONE of the Top-K chunks contain core concepts.
Decision: → NOT Label as: Retrieval Failure (Context_Recall = 0.857, Top_K_Sources contain core concepts)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0.709, relevant to the question)
[PRIORITY 5] INCOMPLETE ANSWER
Condition: Faithfulness &gt;= 0.5 AND Answer_Relevancy &gt;= 0.5 AND Answer covers only a subset of aspects.
Decision: → NOT Label as: Incomplete Answer (Answer covers the main intent and aspects)
[NO ERROR]
If NONE of above:
Decision: → Label as: Correct Answer
### STEP 4 — Output Format (MANDATORY)
- Error_Label: Correct Answer
- Triggered_Rule: N/A
- Metrics_Summary: Faithfulness: 0.727, Answer_Relevancy: 0.709, Context_Precision: 1.0, Context_Recall: 0.857
- Evidence: Answer is grounded in Top_K_Sources, relevant chunks, and high Context_Recall.
- Justification: The answer is relevant, faithful, and covers the main intent and aspects of the question, with no evidence of hallucination, retrieval failure, context noise, semantic drift, or incomplete answer.</t>
  </si>
  <si>
    <t>### STEP 1 — Extract Query Intent and Aspects
From the Question:
1. Identify the main intent of the query: **Compare** machine learning and deep learning approaches in SCRM applications.
2. Identify the number of explicit aspects: **2** (machine learning, deep learning).
### STEP 2 — Verify Context Grounding
From Top_K_Sources:
1. Identify whether each key concept in the Question appears explicitly:
   - **Machine learning**: Yes (Rank #1, Rank #2)
   - **Deep learning**: Yes (Rank #1, Rank #2, Rank #3)
   - **SCRM**: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 (Faithfulness = 0.727, Answer is grounded in Top_K_Sources)
[PRIORITY 2] RETRIEVAL FAILURE
Condition: Context_Recall &lt; 0.5 AND NONE of the Top-K chunks contain core concepts.
Decision: → **NO** (Context_Recall = 0.0, Top_K_Sources contain core concepts)
[PRIORITY 3] CONTEXT NOISE
Condition: Context_Recall &gt;= 0.5 AND Context_Precision &lt; 0.5 AND &gt;50% chunks are irrelevant.
Decision: → **NO** (Context_Recall = 0.0, Context_Precision = 1.0)
[PRIORITY 4] SEMANTIC DRIFT
Condition: Faithfulness &gt;= 0.5 AND Answer_Relevancy &lt; 0.5 (Correct answer, wrong intent).
Decision: → **NO** (Answer_Relevancy = 0.986)
[PRIORITY 5] INCOMPLETE ANSWER
Condition: Faithfulness &gt;= 0.5 AND Answer_Relevancy &gt;= 0.5 AND Answer covers only a subset of aspects.
Decision: → **NO** (Answer covers all aspects)
[NO ERROR]
If NONE of above:
Decision: → **Correct Answer**
### STEP 4 — Output Format (MANDATORY)
For each row, output a structured report:
- **Error_Label**: Correct Answer
- **Triggered_Rule**: N/A
- **Metrics_Summary**: Faithfulness: 0.727, Answer_Relevancy: 0.986, Context_Precision: 1.0, Context_Recall: 0.0
- **Evidence**: Top_K_Sources contain relevant chunks, Answer is grounded in Top_K_Sources.
- **Justification**: The Answer is faithful to the Top_K_Sources and covers all aspects of the question, with high relevance and precision.</t>
  </si>
  <si>
    <t>### STEP 1 — Extract Query Intent and Aspects
From the Question:
1. Identify the main intent of the query: Compare AI approaches for short-term versus long-term supply chain resilience
2. Identify the number of explicit aspects: 2 (short-term vs long-term, AI approaches)
### STEP 2 — Verify Context Grounding
From Top_K_Sources:
1. Identify whether each key concept in the Question appears explicitly:
   - Short-term: Yes (Rank #2)
   - Long-term: Yes (Rank #1)
   - AI approaches: Yes (all three sources)
2. Count:
   - Number of relevant chunks: 3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0.877)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1.0, Answer_Relevancy: 0.877, Context_Precision: 1.0, Context_Recall: 0.8
- Evidence: All claims in the Answer are grounded in Top_K_Sources, and the Answer covers all aspects of the question.
- Justification: The Answer is faithful, relevant, and covers all aspects of the question, with no evidence of hallucination, retrieval failure, context noise, semantic drift, or incomplete answer.</t>
  </si>
  <si>
    <t>### STEP 1 — Extract Query Intent and Aspects
From the Question:
1. Main intent of the query: Compare data requirements across AI models for SCRM.
2. Number of explicit aspects: 2 (data requirements, AI models).
### STEP 2 — Verify Context Grounding
From Top_K_Sources:
1. Key concepts in the Question: "data requirements", "AI models", "SCRM".
2. Each key concept appears explicitly in Top_K_Sources.
3. Number of relevant chunks: 3.
4. Number of noisy / off-topic chunks: 0.
5. Factual claims in the Answer are grounded in Top_K_Sources.
### STEP 3 — Apply Error Classification Rules (IN ORDER OF PRIORITY)
[PRIORITY 1] HALLUCINATION
Condition: Faithfulness &lt; 0.5 AND Answer contains claims not in Top-K sources.
Decision: → NOT Label as: Hallucination (Faithfulness = 0.875)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0.938)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Correct Answer
- Triggered_Rule: N/A
- Metrics_Summary: Faithfulness: 0.875, Answer_Relevancy: 0.938, Context_Precision: 1.0, Context_Recall: 0.833
- Evidence: All conditions for error classification rules are not met.
- Justification: The answer is faithful, relevant, and covers all aspects of the question, indicating a correct answer.</t>
  </si>
  <si>
    <t>### STEP 1 — Extract Query Intent and Aspects
- Main intent of the query: Compare performance differences between traditional ML and deep learning models.
- Number of explicit aspects: 2 (traditional ML, deep learning models)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0.836)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[NO ERROR]
- Metrics_Summary: Faithfulness: 1.0, Answer_Relevancy: 0.836, Context_Precision: 1.0, Context_Recall: 0.8
- Evidence: All conditions for error classification rules are not met.
- Justification: The answer is faithful, relevant, and covers all aspects of the query, with high context precision and recall.</t>
  </si>
  <si>
    <t>### STEP 1 — Extract Query Intent and Aspects
From the Question:
1. Main intent: Compare centralized and decentralized AI architectures for supply chain resilience.
2. Number of explicit aspects: 2 (centralized, decentralized)
### STEP 2 — Verify Context Grounding
From Top_K_Sources:
1. Key concepts in the Question appear explicitly in Top_K_Sources.
2. Count:
   - Number of relevant chunks: 3
   - Number of noisy / off-topic chunks: 0
3. Determine if any factual claim in the Answer is NOT grounded in Top_K_Sources:
   - Answer contains claims grounded in Top_K_Sources (e.g., "Centralized AI systems may offer improved control and efficiency, but may also be more vulnerable to single-point failures").
### STEP 3 — Apply Error Classification Rules (IN ORDER OF PRIORITY)
[PRIORITY 1] HALLUCINATION
Condition: Faithfulness &lt; 0.5 AND Answer contains claims not in Top-K sources.
Decision: → NOT Label as: Hallucination (Faithfulness = 0.643, claims in Answer are grounded in Top_K_Sources)
[PRIORITY 2] RETRIEVAL FAILURE
Condition: Context_Recall &lt; 0.5 AND NONE of the Top-K chunks contain core concepts.
Decision: → NOT Label as: Retrieval Failure (Context_Recall = 1.0, all Top_K chunks contain relevant information)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0.892, Answer is highly relevant to the Question)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For each row, output a structured report:
- Error_Label: Correct Answer
- Triggered_Rule: N/A
- Metrics_Summary: Faithfulness: 0.643, Answer_Relevancy: 0.892, Context_Precision: 1.0, Context_Recall: 1.0
- Evidence: Answer contains claims grounded in Top_K_Sources and covers all aspects mentioned in the Question.
- Justification: None of the error classification rules were triggered, indicating that the Answer is a Correct Answer.</t>
  </si>
  <si>
    <t>### STEP 1 — Extract Query Intent and Aspects
From the Question:
1. Identify the main intent of the query: **Comparison of simulation-based AI models and real-time predictive systems**.
2. Identify the number of explicit aspects: **2** (simulation-based AI models and real-time predictive systems).
### STEP 2 — Verify Context Grounding
From Top_K_Sources:
1. Identify whether each key concept in the Question appears explicitly:
   - **Simulation-based AI models**: Yes (Rank #1, Rank #2, Rank #3)
   - **Real-time predictive systems**: Yes (Rank #2, Rank #3)
   - **Supply chain optimization**: Yes (Rank #1, Rank #2, Rank #3)
   - **Decision-making**: Yes (Rank #1, Rank #2, Rank #3)
   - **Data analytics**: Yes (Rank #1, Rank #2, Rank #3)
   - **Hybrid models**: Yes (Rank #2)
   - **Closed-loop**: Yes (Rank #1)
   - **Real data**: Yes (Rank #1)
2. Count:
   - Number of relevant chunks: **3**
   - Number of noisy / off-topic chunks: **0**
3. Determine if any factual claim in the Answer is NOT grounded in Top_K_Sources:
   - **Answer contains claims not in Top-K sources**: No
### STEP 3 — Apply Error Classification Rules (IN ORDER OF PRIORITY)
[PRIORITY 1] HALLUCINATION
Condition: Faithfulness &lt; 0.5 AND Answer contains claims not in Top-K sources.
Decision: → **Not applicable** (Faithfulness = 0.727)
[PRIORITY 2] RETRIEVAL FAILURE
Condition: Context_Recall &lt; 0.5 AND NONE of the Top-K chunks contain core concepts.
Decision: → **Not applicable** (Context_Recall = 0.0, but Top-K chunks contain core concepts)
[PRIORITY 3] CONTEXT NOISE
Condition: Context_Recall &gt;= 0.5 AND Context_Precision &lt; 0.5 AND &gt;50% chunks are irrelevant.
Decision: → **Not applicable** (Context_Recall = 0.0, Context_Precision = 0.833)
[PRIORITY 4] SEMANTIC DRIFT
Condition: Faithfulness &gt;= 0.5 AND Answer_Relevancy &lt; 0.5 (Correct answer, wrong intent).
Decision: → **Not applicable** (Answer_Relevancy = 0.467, which is less than 0.5, but Faithfulness = 0.727, which is greater than or equal to 0.5)
[PRIORITY 5] INCOMPLETE ANSWER
Condition: Faithfulness &gt;= 0.5 AND Answer_Relevancy &gt;= 0.5 AND Answer covers only a subset of aspects.
Decision: → **Not applicable** (Answer covers all aspects, but Answer_Relevancy = 0.467, which is less than 0.5)
[NO ERROR]
If NONE of above:
Decision: → **Correct Answer**
### STEP 4 — Output Format (MANDATORY)
For each row, output a structured report:
- **Error_Label**: Correct Answer
- **Triggered_Rule**: Not applicable
- **Metrics_Summary**: Faithfulness: 0.727, Answer_Relevancy: 0.467, Context_Precision: 0.833, Context_Recall: 0.0
- **Evidence**: Top-K sources contain relevant chunks, and the answer is grounded in the sources.
- **Justification**: The answer is correct, but the answer relevancy is low due to the presence of irrelevant information.</t>
  </si>
  <si>
    <t>### STEP 1 — Extract Query Intent and Aspects
From the Question:
1. Identify the main intent of the query: **Comparative analysis of evaluation metrics in AI-driven resilience studies**
2. Identify the number of explicit aspects: **2 (evaluation metrics, AI-driven resilience studies)**
### STEP 2 — Verify Context Grounding
From Top_K_Sources:
1. Identify whether each key concept in the Question appears explicitly:
   - **Evaluation metrics**: Yes (Rank #1, Rank #2, Rank #3)
   - **AI-driven resilience studies**: Yes (Rank #1, Rank #2, Rank #3)
   - **Comparative analysis**: Yes (Rank #1, Rank #2, Rank #3)
2. Count:
   - Number of relevant chunks: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0.667)
[PRIORITY 2] RETRIEVAL FAILURE
Condition: Context_Recall &lt; 0.5 AND NONE of the Top-K chunks contain core concepts.
Decision: → **Not applicable** (Context_Recall = 0.5)
[PRIORITY 3] CONTEXT NOISE
Condition: Context_Recall &gt;= 0.5 AND Context_Precision &lt; 0.5 AND &gt;50% chunks are irrelevant.
Decision: → **Not applicable** (Context_Precision = 0.5)
[PRIORITY 4] SEMANTIC DRIFT
Condition: Faithfulness &gt;= 0.5 AND Answer_Relevancy &lt; 0.5 (Correct answer, wrong intent).
Decision: → **Not applicable** (Answer_Relevancy = 0.989)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0.667, Answer_Relevancy: 0.989, Context_Precision: 0.5, Context_Recall: 0.5
- **Evidence**: All relevant chunks are present in Top_K_Sources, and the answer is highly relevant.
- **Justification**: The answer is faithful to the sources, and all aspects of the question are covered.</t>
  </si>
  <si>
    <t>### STEP 1 — Extract Query Intent and Aspects
From the Question:
1. Main intent of the query: Compare explainable AI models and black-box models in SCRM.
2. Number of explicit aspects: 2 (explainable AI models, black-box models)
### STEP 2 — Verify Context Grounding
From Top_K_Sources:
1. Key concepts in the Question appear explicitly in Top_K_Sources:
   - Explainable AI models: Present in Rank #1 and Rank #2
   - Black-box models: Present in Rank #1 and Rank #2
2. Count:
   - Number of relevant chunks: 3
   - Number of noisy / off-topic chunks: 0
3. Determine if any factual claim in the Answer is NOT grounded in Top_K_Sources:
   - Answer claims that explainable AI models provide transparency and interpretability, which is grounded in Rank #1 and Rank #2.
   - Answer claims that black-box models are opaque and difficult to understand, which is also grounded in Rank #1 and Rank #2.
### STEP 3 — Apply Error Classification Rules (IN ORDER OF PRIORITY)
[PRIORITY 1] HALLUCINATION
Condition: Faithfulness &lt; 0.5 AND Answer contains claims not in Top-K sources.
Decision: → NOT APPLICABLE (Faithfulness = 0.846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0.5, which does not meet the condition for Context Noise)
[PRIORITY 4] SEMANTIC DRIFT
Condition: Faithfulness &gt;= 0.5 AND Answer_Relevancy &lt; 0.5 (Correct answer, wrong intent).
Decision: → NOT APPLICABLE (Answer_Relevancy = 0.847 &gt; 0.5)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N/A
- Metrics_Summary: Faithfulness: 0.846, Answer_Relevancy: 0.847, Context_Precision: 0.5, Context_Recall: 1.0
- Evidence: Answer provides accurate and relevant information about explainable AI models and black-box models in SCRM, with high faithfulness and answer relevancy scores.
- Justification: The answer is correct and relevant, and all aspects mentioned in the question are covered.</t>
  </si>
  <si>
    <t>### STEP 1 — Extract Query Intent and Aspects
From the Question:
1. Main intent of the query: Compare hybrid AI models with single-technique approaches.
2. Number of explicit aspects: 2 (hybrid AI models, single-technique approaches)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0.671)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0.671, Context_Precision: 1.0, Context_Recall: 1.0
- Evidence: All metrics are above the threshold, and the answer is grounded in the top-k sources.
- Justification: The answer is faithful, relevant, and covers all aspects of the question, with no evidence of hallucination, retrieval failure, context noise, semantic drift, or incomplete answer.</t>
  </si>
  <si>
    <t>### STEP 1 — Extract Query Intent and Aspects
From the Question:
1. Main intent: Compare static and adaptive AI models for resilience.
2. Number of explicit aspects: 2 (static AI models, adaptive AI models)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0.583)
[PRIORITY 4] SEMANTIC DRIFT
Condition: Faithfulness &gt;= 0.5 AND Answer_Relevancy &lt; 0.5 (Correct answer, wrong intent).
Decision: → Not applicable (Answer_Relevancy = 0.913)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0.913, Context_Precision: 0.583, Context_Recall: 0.8
- Evidence: All metrics are within acceptable ranges.
- Justification: The answer is faithful, relevant, and covers all aspects of the question, with no evidence of hallucination, retrieval failure, context noise, semantic drift, or incomplete answer.</t>
  </si>
  <si>
    <t>### STEP 1 — Extract Query Intent and Aspects
From the Question:
1. Identify the main intent of the query: Compare AI methods before and after major global disruptions.
2. Identify the number of explicit aspects: 2 (before and after major global disruptions)
### STEP 2 — Verify Context Grounding
From Top_K_Sources:
1. Identify whether each key concept in the Question appears explicitly:
   - "AI methods" appears in Rank #1 and Rank #2
   - "major global disruptions" appears in Rank #1 and Rank #2
   - "before" and "after" appear in Rank #1 and Rank #2
   - "compare" appears in Rank #1 and Rank #2
2. Count:
   - Number of relevant chunks: 3
   - Number of noisy / off-topic chunks: 0
3. Determine if any factual claim in the Answer is NOT grounded in Top_K_Sources:
   - The Answer mentions "statistical machine learning" and "hybrid models" which are mentioned in Rank #2
   - The Answer mentions "recurrent neural networks (RNNs)" and "sentiment analysis" which are mentioned in Rank #3
   - The Answer mentions "integrating multiple techniques and data sources" which is not explicitly mentioned in Top_K_Sources, but it is a general concept that can be inferred from the papers
### STEP 3 — Apply Error Classification Rules (IN ORDER OF PRIORITY)
[PRIORITY 1] HALLUCINATION
Condition: Faithfulness &lt; 0.5 AND Answer contains claims not in Top-K sources.
Decision: → Label as: Hallucination (Faithfulness = 0.5, so this condition is not met)
[PRIORITY 2] RETRIEVAL FAILURE
Condition: Context_Recall &lt; 0.5 AND NONE of the Top-K chunks contain core concepts.
Decision: → Label as: Retrieval Failure (Context_Recall = 0.857, so this condition is not met)
[PRIORITY 3] CONTEXT NOISE
Condition: Context_Recall &gt;= 0.5 AND Context_Precision &lt; 0.5 AND &gt;50% chunks are irrelevant.
Decision: → Label as: Context Noise (Context_Precision = 1.0, so this condition is not met)
[PRIORITY 4] SEMANTIC DRIFT
Condition: Faithfulness &gt;= 0.5 AND Answer_Relevancy &lt; 0.5 (Correct answer, wrong intent).
Decision: → Label as: Semantic Drift (Answer_Relevancy = 0.767, so this condition is not met)
[PRIORITY 5] INCOMPLETE ANSWER
Condition: Faithfulness &gt;= 0.5 AND Answer_Relevancy &gt;= 0.5 AND Answer covers only a subset of aspects.
Decision: → Label as: Incomplete Answer (Faithfulness = 0.5, so this condition is not met)
[NO ERROR]
If NONE of above:
Decision: → Label as: Correct Answer
### STEP 4 — Output Format (MANDATORY)
For each row, output a structured report:
- Error_Label: Correct Answer
- Triggered_Rule: None
- Metrics_Summary: Faithfulness = 0.5, Answer_Relevancy = 0.767, Context_Precision = 1.0, Context_Recall = 0.857
- Evidence: The Answer is relevant to the question and covers most of the aspects, but the Faithfulness is not high enough to trigger any of the error rules.
- Justification: The Answer is a correct summary of the papers, but it does not fully capture the nuances of the papers, which is reflected in the low Faithfulness score.</t>
  </si>
  <si>
    <t>### STEP 1 — Extract Query Intent and Aspects
From the Question:
1. Main intent: Understand how AI-based resilience outcomes vary across contexts.
2. Number of explicit aspects: 1 (context)
### STEP 2 — Verify Context Grounding
From Top_K_Sources:
1. Key concepts in the Question appear explicitly in Top_K_Sources.
2. Count:
   - Number of relevant chunks: 3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Label as: Hallucination (Faithfulness = 0.789, which is &gt;= 0.5)
[PRIORITY 2] RETRIEVAL FAILURE
Condition: Context_Recall &lt; 0.5 AND NONE of the Top-K chunks contain core concepts.
Decision: → NOT Label as: Retrieval Failure (Context_Recall = 1.0, which is &gt;= 0.5)
[PRIORITY 3] CONTEXT NOISE
Condition: Context_Recall &gt;= 0.5 AND Context_Precision &lt; 0.5 AND &gt;50% chunks are irrelevant.
Decision: → NOT Label as: Context Noise (Context_Precision = 1.0, which is &gt;= 0.5)
[PRIORITY 4] SEMANTIC DRIFT
Condition: Faithfulness &gt;= 0.5 AND Answer_Relevancy &lt; 0.5 (Correct answer, wrong intent).
Decision: → NOT Label as: Semantic Drift (Answer_Relevancy = 0.772, which is &gt;= 0.5)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Correct Answer
- Triggered_Rule: N/A
- Metrics_Summary: Faithfulness: 0.789, Answer_Relevancy: 0.772, Context_Precision: 1.0, Context_Recall: 1.0
- Evidence: The Answer is well-grounded in Top_K_Sources and covers all aspects of the Question.
- Justification: The Answer is classified as Correct Answer because it meets all the conditions for the error classification rules.</t>
  </si>
  <si>
    <t>### STEP 1 — Extract Query Intent and Aspects
From the Question:
1. Main intent of the query: **Supply chain disruption prediction accuracy levels for AI models**
2. Number of explicit aspects: **2** (accuracy levels, AI models)
### STEP 2 — Verify Context Grounding
From Top_K_Sources:
1. Key concepts in the Question appear explicitly:
   - **Supply chain disruption prediction**: appears in Rank #1 and Rank #3
   - **AI models**: appears in Rank #1 and Rank #3
   - **Accuracy levels**: appears in Rank #1 and Rank #2
2. Count:
   - Number of relevant chunks: **3** (all Top_K_Sources are relevant)
   - Number of noisy / off-topic chunks: **0** (all chunks are relevant)
3. Determine if any factual claim in the Answer is NOT grounded in Top_K_Sources:
   - The Answer mentions **statistical machine learning models** and **hybrid models**, which are supported by Rank #1 and Rank #2.
   - The Answer mentions **accuracy rates of around 80%**, **up to 90%**, and **around 85%**, which are supported by Rank #1 and Rank #2.
### STEP 3 — Apply Error Classification Rules (IN ORDER OF PRIORITY)
[PRIORITY 1] HALLUCINATION
Condition: Faithfulness &lt; 0.5 AND Answer contains claims not in Top-K sources.
Decision: → **NO**, Faithfulness is 0.625, which is greater than 0.5.
[PRIORITY 2] RETRIEVAL FAILURE
Condition: Context_Recall &lt; 0.5 AND NONE of the Top-K chunks contain core concepts.
Decision: → **NO**, Context_Recall is 0.5, which is greater than or equal to 0.5.
[PRIORITY 3] CONTEXT NOISE
Condition: Context_Recall &gt;= 0.5 AND Context_Precision &lt; 0.5 AND &gt;50% chunks are irrelevant.
Decision: → **NO**, Context_Precision is 1.0, which is greater than 0.5.
[PRIORITY 4] SEMANTIC DRIFT
Condition: Faithfulness &gt;= 0.5 AND Answer_Relevancy &lt; 0.5 (Correct answer, wrong intent).
Decision: → **NO**, Answer_Relevancy is 0.998, which is greater than 0.5.
[PRIORITY 5] INCOMPLETE ANSWER
Condition: Faithfulness &gt;= 0.5 AND Answer_Relevancy &gt;= 0.5 AND Answer covers only a subset of aspects.
Decision: → **NO**, the Answer covers all aspects of the query.
[NO ERROR]
If NONE of above:
Decision: → **Correct Answer**
### STEP 4 — Output Format (MANDATORY)
For each row, output a structured report:
- **Error_Label**: Correct Answer
- **Triggered_Rule**: None
- **Metrics_Summary**: Faithfulness: 0.625, Answer_Relevancy: 0.998, Context_Precision: 1.0, Context_Recall: 0.5
- **Evidence**: All Top_K_Sources are relevant, and the Answer is supported by the sources.
- **Justification**: The query is answered correctly, and all aspects are covered.</t>
  </si>
  <si>
    <t>### STEP 1 — Extract Query Intent and Aspects
From the Question:
1. Identify the main intent of the query: **Identify performance metrics**.
2. Identify the number of explicit aspects: **1**.
### STEP 2 — Verify Context Grounding
From Top_K_Sources:
1. Identify whether each key concept in the Question appears explicitly:
   - **Performance metrics**: Yes (appears in Rank #1, Rank #2, and Rank #3)
   - **Frequently reported**: Yes (appears in Rank #1 and Rank #3)
   - **Context**: Yes (appears in Rank #1 and Rank #2)
2. Count:
   - Number of relevant chunks: **3**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 0.625)
[PRIORITY 2] RETRIEVAL FAILURE
Condition: Context_Recall &lt; 0.5 AND NONE of the Top-K chunks contain core concepts.
Decision: → **Not applicable** (Context_Recall = 0.2, but Rank #1, Rank #2, and Rank #3 contain core concepts)
[PRIORITY 3] CONTEXT NOISE
Condition: Context_Recall &gt;= 0.5 AND Context_Precision &lt; 0.5 AND &gt;50% chunks are irrelevant.
Decision: → **Not applicable** (Context_Recall = 0.2, Context_Precision = 0.333, and only 1 chunk is irrelevant)
[PRIORITY 4] SEMANTIC DRIFT
Condition: Faithfulness &gt;= 0.5 AND Answer_Relevancy &lt; 0.5 (Correct answer, wrong intent).
Decision: → **Not applicable** (Answer_Relevancy = 0.992)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0.625, Answer_Relevancy: 0.992, Context_Precision: 0.333, Context_Recall: 0.2
- **Evidence**: All claims in the Answer are grounded in Top_K_Sources, and the Answer covers all aspects.
- **Justification**: The Answer is faithful, relevant, and covers all aspects, so it is classified as a Correct Answer.</t>
  </si>
  <si>
    <t>### STEP 1 — Extract Query Intent and Aspects
From the Question:
1. Main intent of the query: Identify empirical improvements AI brings to supply chain resilience.
2. Number of explicit aspects: 1 (supply chain resilience)
### STEP 2 — Verify Context Grounding
From Top_K_Sources:
1. Key concepts in the Question appear explicitly in Top_K_Sources:
   - Supply chain resilience: Yes (appears in all Top_K_Sources)
   - AI: Yes (appears in all Top_K_Sources)
2. Count:
   - Number of relevant chunks: 3
   - Number of noisy / off-topic chunks: 0
3. Determine if any factual claim in the Answer is NOT grounded in Top_K_Sources:
   - No claims in the Answer are not grounded in Top_K_Sources.
### STEP 3 — Apply Error Classification Rules (IN ORDER OF PRIORITY)
[PRIORITY 1] HALLUCINATION
Condition: Faithfulness &lt; 0.5 AND Answer contains claims not in Top-K sources.
Decision: → Not applicable (Faithfulness = 0.8)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0.8, Answer_Relevancy: 0.993, Context_Precision: 1.0, Context_Recall: 0.833
- Evidence: All metrics are within acceptable ranges, and the answer is fully grounded in Top_K_Sources.
- Justification: The answer is a correct and complete response to the query, with high faithfulness, answer relevancy, context precision, and context recall.</t>
  </si>
  <si>
    <t>### STEP 1 — Extract Query Intent and Aspects
From the Question:
1. Main intent: Identify the reduction in disruption impact reported using AI models.
2. Number of explicit aspects: 1 (disruption impact)
### STEP 2 — Verify Context Grounding
From Top_K_Sources:
1. Key concepts in the Question appear explicitly in Top_K_Sources.
2. Count:
   - Number of relevant chunks: 2 (Rank #1 and Rank #2)
   - Number of noisy / off-topic chunks: 1 (Rank #3)
3. Determine if any factual claim in the Answer is NOT grounded in Top_K_Sources.
   - The Answer's claim about a 46% reduction in supply chain disruptions is supported by Rank #1.
   - The Answer's claim about asymmetric effects is also supported by Rank #1.
### STEP 3 — Apply Error Classification Rules (IN ORDER OF PRIORITY)
[PRIORITY 1] HALLUCINATION
Condition: Faithfulness &lt; 0.5 AND Answer contains claims not in Top-K sources.
Decision: → NOT Label as: Hallucination (Faithfulness = 0.833, Answer is grounded in Top_K_Sources)
[PRIORITY 2] RETRIEVAL FAILURE
Condition: Context_Recall &lt; 0.5 AND NONE of the Top-K chunks contain core concepts.
Decision: → NOT Label as: Retrieval Failure (Context_Recall = 0.75, Rank #1 and Rank #2 contain core concepts)
[PRIORITY 3] CONTEXT NOISE
Condition: Context_Recall &gt;= 0.5 AND Context_Precision &lt; 0.5 AND &gt;50% chunks are irrelevant.
Decision: → NOT Label as: Context Noise (Context_Precision = 1.0, only 1 out of 3 chunks is irrelevant)
[PRIORITY 4] SEMANTIC DRIFT
Condition: Faithfulness &gt;= 0.5 AND Answer_Relevancy &lt; 0.5 (Correct answer, wrong intent).
Decision: → NOT Label as: Semantic Drift (Answer_Relevancy = 0.837, Answer is relevant to the question)
[PRIORITY 5] INCOMPLETE ANSWER
Condition: Faithfulness &gt;= 0.5 AND Answer_Relevancy &gt;= 0.5 AND Answer covers only a subset of aspects.
Decision: → NOT Label as: Incomplete Answer (Answer covers the main intent and a single aspect)
[NO ERROR]
If NONE of above:
Decision: → Label as: Correct Answer
### STEP 4 — Output Format (MANDATORY)
For each row, output a structured report:
- Error_Label: Correct Answer
- Triggered_Rule: NOT Labelled (all rules failed)
- Metrics_Summary: Faithfulness = 0.833, Answer_Relevancy = 0.837, Context_Precision = 1.0, Context_Recall = 0.75
- Evidence: The Answer is grounded in Top_K_Sources, and all rules failed to trigger.
- Justification: The Answer is relevant, faithful, and covers the main intent and a single aspect, making it a Correct Answer.</t>
  </si>
  <si>
    <t>### STEP 1 — Extract Query Intent and Aspects
From the Question:
1. Main intent of the query: Identify AI models with the highest predictive performance.
2. Number of explicit aspects: 1 (predictive performance)
### STEP 2 — Verify Context Grounding
From Top_K_Sources:
1. Key concepts in the Question: AI models, predictive performance
2. Relevant chunks:
   - Rank #1: Cui, H. (2013) - mentions good performance
   - Rank #2: Park, K. et al. (2013) - mentions superior performance
   - Rank #3: Culcay, L. et al. (no specific year mentioned) - mentions best-performing model and superior performance
3. Number of relevant chunks: 3
4. Number of noisy / off-topic chunks: 0
5. Factual claim in the Answer: Machine learning models generally show superior performance in predictive tasks
6. Grounding in Top_K_Sources: The Answer is grounded in Top_K_Sources, as all relevant chunks mention superior performance of machine learning models.
### STEP 3 — Apply Error Classification Rules (IN ORDER OF PRIORITY)
[PRIORITY 1] HALLUCINATION
Condition: Faithfulness &lt; 0.5 AND Answer contains claims not in Top-K sources.
Decision: → NOT Label as: Hallucination (Faithfulness = 0.875, Answer is grounded in Top_K_Sources)
[PRIORITY 2] RETRIEVAL FAILURE
Condition: Context_Recall &lt; 0.5 AND NONE of the Top-K chunks contain core concepts.
Decision: → NOT Label as: Retrieval Failure (Context_Recall = 1.0, Top_K_Sources contain relevant chunks)
[PRIORITY 3] CONTEXT NOISE
Condition: Context_Recall &gt;= 0.5 AND Context_Precision &lt; 0.5 AND &gt;50% chunks are irrelevant.
Decision: → NOT Label as: Context Noise (Context_Precision = 0.0, but only 1 chunk is irrelevant, and it's not &gt;50%)
[PRIORITY 4] SEMANTIC DRIFT
Condition: Faithfulness &gt;= 0.5 AND Answer_Relevancy &lt; 0.5 (Correct answer, wrong intent).
Decision: → NOT Label as: Semantic Drift (Answer_Relevancy = 0.724, which is &gt;= 0.5)
[PRIORITY 5] INCOMPLETE ANSWER
Condition: Faithfulness &gt;= 0.5 AND Answer_Relevancy &gt;= 0.5 AND Answer covers only a subset of aspects.
Decision: → NOT Label as: Incomplete Answer (Answer covers the main intent and aspects)
[NO ERROR]
If NONE of above:
Decision: → Label as: Correct Answer
### STEP 4 — Output Format (MANDATORY)
For each row, output a structured report:
- Error_Label: Correct Answer
- Triggered_Rule: [NO ERROR]
- Metrics_Summary: Faithfulness = 0.875, Answer_Relevancy = 0.724, Context_Precision = 0.0, Context_Recall = 1.0
- Evidence: The Answer is grounded in Top_K_Sources, and all relevant chunks mention superior performance of machine learning models.
- Justification: The Answer is correct, and all error classification rules are not triggered.</t>
  </si>
  <si>
    <t>### STEP 1 — Extract Query Intent and Aspects
From the Question:
1. Main intent of the query: Identify time horizons evaluated in resilience prediction studies.
2. Number of explicit aspects: 1 (time horizons)
### STEP 2 — Verify Context Grounding
From Top_K_Sources:
1. Key concepts in the Question appear explicitly:
   - Time horizons: Present in Top_K_Sources (e.g., "short-term to long-term", "specific phases such as risk management, flexibility, and agility")
   - Resilience prediction studies: Present in Top_K_Sources (e.g., "resilience prediction studies", "forecasting supply chain resilience performance")
2. Count:
   - Number of relevant chunks: 3
   - Number of noisy / off-topic chunks: 0
3. Determine if any factual claim in the Answer is NOT grounded in Top_K_Sources:
   - Answer claims that resilience prediction studies evaluate time horizons ranging from short-term to long-term, which is supported by Top_K_Sources.
### STEP 3 — Apply Error Classification Rules (IN ORDER OF PRIORITY)
[PRIORITY 1] HALLUCINATION
Condition: Faithfulness &lt; 0.5 AND Answer contains claims not in Top-K sources.
Decision: → NOT APPLICABLE (Faithfulness = 0.556 &gt; 0.5)
[PRIORITY 2] RETRIEVAL FAILURE
Condition: Context_Recall &lt; 0.5 AND NONE of the Top-K chunks contain core concepts.
Decision: → NOT APPLICABLE (Context_Recall = 0.8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0.99 &gt; 0.5)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N/A
- Metrics_Summary: Faithfulness: 0.556, Answer_Relevancy: 0.99, Context_Precision: 1.0, Context_Recall: 0.8
- Evidence: Answer is supported by Top_K_Sources and covers the main intent and all aspects.
- Justification: Answer does not trigger any error classification rules, so it is classified as a Correct Answer.</t>
  </si>
  <si>
    <t>### STEP 1 — Extract Query Intent and Aspects
From the Question:
1. Main intent of the query: Identify validation methods.
2. Number of explicit aspects: 1 (validation methods)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0.714)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0.714, Answer_Relevancy: 1.0, Context_Precision: 1.0, Context_Recall: 1.0
- Evidence: All metrics are above the threshold, and the answer is relevant and covers all aspects.
- Justification: The answer is faithful, relevant, and covers all aspects, and none of the error classification rules are triggered.</t>
  </si>
  <si>
    <t>### STEP 1 — Extract Query Intent and Aspects
From the Question:
1. Main intent of the query: Identify real-world case studies supporting AI-driven resilience.
2. Number of explicit aspects: 1 (AI-driven resilience)
### STEP 2 — Verify Context Grounding
From Top_K_Sources:
1. Key concepts in the Question appear explicitly:
   - AI-driven resilience: Present in all Top_K_Sources.
   - Real-world case studies: Present in all Top_K_Sources.
2. Count:
   - Number of relevant chunks: 3
   - Number of noisy / off-topic chunks: 0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NOT APPLICABLE (Faithfulness = 0.647 &gt; 0.5)
[PRIORITY 2] RETRIEVAL FAILURE
Condition: Context_Recall &lt; 0.5 AND NONE of the Top-K chunks contain core concepts.
Decision: → NOT APPLICABLE (Context_Recall = 0.4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1.0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0.647, Answer_Relevancy: 1.0, Context_Precision: 1.0, Context_Recall: 0.4
- Evidence: The Answer's claims are grounded in Top_K_Sources, and all aspects are covered.
- Justification: The Answer is faithful, relevant, and covers all aspects, making it a Correct Answer.</t>
  </si>
  <si>
    <t>### STEP 1 — Extract Query Intent and Aspects
From the Question:
1. Main intent: Identify improvements after AI integration.
2. Number of explicit aspects: 1 (improvements)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0.764)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0.764, Context_Precision: 1.0, Context_Recall: 1.0
- Evidence: All metrics are above the threshold, and the answer is fully grounded in the top-k sources.
- Justification: The answer is correct, and none of the error classification rules are triggered.</t>
  </si>
  <si>
    <t>### STEP 1 — Extract Query Intent and Aspects
From the Question:
1. Main intent of the query: Identify resilience metrics that are quantitatively evaluated.
2. Number of explicit aspects: 1 (resilience metrics)
### STEP 2 — Verify Context Grounding
From Top_K_Sources:
1. Key concepts in the Question: resilience metrics, quantitatively evaluated
2. Relevant chunks:
   - Rank #1: Potongan Chunk: 70 articles were rigorously handpicked from web of science scopus and authoritative journals and divided into 6 major categories and 24 subcategories for quantitative and temporal analyses the evolution of resilience in...
   - Rank #2: Potongan Chunk: of resilience we carried out research from the perspective of three elements defining resilience the subject of resilience the influencing factors and the subjects ability in this systematic review 70 articles were...
3. Noisy / off-topic chunks: None
4. Factual claim in the Answer: The resilience metrics that are quantitatively evaluated include the ability to withstand difficult situations without incurring significant extra costs.
5. Grounding in Top_K_Sources: The Answer is partially grounded in Top_K_Sources (Rank #1 and Rank #2), but not entirely.
### STEP 3 — Apply Error Classification Rules (IN ORDER OF PRIORITY)
[PRIORITY 1] HALLUCINATION
Condition: Faithfulness &lt; 0.5 AND Answer contains claims not in Top-K sources.
Decision: → Faithfulness is 0.692, which is greater than 0.5, so this condition is not met.
[PRIORITY 2] RETRIEVAL FAILURE
Condition: Context_Recall &lt; 0.5 AND NONE of the Top-K chunks contain core concepts.
Decision: → Context_Recall is 0.25, which is less than 0.5, and the Top-K chunks contain core concepts (resilience metrics), so this condition is not met.
[PRIORITY 3] CONTEXT NOISE
Condition: Context_Recall &gt;= 0.5 AND Context_Precision &lt; 0.5 AND &gt;50% chunks are irrelevant.
Decision: → Context_Recall is 0.25, which is less than 0.5, so this condition is not met.
[PRIORITY 4] SEMANTIC DRIFT
Condition: Faithfulness &gt;= 0.5 AND Answer_Relevancy &lt; 0.5 (Correct answer, wrong intent).
Decision: → Faithfulness is 0.692, which is greater than 0.5, and Answer_Relevancy is 0.996, which is greater than 0.5, so this condition is not met.
[PRIORITY 5] INCOMPLETE ANSWER
Condition: Faithfulness &gt;= 0.5 AND Answer_Relevancy &gt;= 0.5 AND Answer covers only a subset of aspects.
Decision: → Faithfulness is 0.692, which is greater than 0.5, and Answer_Relevancy is 0.996, which is greater than 0.5, but the Answer covers all aspects (resilience metrics), so this condition is not met.
[NO ERROR]
If NONE of above:
Decision: → Label as: Correct Answer
### STEP 4 — Output Format (MANDATORY)
For each row, output a structured report:
- Error_Label: Correct Answer
- Triggered_Rule: None
- Metrics_Summary: Faithfulness: 0.692, Answer_Relevancy: 0.996, Context_Precision: 1.0, Context_Recall: 0.25
- Evidence: The Answer is partially grounded in Top_K_Sources, and the Faithfulness and Answer_Relevancy metrics are high.
- Justification: The Answer is correct, and there is no error in the classification.</t>
  </si>
  <si>
    <t>### STEP 1 — Extract Query Intent and Aspects
From the Question:
1. Identify the main intent of the query: The main intent is to find empirical benchmarks for AI-based SCRM.
2. Identify the number of explicit aspects: There are 2 explicit aspects - AI-based SCRM and empirical benchmarks.
### STEP 2 — Verify Context Grounding
From Top_K_Sources:
1. Identify whether each key concept in the Question appears explicitly:
   - AI-based SCRM: Yes (appears in Rank #1 and Rank #3)
   - Empirical benchmarks: Yes (implied in Rank #1 and Rank #2)
2. Count:
   - Number of relevant chunks: 3
   - Number of noisy / off-topic chunks: 0
3. Determine if any factual claim in the Answer is NOT grounded in Top_K_Sources:
   - The Answer mentions the manufacturing sector in the Middle Eastern region as a benchmark, which is supported by Rank #1.
   - The Answer mentions the study by Sharma et al. (2022), which is supported by Rank #2.
   - The Answer mentions the manufacturing sector as a key area where AI integration is transforming operations, which is supported by Rank #3.
### STEP 3 — Apply Error Classification Rules (IN ORDER OF PRIORITY)
[PRIORITY 1] HALLUCINATION
Condition: Faithfulness &lt; 0.5 AND Answer contains claims not in Top-K sources.
Decision: → NOT Label as: Hallucination (Faithfulness = 1.0, all claims are supported by Top-K sources)
[PRIORITY 2] RETRIEVAL FAILURE
Condition: Context_Recall &lt; 0.5 AND NONE of the Top-K chunks contain core concepts.
Decision: → NOT Label as: Retrieval Failure (Context_Recall = 1.0, all core concepts are present in Top-K sources)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0.862, the answer is relevant to the question)
[PRIORITY 5] INCOMPLETE ANSWER
Condition: Faithfulness &gt;= 0.5 AND Answer_Relevancy &gt;= 0.5 AND Answer covers only a subset of aspects.
Decision: → NOT Label as: Incomplete Answer (the answer covers all aspects mentioned in the question)
[NO ERROR]
If NONE of above:
Decision: → Label as: Correct Answer
### STEP 4 — Output Format (MANDATORY)
For each row, output a structured report:
- Error_Label: Correct Answer
- Triggered_Rule: NOT Labelled (all rules failed)
- Metrics_Summary: Faithfulness: 1.0, Answer_Relevancy: 0.862, Context_Precision: 1.0, Context_Recall: 1.0
- Evidence: All claims in the answer are supported by Top-K sources, and the answer is relevant to the question.
- Justification: None of the error classification rules were triggered, indicating that the answer is correct.</t>
  </si>
  <si>
    <t>### STEP 1 — Extract Query Intent and Aspects
From the Question:
1. Main intent of the query: Identify limitations in existing models.
2. Number of explicit aspects: 1 (limitation in existing models)
### STEP 2 — Verify Context Grounding
From Top_K_Sources:
1. Key concepts in the Question appear explicitly in Top_K_Sources:
   - "Limitations" appears in all three chunks.
   - "Existing models" appears in all three chunks.
   - "2025" appears in chunks #1 and #2.
   - "2019" appears in chunk #3.
2. Count:
   - Number of relevant chunks: 3
   - Number of noisy / off-topic chunks: 0
3. Determine if any factual claim in the Answer is NOT grounded in Top_K_Sources:
   - The Answer mentions limitations in 2025 by Mellor et al. and Pahune et al., which are grounded in Top_K_Sources.
   - The Answer mentions limitations in 2019 by Dubey et al., which is also grounded in Top_K_Sources.
### STEP 3 — Apply Error Classification Rules (IN ORDER OF PRIORITY)
[PRIORITY 1] HALLUCINATION
Condition: Faithfulness &lt; 0.5 AND Answer contains claims not in Top-K sources.
Decision: → NOT APPLICABLE (Faithfulness = 0.625, and all claims are grounded in Top_K_Sources)
[PRIORITY 2] RETRIEVAL FAILURE
Condition: Context_Recall &lt; 0.5 AND NONE of the Top-K chunks contain core concepts.
Decision: → NOT APPLICABLE (Context_Recall = 1.0, and all chunks contain core concepts)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0.906, which is greater than or equal to 0.5)
[PRIORITY 5] INCOMPLETE ANSWER
Condition: Faithfulness &gt;= 0.5 AND Answer_Relevancy &gt;= 0.5 AND Answer covers only a subset of aspects.
Decision: → NOT APPLICABLE (Answer covers all aspects of the query)
[NO ERROR]
If NONE of above:
Decision: → Label as: Correct Answer
### STEP 4 — Output Format (MANDATORY)
For each row, output a structured report:
- Error_Label: Correct Answer
- Triggered_Rule: N/A
- Metrics_Summary: Faithfulness: 0.625, Answer_Relevancy: 0.906, Context_Precision: 1.0, Context_Recall: 1.0
- Evidence: All claims in the Answer are grounded in Top_K_Sources, and the Answer covers all aspects of the query.
- Justification: The query is answered correctly, and all conditions for the error classification rules are not met.</t>
  </si>
  <si>
    <t>### STEP 1 — Extract Query Intent and Aspects
From the Question:
1. Main intent of the query: Identify comparative baselines used.
2. Number of explicit aspects: 1 (comparative baselines)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0.583 &gt; 0.5)
[PRIORITY 4] SEMANTIC DRIFT
Condition: Faithfulness &gt;= 0.5 AND Answer_Relevancy &lt; 0.5 (Correct answer, wrong intent).
Decision: → NOT APPLICABLE (Answer_Relevancy = 0.986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1.0, Answer_Relevancy: 0.986, Context_Precision: 0.583, Context_Recall: 1.0
- Evidence: All relevant chunks are present in Top_K_Sources, and the answer is faithful and relevant.
- Justification: The answer is correct and covers all aspects of the query, and there is no evidence of hallucination, retrieval failure, context noise, semantic drift, or incomplete answer.</t>
  </si>
  <si>
    <t>### STEP 1 — Extract Query Intent and Aspects
From the Question:
1. Main intent of the query: Identify empirically validated data modalities.
2. Number of explicit aspects: 1 (data modalities)
### STEP 2 — Verify Context Grounding
From Top_K_Sources:
1. Key concepts in the Question appear explicitly in Top_K_Sources:
   - "data modalities" appears in Rank #1 and Rank #2.
2. Count:
   - Number of relevant chunks: 2 (Rank #1 and Rank #2)
   - Number of noisy / off-topic chunks: 0
3. Determine if any factual claim in the Answer is NOT grounded in Top_K_Sources:
   - The Answer mentions "real-world scenarios" and "statistical tests" which are present in Top_K_Sources.
### STEP 3 — Apply Error Classification Rules (IN ORDER OF PRIORITY)
[PRIORITY 1] HALLUCINATION
Condition: Faithfulness &lt; 0.5 AND Answer contains claims not in Top-K sources.
Decision: → NOT Label as: Hallucination (Faithfulness = 0.667, Answer contains claims present in Top_K_Sources)
[PRIORITY 2] RETRIEVAL FAILURE
Condition: Context_Recall &lt; 0.5 AND NONE of the Top-K chunks contain core concepts.
Decision: → NOT Label as: Retrieval Failure (Context_Recall = 1.0, Rank #1 and Rank #2 contain core concepts)
[PRIORITY 3] CONTEXT NOISE
Condition: Context_Recall &gt;= 0.5 AND Context_Precision &lt; 0.5 AND &gt;50% chunks are irrelevant.
Decision: → NOT Label as: Context Noise (Context_Precision = 0.0, but Context_Recall = 1.0 and only 1 chunk is irrelevant)
[PRIORITY 4] SEMANTIC DRIFT
Condition: Faithfulness &gt;= 0.5 AND Answer_Relevancy &lt; 0.5 (Correct answer, wrong intent).
Decision: → NOT Label as: Semantic Drift (Answer_Relevancy = 0.955, correct answer with high relevancy)
[PRIORITY 5] INCOMPLETE ANSWER
Condition: Faithfulness &gt;= 0.5 AND Answer_Relevancy &gt;= 0.5 AND Answer covers only a subset of aspects.
Decision: → NOT Label as: Incomplete Answer (Answer covers the main intent and all aspects)
[NO ERROR]
If NONE of above:
Decision: → Label as: Correct Answer
### STEP 4 — Output Format (MANDATORY)
For each row, output a structured report:
- Error_Label: Correct Answer
- Triggered_Rule: NOT Labelled (all rules failed)
- Metrics_Summary: Faithfulness = 0.667, Answer_Relevancy = 0.955, Context_Precision = 0.0, Context_Recall = 1.0
- Evidence: The Answer is relevant and covers the main intent, with high faithfulness and relevancy.
- Justification: All error classification rules failed, indicating a correct answer.</t>
  </si>
  <si>
    <t>### STEP 1 — Extract Query Intent and Aspects
From the Question:
1. Main intent of the query: Identify robustness tests reported.
2. Number of explicit aspects: 1 (robustness tests)
### STEP 2 — Verify Context Grounding
From Top_K_Sources:
1. Key concepts in the Question: robustness tests
2. Relevant chunks:
   - Rank #1: robustness complexity and efficiency aspects of the problem (contains "robustness")
   - Rank #2: models which verifies its robustness (contains "robustness")
   - Rank #3: robustness is ensured through seven validation procedures (contains "robustness")
3. Number of relevant chunks: 3
4. Number of noisy / off-topic chunks: 0
5. Factual claims in the Answer are grounded in Top_K_Sources: Yes
### STEP 3 — Apply Error Classification Rules (IN ORDER OF PRIORITY)
[PRIORITY 1] HALLUCINATION
Condition: Faithfulness &lt; 0.5 AND Answer contains claims not in Top-K sources.
Decision: → Not triggered (Faithfulness = 0.5)
[PRIORITY 2] RETRIEVAL FAILURE
Condition: Context_Recall &lt; 0.5 AND NONE of the Top-K chunks contain core concepts.
Decision: → Not triggered (Context_Recall = 0.2, but Rank #1, #2, and #3 contain core concepts)
[PRIORITY 3] CONTEXT NOISE
Condition: Context_Recall &gt;= 0.5 AND Context_Precision &lt; 0.5 AND &gt;50% chunks are irrelevant.
Decision: → Not triggered (Context_Precision = 1.0, Context_Recall = 0.2)
[PRIORITY 4] SEMANTIC DRIFT
Condition: Faithfulness &gt;= 0.5 AND Answer_Relevancy &lt; 0.5 (Correct answer, wrong intent).
Decision: → Not triggered (Answer_Relevancy = 0.727)
[PRIORITY 5] INCOMPLETE ANSWER
Condition: Faithfulness &gt;= 0.5 AND Answer_Relevancy &gt;= 0.5 AND Answer covers only a subset of aspects.
Decision: → Not triggered (Answer covers all aspects)
[NO ERROR]
If NONE of above:
Decision: → Label as: Correct Answer
### STEP 4 — Output Format (MANDATORY)
For each row, output a structured report:
- Error_Label: Correct Answer
- Triggered_Rule: Not triggered
- Metrics_Summary: Faithfulness: 0.5, Answer_Relevancy: 0.727, Context_Precision: 1.0, Context_Recall: 0.2
- Evidence: All relevant chunks contain core concepts, and Answer covers all aspects.
- Justification: None of the error classification rules were triggered, so the answer is classified as Correct Answer.</t>
  </si>
  <si>
    <t>### STEP 1 — Extract Query Intent and Aspects
From the Question:
1. Main intent of the query: Identify the evidence supporting the scalability of AI-based SCRM solutions.
2. Number of explicit aspects: 2 (Scalability, AI-based SCRM solutions)
### STEP 2 — Verify Context Grounding
From Top_K_Sources:
1. Key concepts in the Question appear explicitly in Top_K_Sources:
   - Scalability: Present in all Top_K_Sources.
   - AI-based SCRM solutions: Present in all Top_K_Sources.
2. Count:
   - Number of relevant chunks: 3
   - Number of noisy / off-topic chunks: 0
3. Determine if any factual claim in the Answer is NOT grounded in Top_K_Sources:
   - All claims in the Answer are grounded in Top_K_Sources.
### STEP 3 — Apply Error Classification Rules (IN ORDER OF PRIORITY)
[PRIORITY 1] HALLUCINATION
Condition: Faithfulness &lt; 0.5 AND Answer contains claims not in Top-K sources.
Decision: → NOT APPLICABLE (Faithfulness = 0.7)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0.7, Answer_Relevancy: 1.0, Context_Precision: 1.0, Context_Recall: 0.8
- Evidence: All claims in the Answer are grounded in Top_K_Sources, and the Answer covers all aspects of the query.
- Justification: The Answer is faithful, relevant, and covers all aspects of the query, with high precision and recall in the context.</t>
  </si>
  <si>
    <t>### STEP 1 — Extract Query Intent and Aspects
From the Question:
1. Identify the main intent of the query: **Evolving application of AI in supply chain risk management over time**
2. Identify the number of explicit aspects: **2** (AI, supply chain risk management)
### STEP 2 — Verify Context Grounding
From Top_K_Sources:
1. Identify whether each key concept in the Question appears explicitly:
   - **AI**: Yes (Rank #1, Rank #2, Rank #3)
   - **Supply chain risk management**: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0.989, Context_Precision: 1.0, Context_Recall: 1.0
- **Evidence**: All relevant chunks are present in Top_K_Sources, and the answer is faithful and relevant.
- **Justification**: The answer is a correct and complete response to the query, with all aspects covered and no errors detected.</t>
  </si>
  <si>
    <t>### STEP 1 — Extract Query Intent and Aspects
From the Question:
1. Identify the main intent of the query: **Change in machine learning adoption in SCRM research after 2015**
2. Identify the number of explicit aspects: **2** (machine learning adoption, SCRM research)
### STEP 2 — Verify Context Grounding
From Top_K_Sources:
1. Identify whether each key concept in the Question appears explicitly:
   - **Machine learning**: Yes (Rank #1, Rank #2)
   - **SCRM research**: Yes (Rank #1, Rank #2, Rank #3)
   - **2015**: Yes (Rank #1)
2. Count:
   - Number of relevant chunks: **3** (Rank #1, Rank #2, Rank #3)
   - Number of noisy / off-topic chunks: **0**
3. Determine if any factual claim in the Answer is NOT grounded in Top_K_Sources:
   - **No** (Answer is grounded in Top_K_Sources)
### STEP 3 — Apply Error Classification Rules (IN ORDER OF PRIORITY)
[PRIORITY 1] HALLUCINATION
Condition: Faithfulness &lt; 0.5 AND Answer contains claims not in Top-K sources.
Decision: → **Not applicable** (Faithfulness = 0.529 &gt; 0.5)
[PRIORITY 2] RETRIEVAL FAILURE
Condition: Context_Recall &lt; 0.5 AND NONE of the Top-K chunks contain core concepts.
Decision: → **Not applicable** (Context_Recall = 0.4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0.844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0.529, Answer_Relevancy: 0.844, Context_Precision: 1.0, Context_Recall: 0.4
- **Evidence**: Answer is grounded in Top_K_Sources, and all aspects are covered.
- **Justification**: None of the error classification rules are triggered, so the answer is classified as Correct Answer.</t>
  </si>
  <si>
    <t>### STEP 1 — Extract Query Intent and Aspects
From the Question:
1. Identify the main intent of the query: The main intent of the query is to understand the role of predictive analytics in early supply chain risk mitigation studies.
2. Identify the number of explicit aspects: There are 3 explicit aspects: predictive analytics, supply chain risk mitigation, and early studies.
### STEP 2 — Verify Context Grounding
From Top_K_Sources:
1. Identify whether each key concept in the Question appears explicitly:
   - Predictive analytics: Yes (appears in all Top_K_Sources)
   - Supply chain risk mitigation: Yes (appears in all Top_K_Sources)
   - Early studies: Yes (appears in all Top_K_Sources)
2. Count:
   - Number of relevant chunks: 3
   - Number of noisy / off-topic chunks: 0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Faithfulness is 0.438, which is less than 0.5. However, all claims in the Answer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Context_Precision is 1.0, and all chunks are relevant. Therefore, this condition is not met.
[PRIORITY 4] SEMANTIC DRIFT
Condition: Faithfulness &gt;= 0.5 AND Answer_Relevancy &lt; 0.5 (Correct answer, wrong intent).
Decision: → Faithfulness is 0.438, which is less than 0.5. Therefore, this condition is not met.
[PRIORITY 5] INCOMPLETE ANSWER
Condition: Faithfulness &gt;= 0.5 AND Answer_Relevancy &gt;= 0.5 AND Answer covers only a subset of aspects.
Decision: → Faithfulness is 0.438, which is less than 0.5. Therefore, this condition is not met.
[NO ERROR]
If NONE of above:
Decision: → Since none of the above conditions are met, the decision is to label the error as: Correct Answer.
### STEP 4 — Output Format (MANDATORY)
For each row, output a structured report:
- Error_Label: Correct Answer
- Triggered_Rule: None
- Metrics_Summary: Faithfulness: 0.438, Answer_Relevancy: 1.0, Context_Precision: 1.0, Context_Recall: 1.0
- Evidence: All claims in the Answer are grounded in Top_K_Sources, and all chunks are relevant.
- Justification: None of the error classification rules were triggered, so the decision is to label the error as Correct Answer.</t>
  </si>
  <si>
    <t>### STEP 1 — Extract Query Intent and Aspects
- Main intent of the query: Influence of deep learning on supply chain resilience models
- Number of explicit aspects: 2 (deep learning, supply chain resilience models)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0.857)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0.876)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N/A
- Metrics_Summary: Faithfulness: 1.0, Answer_Relevancy: 0.876, Context_Precision: 1.0, Context_Recall: 0.857
- Evidence: All relevant chunks are present in Top_K_Sources, and the Answer is faithful and relevant.
- Justification: The Answer is a correct and complete response to the query, with all aspects covered and no errors detected.</t>
  </si>
  <si>
    <t>### STEP 1 — Extract Query Intent and Aspects
From the Question:
1. Identify the main intent of the query: **Evolving trends in simulation-based AI models in supply chains**
2. Identify the number of explicit aspects: **1**
### STEP 2 — Verify Context Grounding
From Top_K_Sources:
1. Identify whether each key concept in the Question appears explicitly:
   - **Simulation-based AI models**: Yes (Rank #1, Rank #2, Rank #3)
   - **Supply chains**: Yes (Rank #1, Rank #2, Rank #3)
   - **Evolving trends**: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0.917)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0.503)
[PRIORITY 5] INCOMPLETE ANSWER
Condition: Faithfulness &gt;= 0.5 AND Answer_Relevancy &gt;= 0.5 AND Answer covers only a subset of aspects.
Decision: → **Not applicable** (Answer_Relevancy &lt; 0.5)
[NO ERROR]
If NONE of above:
Decision: → **Correct Answer**
### STEP 4 — Output Format (MANDATORY)
For each row, output a structured report:
- **Error_Label**: Correct Answer
- **Triggered_Rule**: Not applicable
- **Metrics_Summary**: Faithfulness: 0.917, Answer_Relevancy: 0.503, Context_Precision: 1.0, Context_Recall: 0.833
- **Evidence**: All key concepts in the Question are explicitly mentioned in Top_K_Sources, and the Answer is grounded in the sources.
- **Justification**: The Answer is faithful to the sources, and the Context_Recall is high, indicating that the Answer covers the core concepts of the Question.</t>
  </si>
  <si>
    <t>### STEP 1 — Extract Query Intent and Aspects
From the Question:
1. Identify the main intent of the query: **Identify changes in objectives of AI models for supply chain resilience**
2. Identify the number of explicit aspects: **2** (AI models, supply chain resilience)
### STEP 2 — Verify Context Grounding
From Top_K_Sources:
1. Identify whether each key concept in the Question appears explicitly:
   - **AI models**: Yes (Rank #1, Rank #2, Rank #3)
   - **Supply chain resilience**: Yes (Rank #1, Rank #2, Rank #3)
   - **Objectives**: No (not explicitly mentioned in Top_K_Sources)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0.905)
[PRIORITY 2] RETRIEVAL FAILURE
Condition: Context_Recall &lt; 0.5 AND NONE of the Top-K chunks contain core concepts.
Decision: → **Not applicable** (Context_Recall = 0.556)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0.876)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0.905, Answer_Relevancy: 0.876, Context_Precision: 1.0, Context_Recall: 0.556
- **Evidence**: Top_K_Sources cover all key concepts, and Answer is relevant and faithful.
- **Justification**: The Answer is a correct and complete response to the query, with high faithfulness and relevancy, and all key concepts are covered in the Top_K_Sources.</t>
  </si>
  <si>
    <t>### STEP 1 — Extract Query Intent and Aspects
From the Question:
1. Identify the main intent of the query: The main intent of the query is to understand how explainable AI has emerged in SCRM research.
2. Identify the number of explicit aspects: There are 2 explicit aspects: Explainable AI and SCRM research.
### STEP 2 — Verify Context Grounding
From Top_K_Sources:
1. Identify whether each key concept in the Question appears explicitly:
   - Explainable AI: Yes (appears in Rank #1 and Rank #3)
   - SCRM research: Yes (appears in Rank #1 and Rank #3)
2. Count:
   - Number of relevant chunks: 3 (Rank #1, Rank #2, and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Context_Recall = 1.0)
[PRIORITY 4] SEMANTIC DRIFT
Condition: Faithfulness &gt;= 0.5 AND Answer_Relevancy &lt; 0.5 (Correct answer, wrong intent).
Decision: → NOT APPLICABLE (Answer_Relevancy = 0.682)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0.682, Context_Precision: 1.0, Context_Recall: 1.0
- Evidence: All metrics are within acceptable ranges, and the answer is fully grounded in the top-k sources.
- Justification: The answer is a correct and complete response to the query, with all aspects covered and no errors detected.</t>
  </si>
  <si>
    <t>### STEP 1 — Extract Query Intent and Aspects
From the Question:
1. Main intent of the query: Identify historical trends in data sources used for AI-based SCRM.
2. Number of explicit aspects: 2 (historical trends, data sources).
### STEP 2 — Verify Context Grounding
From Top_K_Sources:
1. Key concepts in the Question appear explicitly:
   - "historical trends" (appears in Rank #1 and Rank #3)
   - "data sources" (appears in Rank #1 and Rank #2)
   - "AI-based SCRM" (appears in Rank #1 and Rank #3)
2. Count:
   - Number of relevant chunks: 3
   - Number of noisy / off-topic chunks: 0
3. Determine if any factual claim in the Answer is NOT grounded in Top_K_Sources:
   - The Answer mentions "Scopus" and "multiple databases following PRISMA guidelines", which are supported by Rank #1 and Rank #2.
### STEP 3 — Apply Error Classification Rules (IN ORDER OF PRIORITY)
[PRIORITY 1] HALLUCINATION
Condition: Faithfulness &lt; 0.5 AND Answer contains claims not in Top-K sources.
Decision: → NOT APPLICABLE (Faithfulness = 0.692)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0.692, Answer_Relevancy: 1.0, Context_Precision: 1.0, Context_Recall: 0.8
- Evidence: The Answer is supported by all Top_K_Sources and covers all aspects of the query.
- Justification: The Answer is a correct and complete response to the query, with high faithfulness and relevancy scores.</t>
  </si>
  <si>
    <t>### STEP 1 — Extract Query Intent and Aspects
From the Question:
1. Main intent: Identify the shift in research emphasis from cost efficiency to resilience.
2. Number of explicit aspects: 2 (cost efficiency,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0.811)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0.811, Context_Precision: 1.0, Context_Recall: 1.0
- Evidence: All metrics are above the threshold, and the answer is fully grounded in the top-k sources.
- Justification: The answer is correct, and there is no error in the response.</t>
  </si>
  <si>
    <t>### STEP 1 — Extract Query Intent and Aspects
From the Question:
1. Identify the main intent of the query: The main intent of the query is to understand how reinforcement learning entered supply chain resilience research.
2. Identify the number of explicit aspects: There are 2 explicit aspects: reinforcement learning and supply chain resilience research.
### STEP 2 — Verify Context Grounding
From Top_K_Sources:
1. Identify whether each key concept in the Question appears explicitly:
   - Reinforcement learning: Yes (appears in all Top_K_Sources)
   - Supply chain resilience research: Yes (appears in all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0.611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0.807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0.611, Answer_Relevancy: 0.807, Context_Precision: 1.0, Context_Recall: 1.0
- Evidence: All key concepts in the Question appear explicitly in Top_K_Sources, and the Answer is relevant and covers all aspects.
- Justification: The Answer is faithful, relevant, and covers all aspects, and none of the error classification rules are triggered.</t>
  </si>
  <si>
    <t>### STEP 1 — Extract Query Intent and Aspects
From the Question:
1. Main intent of the query: Identify trends indicating the convergence of AI and digital twins.
2. Number of explicit aspects: 2 (AI, digital twins)
### STEP 2 — Verify Context Grounding
From Top_K_Sources:
1. Key concepts in the Question appear explicitly in Top_K_Sources:
   - AI: Present in Rank #1 (digital twin technology is driven by AI developments)
   - Digital twins: Present in all Top_K_Sources
2. Count:
   - Number of relevant chunks: 3
   - Number of noisy / off-topic chunks: 0
3. Determine if any factual claim in the Answer is NOT grounded in Top_K_Sources:
   - Answer claims the convergence of AI and digital twins is indicated by several trends, which is supported by Top_K_Sources.
### STEP 3 — Apply Error Classification Rules (IN ORDER OF PRIORITY)
[PRIORITY 1] HALLUCINATION
Condition: Faithfulness &lt; 0.5 AND Answer contains claims not in Top-K sources.
Decision: → Faithfulness is 0.333, which is less than 0.5. However, the Answer is grounded in Top_K_Sources, so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and Context_Precision is 1.0, which are both greater than 0.5. However, there are no irrelevant chunks, so this condition is not met.
[PRIORITY 4] SEMANTIC DRIFT
Condition: Faithfulness &gt;= 0.5 AND Answer_Relevancy &lt; 0.5 (Correct answer, wrong intent).
Decision: → Faithfulness is 0.333, which is less than 0.5. Therefore, this condition is not met.
[PRIORITY 5] INCOMPLETE ANSWER
Condition: Faithfulness &gt;= 0.5 AND Answer_Relevancy &gt;= 0.5 AND Answer covers only a subset of aspects.
Decision: → Faithfulness is 0.333,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0.333, Answer_Relevancy: 0.997, Context_Precision: 1.0, Context_Recall: 1.0
- Evidence: The Answer is grounded in Top_K_Sources and covers all aspects of the query.
- Justification: The Answer meets the criteria for a Correct Answer, as it is faithful to the Top_K_Sources and relevant to the query.</t>
  </si>
  <si>
    <t>### STEP 1 — Extract Query Intent and Aspects
From the Question:
1. Main intent of the query: Identify major paradigm shifts in AI-based supply chain research after COVID-19.
2. Number of explicit aspects: 2 (paradigm shifts, AI-based supply chain research)
### STEP 2 — Verify Context Grounding
From Top_K_Sources:
1. Key concepts in the Question appear explicitly in Top_K_Sources:
   - "paradigm shifts" (Rank #1)
   - "AI-based supply chain research" (Rank #1, #2, #3)
2. Count:
   - Number of relevant chunks: 3
   - Number of noisy / off-topic chunks: 0
3. Determine if any factual claim in the Answer is NOT grounded in Top_K_Sources:
   - The Answer mentions "sustainability" and "digital transformation" which are supported by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0.8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0.998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0.667, Answer_Relevancy: 0.998, Context_Precision: 1.0, Context_Recall: 0.8
- Evidence: The Answer is well-supported by Top_K_Sources and covers all aspects of the query.
- Justification: The Answer is a correct response to the query, with high faithfulness, relevancy, precision, and recall.</t>
  </si>
  <si>
    <t>### STEP 1 — Extract Query Intent and Aspects
From the Question:
1. Identify the main intent of the query: **Identify changes in evaluation metrics across decades**
2. Identify the number of explicit aspects: **1**
### STEP 2 — Verify Context Grounding
From Top_K_Sources:
1. Identify whether each key concept in the Question appears explicitly:
   - **Decades**: Yes (in Rank #1)
   - **Evaluation metrics**: Yes (in Rank #1, #2, and #3)
   - **Changes**: Yes (in Rank #1)
2. Count:
   - Number of relevant chunks: **3** (Rank #1, #2, and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0.917)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0.851)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0.917, Answer_Relevancy: 0.851, Context_Precision: 1.0, Context_Recall: 1.0
- **Evidence**: All relevant chunks are present in Top_K_Sources, and the answer is faithful and relevant.
- **Justification**: The answer is a correct summary of the changes in evaluation metrics across decades, and all relevant aspects are covered.</t>
  </si>
  <si>
    <t>### STEP 1 — Extract Query Intent and Aspects
From the Question:
1. Main intent of the query: Identify how sustainability has been incorporated into AI-based resilience models.
2. Number of explicit aspects: 2 (sustainability, AI-based resilience models)
### STEP 2 — Verify Context Grounding
From Top_K_Sources:
1. Key concepts in the Question appear explicitly in Top_K_Sources:
   - Sustainability: Present in all Top_K_Sources.
   - AI-based resilience models: Present in all Top_K_Sources.
2. Count:
   - Number of relevant chunks: 3
   - Number of noisy / off-topic chunks: 0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Faithfulness is 0.556, which is greater than 0.5. → Label as: NO ERROR
[PRIORITY 2] RETRIEVAL FAILURE
Condition: Context_Recall &lt; 0.5 AND NONE of the Top-K chunks contain core concepts.
Decision: → Context_Recall is 1.0, which is greater than 0.5. → Label as: NO ERROR
[PRIORITY 3] CONTEXT NOISE
Condition: Context_Recall &gt;= 0.5 AND Context_Precision &lt; 0.5 AND &gt;50% chunks are irrelevant.
Decision: → Context_Precision is 1.0, which is greater than 0.5. → Label as: NO ERROR
[PRIORITY 4] SEMANTIC DRIFT
Condition: Faithfulness &gt;= 0.5 AND Answer_Relevancy &lt; 0.5 (Correct answer, wrong intent).
Decision: → Answer_Relevancy is 0.962, which is greater than 0.5. → Label as: NO ERROR
[PRIORITY 5] INCOMPLETE ANSWER
Condition: Faithfulness &gt;= 0.5 AND Answer_Relevancy &gt;= 0.5 AND Answer covers only a subset of aspects.
Decision: → The Answer covers all aspects mentioned in the Question. → Label as: NO ERROR
[NO ERROR]
If NONE of above:
Decision: → Label as: Correct Answer
### STEP 4 — Output Format (MANDATORY)
For each row, output a structured report:
- Error_Label: Correct Answer
- Triggered_Rule: NO ERROR
- Metrics_Summary: Faithfulness: 0.556, Answer_Relevancy: 0.962, Context_Precision: 1.0, Context_Recall: 1.0
- Evidence: The Answer's claims are grounded in Top_K_Sources, and it covers all aspects mentioned in the Question.
- Justification: The Answer is relevant and faithful to the Question, and none of the error classification rules were triggered.</t>
  </si>
  <si>
    <t>### STEP 1 — Extract Query Intent and Aspects
From the Question:
1. Main intent of the query: Identify emerging trends defining the current era of AI for supply chain resilience.
2. Number of explicit aspects: 2 (AI, supply chain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0.5, which is not less than 0.5. Therefore, this condition is not met.
[PRIORITY 2] RETRIEVAL FAILURE
Condition: Context_Recall &lt; 0.5 AND NONE of the Top-K chunks contain core concepts.
Decision: → Context_Recall is 1.0, which is not less than 0.5. Therefore, this condition is not met.
[PRIORITY 3] CONTEXT NOISE
Condition: Context_Recall &gt;= 0.5 AND Context_Precision &lt; 0.5 AND &gt;50% chunks are irrelevant.
Decision: → Context_Precision is 1.0, which is not less than 0.5. Therefore, this condition is not met.
[PRIORITY 4] SEMANTIC DRIFT
Condition: Faithfulness &gt;= 0.5 AND Answer_Relevancy &lt; 0.5 (Correct answer, wrong intent).
Decision: → Answer_Relevancy is 0.979, which is not less than 0.5. Therefore, this condition is not met.
[PRIORITY 5] INCOMPLETE ANSWER
Condition: Faithfulness &gt;= 0.5 AND Answer_Relevancy &gt;= 0.5 AND Answer covers only a subset of aspects.
Decision: → Faithfulness is 0.5, which is not less than 0.5. However, the Answer covers all aspects mentioned in the Question.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0.5, Answer_Relevancy: 0.979, Context_Precision: 1.0, Context_Recall: 1.0
- Evidence: The Answer is relevant and covers all aspects mentioned in the Question.
- Justification: The Answer is classified as Correct Answer since none of the error conditions are met.</t>
  </si>
  <si>
    <t>### STEP 1 — Extract Query Intent and Aspects
- Main intent of the query: Identify underexplored aspects of supply chain risk in current AI research.
- Number of explicit aspects: 2 (supply chain risk, AI research)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triggered (Faithfulness = 0.556 &gt; 0.5)
[PRIORITY 2] RETRIEVAL FAILURE
Condition: Context_Recall &lt; 0.5 AND NONE of the Top-K chunks contain core concepts.
Decision: → Not triggered (Context_Recall = 1.0 &gt; 0.5)
[PRIORITY 3] CONTEXT NOISE
Condition: Context_Recall &gt;= 0.5 AND Context_Precision &lt; 0.5 AND &gt;50% chunks are irrelevant.
Decision: → Not triggered (Context_Precision = 1.0 &gt; 0.5)
[PRIORITY 4] SEMANTIC DRIFT
Condition: Faithfulness &gt;= 0.5 AND Answer_Relevancy &lt; 0.5 (Correct answer, wrong intent).
Decision: → Not triggered (Answer_Relevancy = 0.814 &gt; 0.5)
[PRIORITY 5] INCOMPLETE ANSWER
Condition: Faithfulness &gt;= 0.5 AND Answer_Relevancy &gt;= 0.5 AND Answer covers only a subset of aspects.
Decision: → Not triggered (Answer covers all aspects)
[NO ERROR]
If NONE of above:
Decision: → Label as: Correct Answer
### STEP 4 — Output Format (MANDATORY)
- Error_Label: Correct Answer
- Triggered_Rule: N/A
- Metrics_Summary: Faithfulness: 0.556, Answer_Relevancy: 0.814, Context_Precision: 1.0, Context_Recall: 1.0
- Evidence: All relevant chunks are present in Top_K_Sources, and the Answer is relevant and faithful.
- Justification: The Answer accurately reflects the context and is relevant to the query, with no errors detected.</t>
  </si>
  <si>
    <t>### STEP 1 — Extract Query Intent and Aspects
From the Question:
1. Identify the main intent of the query: The main intent is to identify gaps in AI research for small and medium-sized supply chains.
2. Identify the number of explicit aspects: 2 aspects - AI research and small/medium-sized supply chains.
### STEP 2 — Verify Context Grounding
From Top_K_Sources:
1. Identify whether each key concept in the Question appears explicitly:
   - AI research: Yes (appears in all Top_K_Sources)
   - Small/medium-sized supply chains: Yes (appears in all Top_K_Sources)
2. Count:
   - Number of relevant chunks: 3 (all Top_K_Sources are relevant)
   - Number of noisy / off-topic chunks: 0 (no noisy or off-topic chunks)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0.987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0.667, Answer_Relevancy: 0.987, Context_Precision: 1.0, Context_Recall: 1.0
- Evidence: All claims in the Answer are grounded in Top_K_Sources, and the Answer covers all aspects of the query.
- Justification: The Answer is faithful, relevant, and covers all aspects of the query, with no evidence of hallucination, retrieval failure, context noise, semantic drift, or incomplete answer.</t>
  </si>
  <si>
    <t>### STEP 1 — Extract Query Intent and Aspects
From the Question:
1. Identify the main intent of the query: **Identify limitations in current datasets used for AI-driven SCRM**
2. Identify the number of explicit aspects: **2** (current datasets, AI-driven SCRM)
### STEP 2 — Verify Context Grounding
From Top_K_Sources:
1. Identify whether each key concept in the Question appears explicitly:
   - **Current datasets**: Yes (appears in Rank #1, Rank #2, and Rank #3)
   - **AI-driven SCRM**: Yes (appears in Rank #1, Rank #2, and Rank #3)
2. Count:
   - Number of relevant chunks: **3** (all three chunks are relevant to the question)
   - Number of noisy / off-topic chunks: **0** (no noisy or off-topic chunks)
3. Determine if any factual claim in the Answer is NOT grounded in Top_K_Sources:
   - The Answer's claims are grounded in the Top_K_Sources (e.g., lack of real-world implementation studies, insufficient discussion of AI's impact on human SCM)
### STEP 3 — Apply Error Classification Rules (IN ORDER OF PRIORITY)
[PRIORITY 1] HALLUCINATION
Condition: Faithfulness &lt; 0.5 AND Answer contains claims not in Top-K sources.
Decision: → **Not applicable** (Faithfulness = 0.833, which is greater than 0.5)
[PRIORITY 2] RETRIEVAL FAILURE
Condition: Context_Recall &lt; 0.5 AND NONE of the Top-K chunks contain core concepts.
Decision: → **Not applicable** (Context_Recall = 1.0, which is greater than 0.5)
[PRIORITY 3] CONTEXT NOISE
Condition: Context_Recall &gt;= 0.5 AND Context_Precision &lt; 0.5 AND &gt;50% chunks are irrelevant.
Decision: → **Not applicable** (Context_Precision = 1.0, which is greater than 0.5)
[PRIORITY 4] SEMANTIC DRIFT
Condition: Faithfulness &gt;= 0.5 AND Answer_Relevancy &lt; 0.5 (Correct answer, wrong intent).
Decision: → **Not applicable** (Answer_Relevancy = 0.992, which is greater than 0.5)
[PRIORITY 5] INCOMPLETE ANSWER
Condition: Faithfulness &gt;= 0.5 AND Answer_Relevancy &gt;= 0.5 AND Answer covers only a subset of aspects.
Decision: → **Not applicable** (Answer covers all aspects of the question)
[NO ERROR]
If NONE of above:
Decision: → **Correct Answer**
### STEP 4 — Output Format (MANDATORY)
For each row, output a structured report:
- **Error_Label**: Correct Answer
- **Triggered_Rule**: Not applicable
- **Metrics_Summary**: Faithfulness: 0.833, Answer_Relevancy: 0.992, Context_Precision: 1.0, Context_Recall: 1.0
- **Evidence**: All relevant chunks are present in Top_K_Sources, and the Answer's claims are grounded in these sources.
- **Justification**: The question is answered correctly, and all aspects of the question are covered in the Answer.</t>
  </si>
  <si>
    <t>### STEP 1 — Extract Query Intent and Aspects
From the Question:
1. Main intent of the query: Identify supply chain stages that receive little attention in AI models.
2. Number of explicit aspects: 2 (supply chain stages and AI models)
### STEP 2 — Verify Context Grounding
From Top_K_Sources:
1. Key concepts in the Question appear explicitly in Top_K_Sources:
   - Supply chain stages
   - AI models
2. Count:
   - Number of relevant chunks: 3
   - Number of noisy / off-topic chunks: 0
3. Determine if any factual claim in the Answer is NOT grounded in Top_K_Sources:
   - The Answer is grounded in Top_K_Sources, specifically in the first chunk.
### STEP 3 — Apply Error Classification Rules (IN ORDER OF PRIORITY)
[PRIORITY 1] HALLUCINATION
Condition: Faithfulness &lt; 0.5 AND Answer contains claims not in Top-K sources.
Decision: → NOT Label as: Hallucination (Faithfulness = 0.889, which is greater than 0.5)
[PRIORITY 2] RETRIEVAL FAILURE
Condition: Context_Recall &lt; 0.5 AND NONE of the Top-K chunks contain core concepts.
Decision: → NOT Label as: Retrieval Failure (Context_Recall = 0.75, which is greater than 0.5)
[PRIORITY 3] CONTEXT NOISE
Condition: Context_Recall &gt;= 0.5 AND Context_Precision &lt; 0.5 AND &gt;50% chunks are irrelevant.
Decision: → NOT Label as: Context Noise (Context_Precision = 0.833, which is greater than 0.5)
[PRIORITY 4] SEMANTIC DRIFT
Condition: Faithfulness &gt;= 0.5 AND Answer_Relevancy &lt; 0.5 (Correct answer, wrong intent).
Decision: → NOT Label as: Semantic Drift (Answer_Relevancy = 0.919, which is greater than 0.5)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For each row, output a structured report:
- Error_Label: Correct Answer
- Triggered_Rule: NOT Labelled (all conditions failed)
- Metrics_Summary: Faithfulness = 0.889, Answer_Relevancy = 0.919, Context_Precision = 0.833, Context_Recall = 0.75
- Evidence: The Answer is grounded in Top_K_Sources, and all aspects mentioned in the question are covered.
- Justification: All conditions for the error classification rules failed, so the Answer is classified as Correct Answer.</t>
  </si>
  <si>
    <t>### STEP 1 — Extract Query Intent and Aspects
From the Question:
1. Identify the main intent of the query: **Explainability gaps in AI-driven risk prediction models**
2. Identify the number of explicit aspects: **2** (explainability, AI-driven risk prediction models)
### STEP 2 — Verify Context Grounding
From Top_K_Sources:
1. Identify whether each key concept in the Question appears explicitly:
   - **Explainability**: Yes (Rank #2: "neglect the importance of interpretability")
   - **AI-driven risk prediction models**: Yes (Rank #1: "AI-driven risk prediction models", Rank #2: "supply chain risk prediction framework", Rank #3: "AI for predicting supply chain risk")
   - **Gaps**: Yes (Rank #1: "critical gaps", Rank #2: "equity challenges")
2. Count:
   - Number of relevant chunks: **3** (Rank #1, Rank #2, Rank #3)
   - Number of noisy / off-topic chunks: **0**
3. Determine if any factual claim in the Answer is NOT grounded in Top_K_Sources:
   - No, all claims are supported by the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0.375 (less than 0.5) but Top_K_Sources contain core concepts.
[PRIORITY 3] CONTEXT NOISE
Condition: Context_Recall &gt;= 0.5 AND Context_Precision &lt; 0.5 AND &gt;50% chunks are irrelevant.
Decision: → **Not applicable**, Context_Precision = 1.0 (greater than or equal to 0.5) and Context_Recall = 0.375 (less than 0.5) but not more than 50% chunks are irrelevant.
[PRIORITY 4] SEMANTIC DRIFT
Condition: Faithfulness &gt;= 0.5 AND Answer_Relevancy &lt; 0.5 (Correct answer, wrong intent).
Decision: → **Not applicable**, Answer_Relevancy = 0.973 (greater than 0.5)
[PRIORITY 5] INCOMPLETE ANSWER
Condition: Faithfulness &gt;= 0.5 AND Answer_Relevancy &gt;= 0.5 AND Answer covers only a subset of aspects.
Decision: → **Not applicable**, Answer covers all aspects mentioned in the question.
[NO ERROR]
If NONE of above:
Decision: → **Correct Answer**
### STEP 4 — Output Format (MANDATORY)
For each row, output a structured report:
- **Error_Label**: Correct Answer
- **Triggered_Rule**: Not applicable
- **Metrics_Summary**: Faithfulness: 1.0, Answer_Relevancy: 0.973, Context_Precision: 1.0, Context_Recall: 0.375
- **Evidence**: All claims in the Answer are supported by the Top_K_Sources.
- **Justification**: The Answer is faithful, relevant, and covers all aspects mentioned in the question, with a Context_Recall of 0.375, which is less than 0.5, but the Top_K_Sources contain core concepts, making it a Correct Answer.</t>
  </si>
  <si>
    <t>### STEP 1 — Extract Query Intent and Aspects
From the Question:
1. Identify the main intent of the query: **Identify risks not captured by current AI frameworks**
2. Identify the number of explicit aspects: **2 (risks not captured by current AI frameworks)**
### STEP 2 — Verify Context Grounding
From Top_K_Sources:
1. Identify whether each key concept in the Question appears explicitly:
   - **Risks**: Yes (e.g., data sovereignty, algorithmic bias, implementation costs)
   - **Current AI frameworks**: Yes (e.g., in manufacturing and supply chains)
   - **Not captured**: Yes (e.g., exacerbate global health disparities)
2. Count:
   - Number of relevant chunks: **3** (all top-ranked sources are relevant)
   - Number of noisy / off-topic chunks: **0**
3. Determine if any factual claim in the Answer is NOT grounded in Top_K_Sources:
   - **No** (all claims are supported by top-ranked 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0.802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0.667, Answer_Relevancy: 0.802, Context_Precision: 1.0, Context_Recall: 1.0
- **Evidence**: All claims are supported by top-ranked sources, and the answer covers all aspects.
- **Justification**: The answer is faithful, relevant, and covers all aspects, making it a correct answer.</t>
  </si>
  <si>
    <t>### STEP 1 — Extract Query Intent and Aspects
From the Question:
1. Main intent of the query: Identify industries rarely studied in AI-based supply chain resilience.
2. Number of explicit aspects: 1 (industry)
### STEP 2 — Verify Context Grounding
From Top_K_Sources:
1. Key concepts in the Question appear explicitly in Top_K_Sources:
   - "industries" (not explicitly mentioned, but implied)
   - "rarely studied" (not explicitly mentioned)
   - "AI-based supply chain resilience" (explicitly mentioned)
2. Count:
   - Number of relevant chunks: 2 (Rank #1 and Rank #2)
   - Number of noisy / off-topic chunks: 1 (Rank #3)
3. Determine if any factual claim in the Answer is NOT grounded in Top_K_Sources:
   - The Answer mentions "pharmaceutical and construction" as industries rarely studied. This is supported by Rank #1.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N/A
- Metrics_Summary: Faithfulness: 1.0, Answer_Relevancy: 1.0, Context_Precision: 1.0, Context_Recall: 0.75
- Evidence: The Answer is fully supported by Top_K_Sources, and all metrics are above the threshold.
- Justification: The Answer correctly identifies the industries rarely studied in AI-based supply chain resilience, and all aspects are covered.</t>
  </si>
  <si>
    <t>### STEP 1 — Extract Query Intent and Aspects
From the Question:
1. Main intent of the query: Evaluate the sufficiency of addressing real-time adaptation mechanisms.
2. Number of explicit aspects: 1 (real-time adaptation mechanisms)
### STEP 2 — Verify Context Grounding
From Top_K_Sources:
1. Key concepts in the Question appear explicitly:
   - Real-time adaptation mechanisms: Yes (appears in Rank #1 and Rank #2)
   - Uncertainty: Yes (appears in Rank #1)
   - Dynamic logistics systems: Yes (appears in Rank #1)
2. Count:
   - Number of relevant chunks: 3
   - Number of noisy / off-topic chunks: 0
3. Determine if any factual claim in the Answer is NOT grounded in Top_K_Sources:
   - The Answer mentions "considering uncertainty and dynamic logistics systems" which is grounded in Top_K_Sources.
### STEP 3 — Apply Error Classification Rules (IN ORDER OF PRIORITY)
[PRIORITY 1] HALLUCINATION
Condition: Faithfulness &lt; 0.5 AND Answer contains claims not in Top-K sources.
Decision: → NOT APPLICABLE (Faithfulness = 0.929)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
[PRIORITY 5] INCOMPLETE ANSWER
Condition: Faithfulness &gt;= 0.5 AND Answer_Relevancy &gt;= 0.5 AND Answer covers only a subset of aspects.
Decision: → NOT APPLICABLE (Answer covers the main intent and aspects)
[NO ERROR]
If NONE of above:
Decision: → Label as: Correct Answer
### STEP 4 — Output Format (MANDATORY)
For each row, output a structured report:
- Error_Label: Correct Answer
- Triggered_Rule: N/A
- Metrics_Summary: Faithfulness: 0.929, Answer_Relevancy: 0.8, Context_Precision: 1.0, Context_Recall: 0.8
- Evidence: The Answer is faithful and relevant to the question, and the Top_K_Sources provide sufficient context.
- Justification: The Answer accurately addresses the main intent and aspects of the question, and the Top_K_Sources provide relevant and accurate information.</t>
  </si>
  <si>
    <t>### STEP 1 — Extract Query Intent and Aspects
From the Question:
1. Identify the main intent of the query: **EVALUATION METRICS MISSING IN RESILIENCE-FOCUSED AI RESEARCH**
2. Identify the number of explicit aspects: **2** (evaluation metrics, resilience-focused AI research)
### STEP 2 — Verify Context Grounding
From Top_K_Sources:
1. Identify whether each key concept in the Question appears explicitly:
   - **Resilience-focused AI research**: Yes (appears in Rank #1 and Rank #2)
   - **Evaluation metrics**: Yes (appears in Rank #1 and Rank #2)
2. Count:
   - Number of relevant chunks: **2** (Rank #1 and Rank #2)
   - Number of noisy / off-topic chunks: **1** (Rank #3)
3. Determine if any factual claim in the Answer is NOT grounded in Top_K_Sources:
   - **Regulatory compliance and real-time supplier collaboration**: Yes (not explicitly mentioned in Top_K_Sources, but implied in Rank #1 and Rank #2)
   - **Underutilization of machine learning techniques for risk identification, resilient planning, demand prediction, and parameter estimations**: Yes (explicitly mentioned in Rank #2)
### STEP 3 — Apply Error Classification Rules (IN ORDER OF PRIORITY)
[PRIORITY 1] HALLUCINATION
Condition: Faithfulness &lt; 0.5 AND Answer contains claims not in Top-K sources.
Decision: → **NO** (Faithfulness = 0.882, Answer contains claims not in Top-K sources, but Faithfulness is above threshold)
[PRIORITY 2] RETRIEVAL FAILURE
Condition: Context_Recall &lt; 0.5 AND NONE of the Top-K chunks contain core concepts.
Decision: → **NO** (Context_Recall = 0.75, Top-K chunks contain core concepts)
[PRIORITY 3] CONTEXT NOISE
Condition: Context_Recall &gt;= 0.5 AND Context_Precision &lt; 0.5 AND &gt;50% chunks are irrelevant.
Decision: → **NO** (Context_Precision = 1.0, Context_Recall = 0.75, less than 50% chunks are irrelevant)
[PRIORITY 4] SEMANTIC DRIFT
Condition: Faithfulness &gt;= 0.5 AND Answer_Relevancy &lt; 0.5 (Correct answer, wrong intent).
Decision: → **NO** (Answer_Relevancy = 0.998, Faithfulness = 0.882, correct answer and intent)
[PRIORITY 5] INCOMPLETE ANSWER
Condition: Faithfulness &gt;= 0.5 AND Answer_Relevancy &gt;= 0.5 AND Answer covers only a subset of aspects.
Decision: → **NO** (Answer covers all aspects, Faithfulness = 0.882, Answer_Relevancy = 0.998)
[NO ERROR]
If NONE of above:
Decision: → **Correct Answer**
### STEP 4 — Output Format (MANDATORY)
For each row, output a structured report:
- **Error_Label**: Correct Answer
- **Triggered_Rule**: None
- **Metrics_Summary**: Faithfulness: 0.882, Answer_Relevancy: 0.998, Context_Precision: 1.0, Context_Recall: 0.75
- **Evidence**: Top_K_Sources contain relevant chunks, Answer is faithful and relevant
- **Justification**: None of the error classification rules were triggered, therefore the answer is correct.</t>
  </si>
  <si>
    <t>### STEP 1 — Extract Query Intent and Aspects
From the Question:
1. Identify the main intent of the query: **Identify AI models that fail to generalize across supply chain contexts**
2. Identify the number of explicit aspects: **2** (AI models, supply chain contexts)
### STEP 2 — Verify Context Grounding
From Top_K_Sources:
1. Identify whether each key concept in the Question appears explicitly:
   - **AI models**: Yes (Rank #1, Rank #2, Rank #3)
   - **Supply chain contexts**: Yes (Rank #1, Rank #2,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0.762)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0.75, Answer_Relevancy: 0.762, Context_Precision: 1.0, Context_Recall: 1.0
- **Evidence**: All key concepts in the Question are explicitly mentioned in Top_K_Sources, and the Answer is relevant and faithful to the sources.
- **Justification**: The Answer is a correct response to the Question, and all error classification rules are not applicable.</t>
  </si>
  <si>
    <t>### STEP 1 — Extract Query Intent and Aspects
From the Question:
1. Identify the main intent of the query: The main intent is to discuss the underexplored nature of ethical and governance issues in AI-based Supply Chain Risk Management (SCRM).
2. Identify the number of explicit aspects: There are 3 explicit aspects: 
   - Ethical issues
   - Governance issues
   - AI-based SCRM
### STEP 2 — Verify Context Grounding
From Top_K_Sources:
1. Identify whether each key concept in the Question appears explicitly:
   - AI-based SCRM: Yes (appears in Rank #1 and Rank #2)
   - Ethical issues: Yes (appears in Rank #1 and Rank #3)
   - Governance issues: Yes (appears in Rank #1 and Rank #2)
2. Count:
   - Number of relevant chunks: 3
   - Number of noisy / off-topic chunks: 0
3. Determine if any factual claim in the Answer is NOT grounded in Top_K_Sources:
   - The Answer's claim about the lack of real-world implementation studies is supported by Rank #2 and Rank #3.
   - The Answer's claim about the need for stronger regulatory frameworks is supported by Rank #3.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0.914)
[PRIORITY 5] INCOMPLETE ANSWER
Condition: Faithfulness &gt;= 0.5 AND Answer_Relevancy &gt;= 0.5 AND Answer covers only a subset of aspects.
Decision: → NOT APPLICABLE (Answer covers all 3 aspects)
[NO ERROR]
If NONE of above:
Decision: → Label as: Correct Answer
### STEP 4 — Output Format (MANDATORY)
For each row, output a structured report:
- Error_Label: Correct Answer
- Triggered_Rule: NOT APPLICABLE
- Metrics_Summary: Faithfulness: 1.0, Answer_Relevancy: 0.914, Context_Precision: 1.0, Context_Recall: 0.833
- Evidence: The Answer's claims are supported by the Top_K_Sources, and all 3 aspects are covered.
- Justification: The Answer is correct according to the STRICT rules.</t>
  </si>
  <si>
    <t>### STEP 1 — Extract Query Intent and Aspects
From the Question:
1. Main intent of the query: Evaluate the utilization of multimodal data sources.
2. Number of explicit aspects: 1 (multimodal data sources)
### STEP 2 — Verify Context Grounding
From Top_K_Sources:
1. Key concepts in the Question: multimodal data sources, utilization
2. Relevant chunks:
   - Rank #2: "transforming aibased information systems iss with synthesized big data analytics and multimodal data fusion highlights a big level forward in utilizing diverse data sources to enhance model effectiveness and decisionmaking"
   - Rank #3: "ports are pivotal nodes in supply chain and transportation networks in which most of the existing data remain underutilized"
3. Noisy / off-topic chunks:
   - Rank #1: "the increasing availability of highvolume highvelocity data sets often containing variables of different data types brings an increasing need for monitoring tools that are designed to handle these big data sets"
4. Factual claim in the Answer: multimodal data sources are underutilized
5. Grounding in Top_K_Sources: Yes, the Answer is grounded in Top_K_Sources (Rank #2 and Rank #3)
### STEP 3 — Apply Error Classification Rules (IN ORDER OF PRIORITY)
[PRIORITY 1] HALLUCINATION
Condition: Faithfulness &lt; 0.5 AND Answer contains claims not in Top-K sources.
Decision: → Faithfulness is 0.556, which is &gt;= 0.5. Therefore, this condition is not met.
[PRIORITY 2] RETRIEVAL FAILURE
Condition: Context_Recall &lt; 0.5 AND NONE of the Top-K chunks contain core concepts.
Decision: → Context_Recall is 0.75, which is &gt;= 0.5. Therefore, this condition is not met.
[PRIORITY 3] CONTEXT NOISE
Condition: Context_Recall &gt;= 0.5 AND Context_Precision &lt; 0.5 AND &gt;50% chunks are irrelevant.
Decision: → Context_Precision is 0.583, which is &gt;= 0.5. Therefore, this condition is not met.
[PRIORITY 4] SEMANTIC DRIFT
Condition: Faithfulness &gt;= 0.5 AND Answer_Relevancy &lt; 0.5 (Correct answer, wrong intent).
Decision: → Answer_Relevancy is 0.795, which is &gt;= 0.5. Therefore, this condition is not met.
[PRIORITY 5] INCOMPLETE ANSWER
Condition: Faithfulness &gt;= 0.5 AND Answer_Relevancy &gt;= 0.5 AND Answer covers only a subset of aspects.
Decision: → The Answer covers the main intent of the query and all explicit aspects. Therefore, this condition is not met.
[NO ERROR]
If NONE of above:
Decision: → Since all conditions are not met, the Answer is classified as Correct Answer.
### STEP 4 — Output Format (MANDATORY)
For each row, output a structured report:
- Error_Label: Correct Answer
- Triggered_Rule: N/A
- Metrics_Summary: Faithfulness: 0.556, Answer_Relevancy: 0.795, Context_Precision: 0.583, Context_Recall: 0.75
- Evidence: The Answer is grounded in Top_K_Sources and covers the main intent of the query and all explicit aspects.
- Justification: The Answer is classified as Correct Answer since none of the error conditions are met.</t>
  </si>
  <si>
    <t>### STEP 1 — Extract Query Intent and Aspects
From the Question:
1. Identify the main intent of the query: **Identify future research opportunities**.
2. Identify the number of explicit aspects: **1**.
### STEP 2 — Verify Context Grounding
From Top_K_Sources:
1. Identify whether each key concept in the Question appears explicitly:
   - **Future research opportunities**: Yes (appears in Rank #1 and Rank #3)
   - **Gaps**: Yes (appears in Rank #1)
   - **Supply chain management**: No (not explicitly mentioned in Top_K_Sources)
2. Count:
   - Number of relevant chunks: **3** (Rank #1, Rank #2, Rank #3)
   - Number of noisy / off-topic chunks: **0**
3. Determine if any factual claim in the Answer is NOT grounded in Top_K_Sources:
   - **Supply chain management**: Not explicitly mentioned in Top_K_Sources
   - **Simulation methods and digital strategies**: Grounded in Rank #1
   - **Artificial intelligence technologies**: Not explicitly mentioned in Top_K_Sources
   - **Circular economy**: Grounded in Rank #3
   - **Sustainable supply chains efficiency evaluation**: Not explicitly mentioned in Top_K_Sources
### STEP 3 — Apply Error Classification Rules (IN ORDER OF PRIORITY)
[PRIORITY 1] HALLUCINATION
Condition: Faithfulness &lt; 0.5 AND Answer contains claims not in Top-K sources.
Decision: → **NOT APPLICABLE** (Faithfulness = 0.895)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0.665)
[PRIORITY 5] INCOMPLETE ANSWER
Condition: Faithfulness &gt;= 0.5 AND Answer_Relevancy &gt;= 0.5 AND Answer covers only a subset of aspects.
Decision: → **NOT APPLICABLE** (Answer covers multiple aspects)
[NO ERROR]
If NONE of above:
Decision: → **Correct Answer**
### STEP 4 — Output Format (MANDATORY)
For each row, output a structured report:
- **Error_Label**: Correct Answer
- **Triggered_Rule**: N/A
- **Metrics_Summary**: Faithfulness: 0.895, Answer_Relevancy: 0.665, Context_Precision: 1.0, Context_Recall: 0.8
- **Evidence**: The Answer is relevant and faithful to the Question, and the Top_K_Sources provide sufficient context.
- **Justification**: The Answer covers multiple aspects and is grounded in the Top_K_Sources, with a high Context_Recall and Context_Precision.</t>
  </si>
  <si>
    <t>### STEP 1 — Extract Query Intent and Aspects
From the Question:
1. Identify the main intent of the query: **Compare AI models used for disruption prediction versus resilience optimization.**
2. Identify the number of explicit aspects: **2** (disruption prediction, resilience optimization)
### STEP 2 — Verify Context Grounding
From Top_K_Sources:
1. Identify whether each key concept in the Question appears explicitly:
   - Disruption prediction: **Yes** (Rank #1, Rank #2, Rank #3)
   - Resilience optimization: **Yes** (Rank #1, Rank #2, Rank #3)
2. Count:
   - Number of relevant chunks: **3**
   - Number of noisy / off-topic chunks: **0**
3. Determine if any factual claim in the Answer is NOT grounded in Top_K_Sources:
   - The Answer discusses different approaches and objectives of disruption prediction and resilience optimization models, which is grounded in Top_K_Sources.
   - The Answer also mentions a decision-making framework for selecting industry 4.0 technologies to build supply chain resilience, which is also grounded in Top_K_Sources.
### STEP 3 — Apply Error Classification Rules (IN ORDER OF PRIORITY)
[PRIORITY 1] HALLUCINATION
Condition: Faithfulness &lt; 0.5 AND Answer contains claims not in Top-K sources.
Decision: → **NO**, Faithfulness is 0.55, which is greater than 0.5.
[PRIORITY 2] RETRIEVAL FAILURE
Condition: Context_Recall &lt; 0.5 AND NONE of the Top-K chunks contain core concepts.
Decision: → **NO**, Context_Recall is 0.857, which is greater than 0.5.
[PRIORITY 3] CONTEXT NOISE
Condition: Context_Recall &gt;= 0.5 AND Context_Precision &lt; 0.5 AND &gt;50% chunks are irrelevant.
Decision: → **NO**, Context_Precision is 0.333, which is less than 0.5, but only 1 chunk is irrelevant (Rank #3).
[PRIORITY 4] SEMANTIC DRIFT
Condition: Faithfulness &gt;= 0.5 AND Answer_Relevancy &lt; 0.5 (Correct answer, wrong intent).
Decision: → **NO**, Answer_Relevancy is 0.875, which is greater than 0.5.
[PRIORITY 5] INCOMPLETE ANSWER
Condition: Faithfulness &gt;= 0.5 AND Answer_Relevancy &gt;= 0.5 AND Answer covers only a subset of aspects.
Decision: → **NO**, the Answer covers all aspects of the question.
[NO ERROR]
If NONE of above:
Decision: → **Correct Answer**
### STEP 4 — Output Format (MANDATORY)
For each row, output a structured report:
- Error_Label: **Correct Answer**
- Triggered_Rule: **[NO ERROR]**
- Metrics_Summary: Faithfulness: 0.55, Answer_Relevancy: 0.875, Context_Precision: 0.333, Context_Recall: 0.857
- Evidence: The Answer is grounded in Top_K_Sources and covers all aspects of the question.
- Justification: The Answer is a correct response to the question, with a high Answer_Relevancy score and a moderate Faithfulness score.</t>
  </si>
  <si>
    <t>### STEP 1 — Extract Query Intent and Aspects
From the Question:
1. Main intent: Compare supervised and unsupervised models in SCRM.
2. Number of explicit aspects: 2 (supervised, unsupervised)
### STEP 2 — Verify Context Grounding
From Top_K_Sources:
1. Key concepts in the Question appear explicitly in Top_K_Sources.
2. Count:
   - Number of relevant chunks: 3
   - Number of noisy / off-topic chunks: 0
3. Determine if any factual claim in the Answer is NOT grounded in Top_K_Sources.
   - The Answer contains claims about the performance of supervised models (e.g., "achieving higher accuracy and true positive rates") which are supported by Top_K_Sources (e.g., [Hussain et al., 2024; Ordibazar et al., 2022; Badakhshan et al., 2024]).
### STEP 3 — Apply Error Classification Rules (IN ORDER OF PRIORITY)
[PRIORITY 1] HALLUCINATION
Condition: Faithfulness &lt; 0.5 AND Answer contains claims not in Top-K sources.
Decision: → Faithfulness is 0.333, which is less than 0.5. However, the Answer contains claims that are supported by Top_K_Sources. Therefore, this condition is not met.
[PRIORITY 2] RETRIEVAL FAILURE
Condition: Context_Recall &lt; 0.5 AND NONE of the Top-K chunks contain core concepts.
Decision: → Context_Recall is 0.5, which is not less than 0.5. Therefore, this condition is not met.
[PRIORITY 3] CONTEXT NOISE
Condition: Context_Recall &gt;= 0.5 AND Context_Precision &lt; 0.5 AND &gt;50% chunks are irrelevant.
Decision: → Context_Precision is 0.833, which is greater than 0.5. Therefore, this condition is not met.
[PRIORITY 4] SEMANTIC DRIFT
Condition: Faithfulness &gt;= 0.5 AND Answer_Relevancy &lt; 0.5 (Correct answer, wrong intent).
Decision: → Faithfulness is 0.333, which is less than 0.5. Therefore, this condition is not met.
[PRIORITY 5] INCOMPLETE ANSWER
Condition: Faithfulness &gt;= 0.5 AND Answer_Relevancy &gt;= 0.5 AND Answer covers only a subset of aspects.
Decision: → Faithfulness is 0.333,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0.333, Answer_Relevancy: 0.837, Context_Precision: 0.833, Context_Recall: 0.5
- Evidence: The Answer contains claims that are supported by Top_K_Sources, and the Context_Recall is not less than 0.5.
- Justification: The Answer is classified as Correct Answer because none of the error classification rules are triggered.</t>
  </si>
  <si>
    <t>### STEP 1 — Extract Query Intent and Aspects
From the Question:
1. Main intent of the query: Compare the objectives of predictive and prescriptive AI models.
2. Number of explicit aspects: 2 (predictive AI models, prescriptive AI models)
### STEP 2 — Verify Context Grounding
From Top_K_Sources:
1. Key concepts in the Question appear explicitly in Top_K_Sources:
   - Predictive AI models: Yes (Rank #1, Rank #2, Rank #3)
   - Prescriptive AI models: Yes (Rank #1, Rank #2, Rank #3)
2. Count:
   - Number of relevant chunks: 3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is 0.636.
[PRIORITY 2] RETRIEVAL FAILURE
Condition: Context_Recall &lt; 0.5 AND NONE of the Top-K chunks contain core concepts.
Decision: → Not applicable, Context_Recall is 0.0, but the core concepts are present in Top_K_Sources.
[PRIORITY 3] CONTEXT NOISE
Condition: Context_Recall &gt;= 0.5 AND Context_Precision &lt; 0.5 AND &gt;50% chunks are irrelevant.
Decision: → Not applicable, Context_Recall is 0.0, so the condition is not met.
[PRIORITY 4] SEMANTIC DRIFT
Condition: Faithfulness &gt;= 0.5 AND Answer_Relevancy &lt; 0.5 (Correct answer, wrong intent).
Decision: → Not applicable, Answer_Relevancy is 0.946.
[PRIORITY 5] INCOMPLETE ANSWER
Condition: Faithfulness &gt;= 0.5 AND Answer_Relevancy &gt;= 0.5 AND Answer covers only a subset of aspects.
Decision: → Not applicable, the Answer covers all aspects.
[NO ERROR]
If NONE of above:
Decision: → Label as: Correct Answer
### STEP 4 — Output Format (MANDATORY)
For each row, output a structured report:
- Error_Label: Correct Answer
- Triggered_Rule: Not Applicable
- Metrics_Summary: Faithfulness: 0.636, Answer_Relevancy: 0.946, Context_Precision: 0.833, Context_Recall: 0.0
- Evidence: All claims in the Answer are grounded in Top_K_Sources, and the Answer covers all aspects.
- Justification: The Answer is faithful, relevant, and covers all aspects, so it is classified as a Correct Answer.</t>
  </si>
  <si>
    <t>### STEP 1 — Extract Query Intent and Aspects
From the Question:
1. Main intent: Compare AI approaches for short-term versus long-term supply chain resilience.
2. Number of explicit aspects: 2 (short-term, long-term)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0.818)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0.818, Context_Precision: 1.0, Context_Recall: 1.0
- Evidence: All metrics are above the threshold, and the answer is relevant and faithful to the context.
- Justification: The answer is a correct and complete response to the question, covering all aspects and grounded in the context.</t>
  </si>
  <si>
    <t>### STEP 1 — Extract Query Intent and Aspects
From the Question:
1. Main intent of the query: Compare performance differences between traditional ML and deep learning models.
2. Number of explicit aspects: 2 (traditional ML, deep learning models)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0.682)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0.682, Context_Precision: 1.0, Context_Recall: 0.8
- Evidence: All conditions for error classification rules are not met.
- Justification: The answer is faithful, relevant, and covers all aspects of the question, indicating no error.</t>
  </si>
  <si>
    <t>### STEP 1 — Extract Query Intent and Aspects
- Main intent of the query: Compare centralized and decentralized AI architectures for supply chain resilience.
- Number of explicit aspects: 2 (centralized AI, decentralized AI)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applicable (Faithfulness = 0.545 &gt; 0.5)
[PRIORITY 2] RETRIEVAL FAILURE
Condition: Context_Recall &lt; 0.5 AND NONE of the Top-K chunks contain core concepts.
Decision: → Not applicable (Context_Recall = 0.286 &lt; 0.5, but Top_K_Sources contain relevant chunks)
[PRIORITY 3] CONTEXT NOISE
Condition: Context_Recall &gt;= 0.5 AND Context_Precision &lt; 0.5 AND &gt;50% chunks are irrelevant.
Decision: → Not applicable (Context_Recall = 0.286 &lt; 0.5, so Context_Recall &gt;= 0.5 is not met)
[PRIORITY 4] SEMANTIC DRIFT
Condition: Faithfulness &gt;= 0.5 AND Answer_Relevancy &lt; 0.5 (Correct answer, wrong intent).
Decision: → Not applicable (Answer_Relevancy = 0.908 &gt; 0.5)
[PRIORITY 5] INCOMPLETE ANSWER
Condition: Faithfulness &gt;= 0.5 AND Answer_Relevancy &gt;= 0.5 AND Answer covers only a subset of aspects.
Decision: → Not applicable (Answer covers all aspects)
[NO ERROR]
If NONE of above:
Decision: → Label as: Correct Answer
### STEP 4 — Output Format (MANDATORY)
- Error_Label: Correct Answer
- Triggered_Rule: N/A
- Metrics_Summary: Faithfulness: 0.545, Answer_Relevancy: 0.908, Context_Precision: 1.0, Context_Recall: 0.286
- Evidence: Top_K_Sources contain relevant chunks, and Answer is grounded in Top_K_Sources.
- Justification: The Answer is relevant and faithful to the Question, and the Top_K_Sources contain relevant chunks, so there is no error.</t>
  </si>
  <si>
    <t>### STEP 1 — Extract Query Intent and Aspects
From the Question:
1. Identify the main intent of the query: Compare explainable AI models and black-box models in SCRM.
2. Identify the number of explicit aspects: 2 (explainable AI models, black-box models)
### STEP 2 — Verify Context Grounding
From Top_K_Sources:
1. Identify whether each key concept in the Question appears explicitly:
   - Explainable AI models: Yes (Rank #1, Rank #2, Rank #3)
   - Black-box models: Yes (Rank #1, Rank #2, Rank #3)
   - SCRM: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0.909)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0.865)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0.909, Answer_Relevancy: 0.865, Context_Precision: 1.0, Context_Recall: 1.0
- Evidence: All key concepts in the Question are explicitly mentioned in Top_K_Sources, and the Answer is fully grounded in the sources.
- Justification: The Answer is faithful to the sources, relevant to the question, and covers all aspects of the query intent.</t>
  </si>
  <si>
    <t>### STEP 1 — Extract Query Intent and Aspects
From the Question:
1. Identify the main intent of the query: **Compare AI approaches in manufacturing and service supply chains**
2. Identify the number of explicit aspects: **2 (manufacturing, service)**
### STEP 2 — Verify Context Grounding
From Top_K_Sources:
1. Identify whether each key concept in the Question appears explicitly:
   - **Manufacturing**: Yes (Rank #2: "manufacturing is a critical stage")
   - **Service**: Yes (Rank #1: "stakeholders in the supply chain have their own requirements for ai technical services")
   - **AI**: Yes (All Top_K_Sources)
   - **Supply Chain**: Yes (All Top_K_Sources)
2. Count:
   - Number of relevant chunks: **3** (All Top_K_Sources)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0.824)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0.824, Answer_Relevancy: 1.0, Context_Precision: 1.0, Context_Recall: 1.0
- **Evidence**: All Top_K_Sources are relevant and cover all aspects of the question.
- **Justification**: The answer is faithful, relevant, and covers all aspects of the question, with no evidence of hallucination, retrieval failure, context noise, semantic drift, or incomplete answer.</t>
  </si>
  <si>
    <t>### STEP 1 — Extract Query Intent and Aspects
From the Question:
1. Identify the main intent of the query: Compare AI-driven risk detection and risk mitigation frameworks.
2. Identify the number of explicit aspects: 2 (risk detection and risk mitigation frameworks)
### STEP 2 — Verify Context Grounding
From Top_K_Sources:
1. Identify whether each key concept in the Question appears explicitly:
   - AI-driven risk detection: Yes (Rank #1, Rank #2, Rank #3)
   - Risk mitigation frameworks: Yes (Rank #1, Rank #2, Rank #3)
   - Healthcare systems: Yes (Rank #1)
   - Medical supply chain: Yes (Rank #1)
   - Security and resilience: Yes (Rank #1, Rank #2, Rank #3)
2. Count:
   - Number of relevant chunks: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0.933)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0.769)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0.933, Answer_Relevancy: 0.769, Context_Precision: 1.0, Context_Recall: 1.0
- Evidence: All relevant chunks are present in Top_K_Sources, and the answer is faithful and relevant.
- Justification: The answer is a correct and complete response to the question, with all relevant aspects covered and no hallucinations or retrieval failures.</t>
  </si>
  <si>
    <t>### STEP 1 — Extract Query Intent and Aspects
From the Question:
1. Identify the main intent of the query: **Comparison of hybrid AI models with single-technique approaches**
2. Identify the number of explicit aspects: **2** (hybrid AI models, single-technique approaches)
### STEP 2 — Verify Context Grounding
From Top_K_Sources:
1. Identify whether each key concept in the Question appears explicitly:
   - **Hybrid AI models**: Yes (Rank #1, Rank #2, Rank #3)
   - **Single-technique approaches**: Yes (Rank #1, Rank #2,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0.973)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0.973, Context_Precision: 1.0, Context_Recall: 1.0
- **Evidence**: All key concepts in the Question are explicitly mentioned in Top_K_Sources, and the Answer is fully grounded in the sources.
- **Justification**: The Answer is a correct summary of the comparison between hybrid AI models and single-technique approaches, and all relevant aspects are covered.</t>
  </si>
  <si>
    <t>### STEP 1 — Extract Query Intent and Aspects
From the Question:
1. Identify the main intent of the query: Compare static and adaptive AI models for resilience.
2. Identify the number of explicit aspects: 2 (static AI models, adaptive AI models)
### STEP 2 — Verify Context Grounding
From Top_K_Sources:
1. Identify whether each key concept in the Question appears explicitly:
   - "static AI models" appears in Rank #2
   - "adaptive AI models" appears in Rank #1 and #2
   - "resilience" appears in Rank #1 and #2
2. Count:
   - Number of relevant chunks: 3
   - Number of noisy / off-topic chunks: 0
3. Determine if any factual claim in the Answer is NOT grounded in Top_K_Sources:
   - The Answer discusses the use of artificial neural networks and metaheuristic optimization, which is mentioned in Rank #2.
   - The Answer also discusses the adaptation-based view of resilience, which is mentioned in Rank #1.
### STEP 3 — Apply Error Classification Rules (IN ORDER OF PRIORITY)
[PRIORITY 1] HALLUCINATION
Condition: Faithfulness &lt; 0.5 AND Answer contains claims not in Top-K sources.
Decision: → NOT Label as: Hallucination (Faithfulness = 0.75, Answer is grounded in Top_K_Sources)
[PRIORITY 2] RETRIEVAL FAILURE
Condition: Context_Recall &lt; 0.5 AND NONE of the Top-K chunks contain core concepts.
Decision: → NOT Label as: Retrieval Failure (Context_Recall = 1.0, Top_K_Sources contain core concepts)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0.901, Answer is relevant to the question)
[PRIORITY 5] INCOMPLETE ANSWER
Condition: Faithfulness &gt;= 0.5 AND Answer_Relevancy &gt;= 0.5 AND Answer covers only a subset of aspects.
Decision: → NOT Label as: Incomplete Answer (Answer covers all aspects of the question)
[NO ERROR]
If NONE of above:
Decision: → Label as: Correct Answer
### STEP 4 — Output Format (MANDATORY)
For each row, output a structured report:
- Error_Label: Correct Answer
- Triggered_Rule: NOT Labelled
- Metrics_Summary: Faithfulness = 0.75, Answer_Relevancy = 0.901, Context_Precision = 1.0, Context_Recall = 1.0
- Evidence: Top_K_Sources contain relevant chunks, Answer is grounded in Top_K_Sources
- Justification: None of the error classification rules were triggered, therefore the answer is classified as Correct Answer.</t>
  </si>
  <si>
    <t>### STEP 1 — Extract Query Intent and Aspects
From the Question:
1. Identify the main intent of the query: **Compare AI methods before and after major global disruptions.**
2. Identify the number of explicit aspects: **2** (AI methods, major global disruptions)
### STEP 2 — Verify Context Grounding
From Top_K_Sources:
1. Identify whether each key concept in the Question appears explicitly:
   - **AI methods**: Yes (Rank #1, Rank #2, Rank #3)
   - **Before**: Yes (Rank #1, Rank #2, Rank #3)
   - **After**: Yes (Rank #1, Rank #2, Rank #3)
   - **Major global disruptions**: Yes (Rank #1, Rank #2,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
[PRIORITY 2] RETRIEVAL FAILURE
Condition: Context_Recall &lt; 0.5 AND NONE of the Top-K chunks contain core concepts.
Decision: → **Not applicable** (Context_Recall = 0.143, but Rank #1, Rank #2, Rank #3 contain core concepts)
[PRIORITY 3] CONTEXT NOISE
Condition: Context_Recall &gt;= 0.5 AND Context_Precision &lt; 0.5 AND &gt;50% chunks are irrelevant.
Decision: → **Not applicable** (Context_Precision = 1.0, Context_Recall = 0.143)
[PRIORITY 4] SEMANTIC DRIFT
Condition: Faithfulness &gt;= 0.5 AND Answer_Relevancy &lt; 0.5 (Correct answer, wrong intent).
Decision: → **Not applicable** (Answer_Relevancy = 0.765)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 Answer_Relevancy: 0.765, Context_Precision: 1.0, Context_Recall: 0.143
- **Evidence**: All key concepts in the Question appear explicitly in Top_K_Sources, and the Answer is grounded in Top_K_Sources.
- **Justification**: The Answer is faithful, relevant, and covers all aspects of the Question, with no evidence of hallucination, retrieval failure, context noise, semantic drift, or incomplete answer.</t>
  </si>
  <si>
    <t>### STEP 1 — Extract Query Intent and Aspects
From the Question:
1. Identify the main intent of the query: **Understanding the variation of AI-based resilience outcomes across contexts**
2. Identify the number of explicit aspects: **2** (AI-based resilience outcomes, contexts)
### STEP 2 — Verify Context Grounding
From Top_K_Sources:
1. Identify whether each key concept in the Question appears explicitly:
   - **Contexts**: Yes (appears in Rank #1 and Rank #2)
   - **AI-based resilience outcomes**: Yes (appears in Rank #1 and Rank #2)
   - **Variation**: Yes (implied in Rank #1 and Rank #2)
2. Count:
   - Number of relevant chunks: **3** (Rank #1, Rank #2, Rank #3)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0.798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0.667, Answer_Relevancy: 0.798, Context_Precision: 1.0, Context_Recall: 1.0
- **Evidence**: All claims in the Answer are supported by Top_K_Sources.
- **Justification**: The Answer is faithful to the Top_K_Sources and covers all aspects of the question.</t>
  </si>
  <si>
    <t>### STEP 1 — Extract Query Intent and Aspects
From the Question:
1. Identify the main intent of the query: **Accuracy levels of AI models in supply chain disruption prediction**
2. Identify the number of explicit aspects: **2** (Accuracy levels, AI models, Supply chain disruption prediction)
### STEP 2 — Verify Context Grounding
From Top_K_Sources:
1. Identify whether each key concept in the Question appears explicitly:
   - **Accuracy levels**: Yes (e.g., "high accuracy levels", "efficacy and limitations")
   - **AI models**: Yes (e.g., "AI approaches", "machine learning", "deep learning")
   - **Supply chain disruption prediction**: Yes (e.g., "predicting supply chain disruptions", "supply chain disruption prediction")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0.727)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0.998)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0.727, Answer_Relevancy: 0.998, Context_Precision: 1.0, Context_Recall: 1.0
- **Evidence**: All relevant chunks are present in Top_K_Sources, and the Answer is highly relevant and faithful.
- **Justification**: The Answer accurately reflects the information present in the Top_K_Sources, and there is no evidence of hallucination, retrieval failure, context noise, semantic drift, or incomplete answer.</t>
  </si>
  <si>
    <t>### STEP 1 — Extract Query Intent and Aspects
From the Question:
1. Identify the main intent of the query: The main intent of the query is to identify the most frequently reported performance metrics.
2. Identify the number of explicit aspects: There are 2 explicit aspects: performance metrics and frequency.
### STEP 2 — Verify Context Grounding
From Top_K_Sources:
1. Identify whether each key concept in the Question appears explicitly:
   - Performance metrics: Yes (appears in all Top_K_Sources)
   - Frequency: Yes (appears in all Top_K_Sources)
2. Count:
   - Number of relevant chunks: 3
   - Number of noisy / off-topic chunks: 0
3. Determine if any factual claim in the Answer is NOT grounded in Top_K_Sources:
   - The Answer contains claims about various performance metrics, which are all grounded in the Top_K_Sources.
### STEP 3 — Apply Error Classification Rules (IN ORDER OF PRIORITY)
[PRIORITY 1] HALLUCINATION
Condition: Faithfulness &lt; 0.5 AND Answer contains claims not in Top-K sources.
Decision: → NOT Label as: Hallucination (Faithfulness = 0.667, which is greater than 0.5)
[PRIORITY 2] RETRIEVAL FAILURE
Condition: Context_Recall &lt; 0.5 AND NONE of the Top-K chunks contain core concepts.
Decision: → NOT Label as: Retrieval Failure (Context_Recall = 1.0, which is greater than 0.5)
[PRIORITY 3] CONTEXT NOISE
Condition: Context_Recall &gt;= 0.5 AND Context_Precision &lt; 0.5 AND &gt;50% chunks are irrelevant.
Decision: → NOT Label as: Context Noise (Context_Precision = 0.833, which is greater than 0.5)
[PRIORITY 4] SEMANTIC DRIFT
Condition: Faithfulness &gt;= 0.5 AND Answer_Relevancy &lt; 0.5 (Correct answer, wrong intent).
Decision: → NOT Label as: Semantic Drift (Answer_Relevancy = 0.996, which is greater than 0.5)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For each row, output a structured report:
- Error_Label: Correct Answer
- Triggered_Rule: NOT Labelled (all conditions failed)
- Metrics_Summary: 
  - Faithfulness: 0.667
  - Answer_Relevancy: 0.996
  - Context_Precision: 0.833
  - Context_Recall: 1.0
- Evidence: The Answer contains relevant information about performance metrics and their frequency, which are all grounded in the Top_K_Sources.
- Justification: All error classification rules were failed, indicating that the Answer is a Correct Answer.</t>
  </si>
  <si>
    <t>### STEP 1 — Extract Query Intent and Aspects
From the Question:
1. Main intent: Identify empirical improvements AI brings to supply chain resilience.
2. Number of explicit aspects: 2 (empirical improvements, supply chain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0.993, Context_Precision: 1.0, Context_Recall: 0.8
- Evidence: All metrics are within acceptable ranges.
- Justification: None of the error classification rules were triggered, indicating a correct answer.</t>
  </si>
  <si>
    <t>### STEP 1 — Extract Query Intent and Aspects
From the Question:
1. Main intent: Identify the reduction in disruption impact reported using AI models.
2. Number of explicit aspects: 1 (disruption impact)
### STEP 2 — Verify Context Grounding
From Top_K_Sources:
1. Key concepts in the Question appear explicitly in Top_K_Sources:
   - "supply chain disruptions"
   - "AI models"
   - "reduction in disruption impact"
2. Count:
   - Number of relevant chunks: 3
   - Number of noisy / off-topic chunks: 0
3. Determine if any factual claim in the Answer is NOT grounded in Top_K_Sources:
   - The Answer's claim about the 46% reduction in disruption impact is supported by Top_K_Sources (Rank #1).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0.794)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N/A
- Metrics_Summary: Faithfulness: 0.5, Answer_Relevancy: 0.794, Context_Precision: 1.0, Context_Recall: 1.0
- Evidence: The Answer's claim about the 46% reduction in disruption impact is supported by Top_K_Sources (Rank #1).
- Justification: The Answer is faithful to the Top_K_Sources and covers the main intent and all aspects of the question.</t>
  </si>
  <si>
    <t>### STEP 1 — Extract Query Intent and Aspects
- Main intent of the query: Identify AI models with highest predictive performance.
- Number of explicit aspects: 1 (predictive performance)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0.714, Answer contains claims from Top-K sources)
[PRIORITY 2] RETRIEVAL FAILURE
Condition: Context_Recall &lt; 0.5 AND NONE of the Top-K chunks contain core concepts.
Decision: → NOT Label as: Retrieval Failure (Context_Recall = 1.0, Top-K chunks contain core concepts)
[PRIORITY 3] CONTEXT NOISE
Condition: Context_Recall &gt;= 0.5 AND Context_Precision &lt; 0.5 AND &gt;50% chunks are irrelevant.
Decision: → NOT Label as: Context Noise (Context_Precision = 0.583, &lt; 50% chunks are irrelevant)
[PRIORITY 4] SEMANTIC DRIFT
Condition: Faithfulness &gt;= 0.5 AND Answer_Relevancy &lt; 0.5 (Correct answer, wrong intent).
Decision: → NOT Label as: Semantic Drift (Answer_Relevancy = 0.999, Correct answer, correct intent)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[NO ERROR]
- Metrics_Summary: Faithfulness = 0.714, Answer_Relevancy = 0.999, Context_Precision = 0.583, Context_Recall = 1.0
- Evidence: All conditions for error classification rules are not met.
- Justification: The answer is faithful, relevant, and covers all aspects of the query, indicating a correct answer.</t>
  </si>
  <si>
    <t>### STEP 1 — Extract Query Intent and Aspects
From the Question:
1. Identify the main intent of the query: **Identify industries providing empirical benchmarks for AI-based SCRM**
2. Identify the number of explicit aspects: **2 (AI-based SCRM, Empirical Benchmarks)**
### STEP 2 — Verify Context Grounding
From Top_K_Sources:
1. Identify whether each key concept in the Question appears explicitly:
   - **AI-based SCRM**: Yes (appears in Rank #1, Rank #2, and Rank #3)
   - **Empirical Benchmarks**: Yes (appears in Rank #1, Rank #2, and Rank #3)
2. Count:
   - Number of relevant chunks: **3** (all chunks are relevant to the question)
   - Number of noisy / off-topic chunks: **0** (no noisy or off-topic chunks)
3. Determine if any factual claim in the Answer is NOT grounded in Top_K_Sources:
   - The Answer mentions the Middle Eastern manufacturing industry as a benchmark, which is supported by Rank #2.
   - The Answer also mentions the SCM community, which is supported by Rank #3.
### STEP 3 — Apply Error Classification Rules (IN ORDER OF PRIORITY)
[PRIORITY 1] HALLUCINATION
Condition: Faithfulness &lt; 0.5 AND Answer contains claims not in Top-K sources.
Decision: → **NOT APPLICABLE** (Faithfulness = 0.545, which is greater than 0.5)
[PRIORITY 2] RETRIEVAL FAILURE
Condition: Context_Recall &lt; 0.5 AND NONE of the Top-K chunks contain core concepts.
Decision: → **NOT APPLICABLE** (Context_Recall = 1.0, which is greater than 0.5)
[PRIORITY 3] CONTEXT NOISE
Condition: Context_Recall &gt;= 0.5 AND Context_Precision &lt; 0.5 AND &gt;50% chunks are irrelevant.
Decision: → **NOT APPLICABLE** (Context_Precision = 0.583, which is greater than 0.5)
[PRIORITY 4] SEMANTIC DRIFT
Condition: Faithfulness &gt;= 0.5 AND Answer_Relevancy &lt; 0.5 (Correct answer, wrong intent).
Decision: → **NOT APPLICABLE** (Answer_Relevancy = 0.862, which is greater than 0.5)
[PRIORITY 5] INCOMPLETE ANSWER
Condition: Faithfulness &gt;= 0.5 AND Answer_Relevancy &gt;= 0.5 AND Answer covers only a subset of aspects.
Decision: → **NOT APPLICABLE** (Answer covers all aspects of the question)
[NO ERROR]
If NONE of above:
Decision: → **Correct Answer**
### STEP 4 — Output Format (MANDATORY)
For each row, output a structured report:
- **Error_Label**: Correct Answer
- **Triggered_Rule**: N/A
- **Metrics_Summary**: Faithfulness: 0.545, Answer_Relevancy: 0.862, Context_Precision: 0.583, Context_Recall: 1.0
- **Evidence**: All relevant chunks support the Answer, and the Answer covers all aspects of the question.
- **Justification**: The Answer is faithful to the Top-K sources, and the Context_Recall is high, indicating that the Answer is relevant and accurate.</t>
  </si>
  <si>
    <t>### STEP 1 — Extract Query Intent and Aspects
From the Question:
1. Main intent of the query: Identify computational costs for AI-based models.
2. Number of explicit aspects: 1 (computational costs for AI-based models)
### STEP 2 — Verify Context Grounding
From Top_K_Sources:
1. Key concepts in the Question appear explicitly in Top_K_Sources:
   - "computational costs" appears in Rank #2
   - "AI-based models" appears in Rank #1 and #2
2. Count:
   - Number of relevant chunks: 2 (Rank #1 and #2)
   - Number of noisy / off-topic chunks: 1 (Rank #3)
3. Determine if any factual claim in the Answer is NOT grounded in Top_K_Sources:
   - The Answer mentions specific information on cost savings, which is not explicitly mentioned in Top_K_Sources.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0.932)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0.75, Answer_Relevancy: 0.932, Context_Precision: 1.0, Context_Recall: 1.0
- Evidence: The Answer is faithful and relevant to the query, and all aspects are covered.
- Justification: The Answer is correct according to the STRICT rules.</t>
  </si>
  <si>
    <t>### STEP 1 — Extract Query Intent and Aspects
From the Question:
1. Main intent of the query: Identify validation methods commonly applied.
2. Number of explicit aspects: 1 (validation methods)
### STEP 2 — Verify Context Grounding
From Top_K_Sources:
1. Key concepts in the Question appear explicitly in Top_K_Sources.
2. Count:
   - Number of relevant chunks: 2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0.583 &gt; 0.5)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1.0, Context_Precision: 0.583, Context_Recall: 1.0
- Evidence: All metrics are within acceptable ranges.
- Justification: None of the error classification rules were triggered, indicating a correct answer.</t>
  </si>
  <si>
    <t>### STEP 1 — Extract Query Intent and Aspects
From the Question:
1. Main intent: Identify real-world case studies supporting AI-driven resilience.
2. Number of explicit aspects: 1 (AI-driven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0.996, Context_Precision: 1.0, Context_Recall: 1.0
- Evidence: All metrics are above the threshold, and the answer is fully relevant and faithful to the context.
- Justification: The answer is a correct and complete response to the question, with all aspects covered and no errors detected.</t>
  </si>
  <si>
    <t>### STEP 1 — Extract Query Intent and Aspects
From the Question:
1. Main intent of the query: Identify risk categories empirically addressed by AI models.
2. Number of explicit aspects: 1 (risk categories)
### STEP 2 — Verify Context Grounding
From Top_K_Sources:
1. Key concepts in the Question: risk categories, AI models
2. Relevant chunks:
   - Rank #1: Contains key concepts (supply chain attacks, runtime attacks)
   - Rank #2: Contains key concepts (ewinduced risks, AI capabilities)
   - Rank #3: Contains key concepts (risk assessment, AI capabilities)
3. Number of relevant chunks: 3
4. Number of noisy / off-topic chunks: 0
5. Factual claim in the Answer: AI models empirically address two broad risk categories
6. Grounding in Top_K_Sources: Yes, all claims are supported by Top_K_Sources
### STEP 3 — Apply Error Classification Rules (IN ORDER OF PRIORITY)
[PRIORITY 1] HALLUCINATION
Condition: Faithfulness &lt; 0.5 AND Answer contains claims not in Top-K sources.
Decision: → Faithfulness is 0.3, which is less than 0.5. However, all claims in the Answer are supported by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Context_Precision is 1.0, and all chunks are relevant. Therefore, this condition is not met.
[PRIORITY 4] SEMANTIC DRIFT
Condition: Faithfulness &gt;= 0.5 AND Answer_Relevancy &lt; 0.5 (Correct answer, wrong intent).
Decision: → Faithfulness is 0.3, which is less than 0.5. Therefore, this condition is not met.
[PRIORITY 5] INCOMPLETE ANSWER
Condition: Faithfulness &gt;= 0.5 AND Answer_Relevancy &gt;= 0.5 AND Answer covers only a subset of aspects.
Decision: → Faithfulness is 0.3, which is less than 0.5. Therefore, this condition is not met.
[NO ERROR]
If NONE of above:
Decision: → Since all conditions are not met, the Answer is classified as Correct Answer.
### STEP 4 — Output Format (MANDATORY)
For each row, output a structured report:
- Error_Label: Correct Answer
- Triggered_Rule: N/A
- Metrics_Summary: Faithfulness: 0.3, Answer_Relevancy: 0.942, Context_Precision: 1.0, Context_Recall: 1.0
- Evidence: All claims in the Answer are supported by Top_K_Sources, and all chunks are relevant.
- Justification: The Answer meets the criteria for a Correct Answer, as all conditions for the other error types are not met.</t>
  </si>
  <si>
    <t>### STEP 1 — Extract Query Intent and Aspects
From the Question:
1. Identify the main intent of the query: **Improvements after AI integration**
2. Identify the number of explicit aspects: **2** (improvements, AI integration)
### STEP 2 — Verify Context Grounding
From Top_K_Sources:
1. Identify whether each key concept in the Question appears explicitly:
   - **Improvements**: Yes (e.g., "significant improvements", "25% improvement", "30% reduction", "40% increase")
   - **AI integration**: Yes (e.g., "integration of AI with blockchain", "integration of AI and rapid detection technologies", "integration of IoT and AI")
2. Count:
   - Number of relevant chunks: **3** (all chunks are relevant to the question)
   - Number of noisy / off-topic chunks: **0** (no chunks are noisy or off-topic)
3. Determine if any factual claim in the Answer is NOT grounded in Top_K_Sources:
   - No (all claims in the Answer are supported by the Top_K_Sources)
### STEP 3 — Apply Error Classification Rules (IN ORDER OF PRIORITY)
[PRIORITY 1] HALLUCINATION
Condition: Faithfulness &lt; 0.5 AND Answer contains claims not in Top-K sources.
Decision: → **NO** (Faithfulness = 1.0, all claims are supported by Top_K_Sources)
[PRIORITY 2] RETRIEVAL FAILURE
Condition: Context_Recall &lt; 0.5 AND NONE of the Top-K chunks contain core concepts.
Decision: → **NO** (Context_Recall = 1.0, all chunks contain core concepts)
[PRIORITY 3] CONTEXT NOISE
Condition: Context_Recall &gt;= 0.5 AND Context_Precision &lt; 0.5 AND &gt;50% chunks are irrelevant.
Decision: → **NO** (Context_Precision = 1.0, all chunks are relevant)
[PRIORITY 4] SEMANTIC DRIFT
Condition: Faithfulness &gt;= 0.5 AND Answer_Relevancy &lt; 0.5 (Correct answer, wrong intent).
Decision: → **NO** (Answer_Relevancy = 0.759, the answer is relevant to the question)
[PRIORITY 5] INCOMPLETE ANSWER
Condition: Faithfulness &gt;= 0.5 AND Answer_Relevancy &gt;= 0.5 AND Answer covers only a subset of aspects.
Decision: → **NO** (the answer covers all aspects of the question)
[NO ERROR]
If NONE of above:
Decision: → **Correct Answer**
### STEP 4 — Output Format (MANDATORY)
For each row, output a structured report:
- **Error_Label**: Correct Answer
- **Triggered_Rule**: N/A
- **Metrics_Summary**: Faithfulness: 1.0, Answer_Relevancy: 0.759, Context_Precision: 1.0, Context_Recall: 1.0
- **Evidence**: All claims in the Answer are supported by the Top_K_Sources, and the answer is relevant to the question.
- **Justification**: The answer is a correct and complete response to the question, with all aspects covered and no errors detected.</t>
  </si>
  <si>
    <t>### STEP 1 — Extract Query Intent and Aspects
From the Question:
1. Identify the main intent of the query: **Identify empirically validated data modalities**
2. Identify the number of explicit aspects: **2 (data modalities)**
### STEP 2 — Verify Context Grounding
From Top_K_Sources:
1. Identify whether each key concept in the Question appears explicitly:
   - **Data modalities**: Yes (appears in Rank #1 and Rank #3)
   - **Empirically validated**: Yes (appears in Rank #1)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0.833)
[PRIORITY 4] SEMANTIC DRIFT
Condition: Faithfulness &gt;= 0.5 AND Answer_Relevancy &lt; 0.5 (Correct answer, wrong intent).
Decision: → **Not applicable** (Answer_Relevancy = 0.951)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0.951, Context_Precision: 0.833, Context_Recall: 0.8
- **Evidence**: All relevant chunks are present in Top_K_Sources, and the answer is fully relevant and faithful.
- **Justification**: The answer is fully faithful and relevant, and all relevant chunks are present in Top_K_Sources, so there is no error.</t>
  </si>
  <si>
    <t>### STEP 1 — Extract Query Intent and Aspects
From the Question:
1. Main intent of the query: Identify robustness tests reported.
2. Number of explicit aspects: 1 (robustness tests)
### STEP 2 — Verify Context Grounding
From Top_K_Sources:
1. Key concepts in the Question appear explicitly in Top_K_Sources.
2. Count:
   - Number of relevant chunks: 3
   - Number of noisy / off-topic chunks: 0
3. Determine if any factual claim in the Answer is NOT grounded in Top_K_Sources:
   - Answer contains claims that are grounded in Top_K_Sources.
### STEP 3 — Apply Error Classification Rules (IN ORDER OF PRIORITY)
[PRIORITY 1] HALLUCINATION
Condition: Faithfulness &lt; 0.5 AND Answer contains claims not in Top-K sources.
Decision: → Faithfulness is 0.222, which is less than 0.5. However, the Answer contains claims that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Context_Precision is 1.0, and all chunks are relevant. Therefore, this condition is not met.
[PRIORITY 4] SEMANTIC DRIFT
Condition: Faithfulness &gt;= 0.5 AND Answer_Relevancy &lt; 0.5 (Correct answer, wrong intent).
Decision: → Faithfulness is 0.222, which is less than 0.5. Therefore, this condition is not met.
[PRIORITY 5] INCOMPLETE ANSWER
Condition: Faithfulness &gt;= 0.5 AND Answer_Relevancy &gt;= 0.5 AND Answer covers only a subset of aspects.
Decision: → Faithfulness is 0.222,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0.222, Answer_Relevancy: 0.882, Context_Precision: 1.0, Context_Recall: 1.0
- Evidence: Answer contains claims that are grounded in Top_K_Sources.
- Justification: The Answer is classified as Correct Answer since none of the error conditions are met.</t>
  </si>
  <si>
    <t>### STEP 1 — Extract Query Intent and Aspects
From the Question:
1. Main intent: Understand the evolution of AI application in supply chain risk management over time.
2. Number of explicit aspects: 2 (AI application, supply chain risk management)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0.615 &gt; 0.5)
[PRIORITY 2] RETRIEVAL FAILURE
Condition: Context_Recall &lt; 0.5 AND NONE of the Top-K chunks contain core concepts.
Decision: → Not applicable (Context_Recall = 0.833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0.969 &gt; 0.5)
[PRIORITY 5] INCOMPLETE ANSWER
Condition: Faithfulness &gt;= 0.5 AND Answer_Relevancy &gt;= 0.5 AND Answer covers only a subset of aspects.
Decision: → Not applicable (Faithfulness = 0.615 &lt; 0.5)
[NO ERROR]
If NONE of above:
Decision: → Label as: Correct Answer
### STEP 4 — Output Format (MANDATORY)
For each row, output a structured report:
- Error_Label: Correct Answer
- Triggered_Rule: Not Applicable
- Metrics_Summary: Faithfulness = 0.615, Answer_Relevancy = 0.969, Context_Precision = 1.0, Context_Recall = 0.833
- Evidence: All conditions for error classification rules are not met.
- Justification: The answer is faithful and relevant, and the context grounding is accurate, so it is classified as a Correct Answer.</t>
  </si>
  <si>
    <t>### STEP 1 — Extract Query Intent and Aspects
From the Question:
1. Identify the main intent of the query: **Identify the impact of machine learning adoption on SCRM research after 2015.**
2. Identify the number of explicit aspects: **2 aspects: Machine Learning Adoption, SCRM Research**
### STEP 2 — Verify Context Grounding
From Top_K_Sources:
1. Identify whether each key concept in the Question appears explicitly:
   - **Machine Learning**: Yes (appears in multiple chunks)
   - **SCRM Research**: Yes (appears in multiple chunks)
   - **2015**: Yes (appears in multiple chunks)
2. Count:
   - Number of relevant chunks: **4** (Chunks 1, 2, 3, and 4)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**Not applicable** (Faithfulness = 0.867 &gt; 0.5)
[PRIORITY 2] RETRIEVAL FAILURE
Condition: Context_Recall &lt; 0.5 AND NONE of the Top-K chunks contain core concepts.
Decision: → **Not applicable** (Context_Recall = 0.167 &lt; 0.5, but chunks contain core concepts)
[PRIORITY 3] CONTEXT NOISE
Condition: Context_Recall &gt;= 0.5 AND Context_Precision &lt; 0.5 AND &gt;50% chunks are irrelevant.
Decision: → **Not applicable** (Context_Precision = 1.0 &gt; 0.5, and no irrelevant chunks)
[PRIORITY 4] SEMANTIC DRIFT
Condition: Faithfulness &gt;= 0.5 AND Answer_Relevancy &lt; 0.5 (Correct answer, wrong intent).
Decision: → **Not applicable** (Answer_Relevancy = 0.889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0.867, Answer_Relevancy: 0.889, Context_Precision: 1.0, Context_Recall: 0.167
- **Evidence**: All claims in the Answer are supported by Top_K_Sources, and the Answer covers all aspects of the query.
- **Justification**: The Answer is a correct response to the query, with high faithfulness and relevancy, and no errors in context grounding or answer coverage.</t>
  </si>
  <si>
    <t>### STEP 1 — Extract Query Intent and Aspects
From the Question:
1. Main intent of the query: Identify the role of predictive analytics in early supply chain risk mitigation studies.
2. Number of explicit aspects: 2 (predictive analytics, supply chain risk mitigation)
### STEP 2 — Verify Context Grounding
From Top_K_Sources:
1. Key concepts in the Question appear explicitly in Top_K_Sources:
   - Predictive analytics: Present in all Top_K_Sources.
   - Supply chain risk mitigation: Present in all Top_K_Sources.
2. Count:
   - Number of relevant chunks: 5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0.667)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1.0)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Correct Answer
- Triggered_Rule: NOT Labelled
- Metrics_Summary: Faithfulness = 1.0, Answer_Relevancy = 1.0, Context_Precision = 1.0, Context_Recall = 0.667
- Evidence: All metrics are above the threshold, and the Answer is grounded in Top_K_Sources.
- Justification: The Answer is correct, and all conditions for the higher-priority rules are not met.</t>
  </si>
  <si>
    <t>### STEP 1 — Extract Query Intent and Aspects
From the Question:
1. Main intent: Identify the influence of deep learning on recent supply chain resilience models.
2. Number of explicit aspects: 2 (deep learning, supply chain resilience models)
### STEP 2 — Verify Context Grounding
From Top_K_Sources:
1. Key concepts in the Question appear explicitly in Top_K_Sources.
2. Count:
   - Number of relevant chunks: 4
   - Number of noisy / off-topic chunks: 1 (Rank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0.75, Answer_Relevancy: 0.876, Context_Precision: 1.0, Context_Recall: 1.0
- Evidence: All relevant chunks are present in Top_K_Sources, and the Answer is relevant and faithful.
- Justification: The Answer is a correct and complete response to the Question, with all aspects covered and no errors detected.</t>
  </si>
  <si>
    <t>### STEP 1 — Extract Query Intent and Aspects
From the Question:
1. Identify the main intent of the query: **Identify major paradigm shifts in AI-based supply chain research after COVID-19**
2. Identify the number of explicit aspects: **2** (paradigm shifts, AI-based supply chain research)
### STEP 2 — Verify Context Grounding
From Top_K_Sources:
1. Identify whether each key concept in the Question appears explicitly:
   - **COVID-19**: Yes (appears in all Top_K_Sources)
   - **AI-based supply chain research**: Yes (appears in all Top_K_Sources)
   - **Paradigm shifts**: Yes (appears in all Top_K_Sources)
2. Count:
   - Number of relevant chunks: **5** (all Top_K_Sources are relevant)
   - Number of noisy / off-topic chunks: **0** (all chunks are relevant)
3. Determine if any factual claim in the Answer is NOT grounded in Top_K_Sources: **No** (all claims in the Answer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0.989, Context_Precision: 1.0, Context_Recall: 0.833
- **Evidence**: All claims in the Answer are grounded in Top_K_Sources, and the Answer covers all aspects of the query.
- **Justification**: The query is answered correctly, and all conditions for the error classification rules are not met.</t>
  </si>
  <si>
    <t>### STEP 1 — Extract Query Intent and Aspects
From the Question:
1. Main intent of the query: Identify changes in objectives of AI models for supply chain resilience.
2. Number of explicit aspects: 2 (AI models, supply chain resilience)
### STEP 2 — Verify Context Grounding
From Top_K_Sources:
1. Key concepts in the Question appear explicitly in Top_K_Sources:
   - AI models: Present in all Top_K_Sources.
   - Supply chain resilience: Present in all Top_K_Sources.
2. Count:
   - Number of relevant chunks: 4 (all Top_K_Sources are relevant).
   - Number of noisy / off-topic chunks: 0 (all chunks are relevant).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NOT APPLICABLE (Faithfulness = 0.7)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0.0, but Context_Recall = 0.8 and all chunks are relevant)
[PRIORITY 4] SEMANTIC DRIFT
Condition: Faithfulness &gt;= 0.5 AND Answer_Relevancy &lt; 0.5 (Correct answer, wrong intent).
Decision: → NOT APPLICABLE (Answer_Relevancy = 0.876)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 Answer_Relevancy: 0.876, Context_Precision: 0.0, Context_Recall: 0.8
- Evidence: All Top_K_Sources are relevant, and the Answer's claims are grounded in Top_K_Sources.
- Justification: The Answer is faithful, relevant, and covers all aspects of the query, with a high Context_Recall and no Context_Noise.</t>
  </si>
  <si>
    <t>### STEP 1 — Extract Query Intent and Aspects
From the Question:
1. Main intent of the query: Identify the emergence of Explainable AI in SCRM research.
2. Number of explicit aspects: 2 (Explainable AI, SCRM research)
### STEP 2 — Verify Context Grounding
From Top_K_Sources:
1. Key concepts in the Question appear explicitly in Top_K_Sources:
   - Explainable AI: Present in all Top_K_Sources.
   - SCRM research: Present in all Top_K_Sources.
2. Count:
   - Number of relevant chunks: 5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APPLICABLE (Faithfulness = 0.733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0.741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0.733, Answer_Relevancy = 0.741, Context_Precision = 1.0, Context_Recall = 1.0
- Evidence: All Top_K_Sources are relevant and the Answer is grounded in them.
- Justification: The Answer is faithful and relevant to the Question, and all Top_K_Sources contain the core concepts.</t>
  </si>
  <si>
    <t>### STEP 1 — Extract Query Intent and Aspects
From the Question:
1. Main intent: Identify historical trends in data sources used for AI-based SCRM.
2. Number of explicit aspects: 2 (data sources, AI-based SCRM)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0.938)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0.95)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0.938, Answer_Relevancy: 1.0, Context_Precision: 0.95, Context_Recall: 0.8
- Evidence: All conditions for error classification rules are not met.
- Justification: The answer is faithful, relevant, and covers all aspects of the question, indicating no error.</t>
  </si>
  <si>
    <t>### STEP 1 — Extract Query Intent and Aspects
From the Question:
1. Identify the main intent of the query: **Identify the shift in research emphasis from cost efficiency to resilience**.
2. Identify the number of explicit aspects: **2** (cost efficiency, resilience).
### STEP 2 — Verify Context Grounding
From Top_K_Sources:
1. Identify whether each key concept in the Question appears explicitly:
   - **Cost efficiency**: appears in Rank #1 (efficient resilience) and Rank #5 (business-as-usual state).
   - **Resilience**: appears in all Top_K_Sources.
2. Count:
   - Number of relevant chunks: **5** (all Top_K_Sources are relevant).
   - Number of noisy / off-topic chunks: **0** (all chunks are relevant).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0.791).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0.791, Context_Precision: 1.0, Context_Recall: 1.0
- **Evidence**: All claims in the Answer are grounded in Top_K_Sources, and the Answer covers all aspects of the query.
- **Justification**: The query intent and aspects are correctly identified, and the Answer is faithful, relevant, and covers all aspects.</t>
  </si>
  <si>
    <t>### STEP 1 — Extract Query Intent and Aspects
From the Question:
1. Identify the main intent of the query: **Temporal patterns in AI-driven disruption prediction studies**
2. Identify the number of explicit aspects: **2** (Temporal patterns, AI-driven disruption prediction studies)
### STEP 2 — Verify Context Grounding
From Top_K_Sources:
1. Identify whether each key concept in the Question appears explicitly:
   - Temporal patterns: **Yes** (appears in Rank #1, Rank #2, Rank #4)
   - AI-driven disruption prediction studies: **Yes** (appears in Rank #1, Rank #2, Rank #4)
2. Count:
   - Number of relevant chunks: **4** (Rank #1, Rank #2, Rank #4,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0.987)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 ERROR]**
- Metrics_Summary: Faithfulness: 1.0, Answer_Relevancy: 0.987, Context_Precision: 1.0, Context_Recall: 0.8
- Evidence: All key concepts in the Question are explicitly mentioned in Top_K_Sources, and the Answer is fully grounded in the sources.
- Justification: The Answer is a correct and complete response to the Question, with all aspects covered and no errors detected.</t>
  </si>
  <si>
    <t>### STEP 1 — Extract Query Intent and Aspects
From the Question:
1. Identify the main intent of the query: **How did reinforcement learning enter supply chain resilience research?**
2. Identify the number of explicit aspects: **2** (Reinforcement Learning, Supply Chain Resilience Research)
### STEP 2 — Verify Context Grounding
From Top_K_Sources:
1. Identify whether each key concept in the Question appears explicitly:
   - **Reinforcement Learning**: Yes (appears in all Top_K_Sources)
   - **Supply Chain Resilience Research**: Yes (appears in all Top_K_Sources)
2. Count:
   - Number of relevant chunks: **5** (all Top_K_Sources are relevant)
   - Number of noisy / off-topic chunks: **0** (no noisy or off-topic chunks)
3. Determine if any factual claim in the Answer is NOT grounded in Top_K_Sources: **No** (all claims in the Answer are grounded in Top_K_Sources)
### STEP 3 — Apply Error Classification Rules (IN ORDER OF PRIORITY)
[PRIORITY 1] HALLUCINATION
Condition: Faithfulness &lt; 0.5 AND Answer contains claims not in Top-K sources.
Decision: → **Not Applicable** (Faithfulness = 0.688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0.721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0.688, Answer_Relevancy: 0.721, Context_Precision: 1.0, Context_Recall: 1.0
- **Evidence**: All claims in the Answer are grounded in Top_K_Sources, and the Answer covers all aspects of the question.
- **Justification**: The question is answered correctly, and all conditions for the error classification rules are not met.</t>
  </si>
  <si>
    <t>### STEP 1 — Extract Query Intent and Aspects
From the Question:
1. Main intent: Identify changes in evaluation metrics across decades.
2. Number of explicit aspects: 1 (evaluation metrics)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0.286, but Top_K_Sources contain relevant chunks)
[PRIORITY 3] CONTEXT NOISE
Condition: Context_Recall &gt;= 0.5 AND Context_Precision &lt; 0.5 AND &gt;50% chunks are irrelevant.
Decision: → Not applicable (Context_Recall = 0.286, Context_Precision = 0.5, and all chunks are relevant)
[PRIORITY 4] SEMANTIC DRIFT
Condition: Faithfulness &gt;= 0.5 AND Answer_Relevancy &lt; 0.5 (Correct answer, wrong intent).
Decision: → Not applicable (Answer_Relevancy = 0.886)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Not Applicable
- Metrics_Summary: Faithfulness: 1.0, Answer_Relevancy: 0.886, Context_Precision: 0.5, Context_Recall: 0.286
- Evidence: Top_K_Sources contain relevant chunks, and the Answer is faithful and relevant.
- Justification: The Answer accurately reflects the main intent and all aspects of the Question, and the Top_K_Sources provide sufficient context.</t>
  </si>
  <si>
    <t>### STEP 1 — Extract Query Intent and Aspects
From the Question:
1. Main intent of the query: Identify how sustainability has been incorporated into AI-based resilience models.
2. Number of explicit aspects: 2 (sustainability, AI-based resilience models)
### STEP 2 — Verify Context Grounding
From Top_K_Sources:
1. Key concepts in the Question appear explicitly in Top_K_Sources:
   - Sustainability: Present in all Top_K_Sources.
   - AI-based resilience models: Present in all Top_K_Sources.
2. Count:
   - Number of relevant chunks: 5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APPLICABLE (Faithfulness = 0.955)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0.784)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0.955, Answer_Relevancy: 0.784, Context_Precision: 1.0, Context_Recall: 1.0
- Evidence: The Answer is grounded in Top_K_Sources and covers all aspects of the query.
- Justification: The Answer is a correct response to the query, with high faithfulness and relevancy, and all relevant chunks are present in Top_K_Sources.</t>
  </si>
  <si>
    <t>### STEP 1 — Extract Query Intent and Aspects
From the Question:
1. Identify the main intent of the query: **Identify missing aspects in existing studies on supply chain disruptions.**
2. Identify the number of explicit aspects: **2** (supply chain disruptions, existing studies)
### STEP 2 — Verify Context Grounding
From Top_K_Sources:
1. Identify whether each key concept in the Question appears explicitly:
   - **Supply chain disruptions**: Yes (appears in multiple chunks)
   - **Existing studies**: Yes (appears in multiple chunks)
2. Count:
   - Number of relevant chunks: **4** (Chunks 1, 2, 3, and 4)
   - Number of noisy / off-topic chunks: **0**
3. Determine if any factual claim in the Answer is NOT grounded in Top_K_Sources:
   - **Answer**: The answer is grounded in the top-k sources, as it mentions specific studies and authors.
### STEP 3 — Apply Error Classification Rules (IN ORDER OF PRIORITY)
[PRIORITY 1] HALLUCINATION
Condition: Faithfulness &lt; 0.5 AND Answer contains claims not in Top-K sources.
Decision: → **Not applicable**, Faithfulness is 0.9.
[PRIORITY 2] RETRIEVAL FAILURE
Condition: Context_Recall &lt; 0.5 AND NONE of the Top-K chunks contain core concepts.
Decision: → **Not applicable**, Context_Recall is 0.333, but the top-k chunks do contain core concepts.
[PRIORITY 3] CONTEXT NOISE
Condition: Context_Recall &gt;= 0.5 AND Context_Precision &lt; 0.5 AND &gt;50% chunks are irrelevant.
Decision: → **Not applicable**, Context_Precision is 1.0, and there are no irrelevant chunks.
[PRIORITY 4] SEMANTIC DRIFT
Condition: Faithfulness &gt;= 0.5 AND Answer_Relevancy &lt; 0.5 (Correct answer, wrong intent).
Decision: → **Not applicable**, Answer_Relevancy is 0.673, which is greater than or equal to 0.5.
[PRIORITY 5] INCOMPLETE ANSWER
Condition: Faithfulness &gt;= 0.5 AND Answer_Relevancy &gt;= 0.5 AND Answer covers only a subset of aspects.
Decision: → **Not applicable**, the answer covers all aspects mentioned in the question.
[NO ERROR]
If NONE of above:
Decision: → **Correct Answer**, as none of the above conditions are met.
### STEP 4 — Output Format (MANDATORY)
For each row, output a structured report:
- **Error_Label**: Correct Answer
- **Triggered_Rule**: Not applicable
- **Metrics_Summary**: Faithfulness: 0.9, Answer_Relevancy: 0.673, Context_Precision: 1.0, Context_Recall: 0.333
- **Evidence**: The answer is grounded in the top-k sources, and the top-k chunks contain core concepts.
- **Justification**: The answer is correct, and none of the error classification rules are triggered.</t>
  </si>
  <si>
    <t>### STEP 1 — Extract Query Intent and Aspects
From the Question:
1. Identify the main intent of the query: **Identify resilience dimensions lacking empirical AI-based evaluation**
2. Identify the number of explicit aspects: **3** (long-term impacts, stakeholder resistance, effectiveness of different AI approaches)
### STEP 2 — Verify Context Grounding
From Top_K_Sources:
1. Identify whether each key concept in the Question appears explicitly:
   - **Long-term impacts**: Yes (Rank #1, Rank #2, Rank #4)
   - **Stakeholder resistance**: Yes (Rank #1, Rank #4)
   - **Effectiveness of different AI approaches**: Yes (Rank #1, Rank #2, Rank #3)
2. Count:
   - Number of relevant chunks: **5** (all Top_K_Sources are relevant)
   - Number of noisy / off-topic chunks: **0** (all chunks are relevant to the question)
3. Determine if any factual claim in the Answer is NOT grounded in Top_K_Sources: **No** (all claims are supported by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0.804, which is greater than 0.5)
[PRIORITY 4] SEMANTIC DRIFT
Condition: Faithfulness &gt;= 0.5 AND Answer_Relevancy &lt; 0.5 (Correct answer, wrong intent).
Decision: → **Not applicable** (Answer_Relevancy = 0.978, which is greater than 0.5)
[PRIORITY 5] INCOMPLETE ANSWER
Condition: Faithfulness &gt;= 0.5 AND Answer_Relevancy &gt;= 0.5 AND Answer covers only a subset of aspects.
Decision: → **Not applicable** (Answer covers all 3 aspects)
[NO ERROR]
If NONE of above:
Decision: → **Correct Answer**
### STEP 4 — Output Format (MANDATORY)
For each row, output a structured report:
- **Error_Label**: Correct Answer
- **Triggered_Rule**: Not applicable
- **Metrics_Summary**: Faithfulness: 1.0, Answer_Relevancy: 0.978, Context_Precision: 0.804, Context_Recall: 1.0
- **Evidence**: All claims in the Answer are supported by Top_K_Sources, and the Answer covers all 3 aspects.
- **Justification**: The question is answered correctly, and all metrics are within the acceptable range.</t>
  </si>
  <si>
    <t>### STEP 1 — Extract Query Intent and Aspects
- Main intent of the query: Identify supply chain stages that receive little attention in AI models.
- Number of explicit aspects: 1 (supply chain stages)
### STEP 2 — Verify Context Grounding
- Key concepts in the Question: supply chain stages, AI models
- Relevant chunks:
  - Rank #2: sectors such as pharmaceutical and construction have received less attention to help address these gaps
  - Rank #1: few machine learning-based models for supply chain management
- Noisy/off-topic chunks:
  - Rank #3: supply chain security application areas security threats and solution architectures
  - Rank #4: cause-and-effect relationships between supply chain technologies
  - Rank #5: explainability in AI approaches in supply chain research
- Factual claims in the Answer: sectors such as pharmaceutical and construction have received less attention in AI models for supply chain management
- Grounding in Top_K_Sources: Yes, the Answer is grounded in Top_K_Sources (Rank #2 and Rank #1)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0.75)
[PRIORITY 3] CONTEXT NOISE
Condition: Context_Recall &gt;= 0.5 AND Context_Precision &lt; 0.5 AND &gt;50% chunks are irrelevant.
Decision: → NOT Label as: Context Noise (Context_Precision = 0.533, which is not less than 0.5)
[PRIORITY 4] SEMANTIC DRIFT
Condition: Faithfulness &gt;= 0.5 AND Answer_Relevancy &lt; 0.5 (Correct answer, wrong intent).
Decision: → NOT Label as: Semantic Drift (Answer_Relevancy = 0.89)
[PRIORITY 5] INCOMPLETE ANSWER
Condition: Faithfulness &gt;= 0.5 AND Answer_Relevancy &gt;= 0.5 AND Answer covers only a subset of aspects.
Decision: → NOT Label as: Incomplete Answer (Answer covers the main intent and aspects)
[NO ERROR]
If NONE of above:
Decision: → Label as: Correct Answer
### STEP 4 — Output Format (MANDATORY)
- Error_Label: Correct Answer
- Triggered_Rule: [NO ERROR]
- Metrics_Summary: Faithfulness = 1.0, Answer_Relevancy = 0.89, Context_Precision = 0.533, Context_Recall = 0.75
- Evidence: The Answer is grounded in Top_K_Sources, and the metrics indicate a correct answer.
- Justification: The Answer correctly identifies the supply chain stages that receive little attention in AI models, and the metrics support the correctness of the answer.</t>
  </si>
  <si>
    <t>### STEP 1 — Extract Query Intent and Aspects
From the Question:
1. Main intent of the query: Identify the presence of human-in-the-loop approaches in AI-based resilience studies.
2. Number of explicit aspects: 1 (human-in-the-loop approaches)
### STEP 2 — Verify Context Grounding
From Top_K_Sources:
1. Key concepts in the Question: human-in-the-loop approaches, AI-based resilience studies
2. Relevant chunks:
   - Rank #1: "the literature to date lacks a decisionmaking framework for identifying and applying powerful ai techniques to build supplychain resilience"
   - Rank #2: "is important to note that the study has limitations in analyzing longterm impacts stakeholder resistance and the lack of comparative studies on the effectiveness of different ai approaches"
   - Rank #3: "although some research has examined the role of resource utilization in enhancing supply chain resilience the mechanisms through which these resources contribute to resilience have been largely overlooked"
   - Rank #4: "practice concurrently the rapid advancement of artificial intelligence ai technologies in supply chain management in recent years offers new perspectives for researching resilience based on the organizational information processing theory oipt"
   - Rank #5: "maintain the supply chain resilience originalityvalue existing literature on epidemics lacks the basics and practices of utilizing industry 40 technologies in the supply chain recovery process"
3. Number of relevant chunks: 5
4. Number of noisy / off-topic chunks: 0
5. Factual claims in the Answer that are NOT grounded in Top_K_Sources: None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0.848)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N/A
- Metrics_Summary: Faithfulness: 0.75, Answer_Relevancy: 0.848, Context_Precision: 1.0, Context_Recall: 1.0
- Evidence: All relevant chunks in Top_K_Sources support the Answer.
- Justification: The Answer is faithful to the sources and relevant to the question, with no errors detected.</t>
  </si>
  <si>
    <t>### STEP 1 — Extract Query Intent and Aspects
From the Question:
1. Main intent of the query: Identify risks not captured by current AI frameworks.
2. Number of explicit aspects: 1 (AI frameworks)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0.941)
[PRIORITY 2] RETRIEVAL FAILURE
Condition: Context_Recall &lt; 0.5 AND NONE of the Top-K chunks contain core concepts.
Decision: → Not applicable (Context_Recall = 0.417, but Top_K_Sources contain core concepts)
[PRIORITY 3] CONTEXT NOISE
Condition: Context_Recall &gt;= 0.5 AND Context_Precision &lt; 0.5 AND &gt;50% chunks are irrelevant.
Decision: → Not applicable (Context_Precision = 1.0, and no irrelevant chunks)
[PRIORITY 4] SEMANTIC DRIFT
Condition: Faithfulness &gt;= 0.5 AND Answer_Relevancy &lt; 0.5 (Correct answer, wrong intent).
Decision: → Not applicable (Answer_Relevancy = 0.999)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0.941, Answer_Relevancy: 0.999, Context_Precision: 1.0, Context_Recall: 0.417
- Evidence: Top_K_Sources contain relevant chunks, and Answer is faithful and relevant.
- Justification: None of the error classification rules were triggered, indicating that the Answer is correct.</t>
  </si>
  <si>
    <t>### STEP 1 — Extract Query Intent and Aspects
From the Question:
1. Identify the main intent of the query: **Evaluating the sufficiency of real-time adaptation mechanisms in current research**.
2. Identify the number of explicit aspects: **1**.
### STEP 2 — Verify Context Grounding
From Top_K_Sources:
1. Identify whether each key concept in the Question appears explicitly:
   - **Real-time adaptation mechanisms**: Yes (appears in chunks #1, #4)
   - **Sufficiency**: Yes (implied in chunks #1, #4)
   - **Current research**: Yes (appears in chunks #1, #2, #3, #4)
2. Count:
   - Number of relevant chunks: **4** (chunks #1, #2, #3,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0.641)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0.641, Context_Precision: 1.0, Context_Recall: 0.8
- **Evidence**: All relevant chunks (#1, #2, #3, #4) contain key concepts and the answer is grounded in Top_K_Sources.
- **Justification**: The answer is faithful, relevant, and covers all aspects of the query, with a high context precision and recall.</t>
  </si>
  <si>
    <t>### STEP 1 — Extract Query Intent and Aspects
From the Question:
1. Main intent of the query: Identify evaluation metrics missing in resilience-focused AI research.
2. Number of explicit aspects: 1 (evaluation metrics)
### STEP 2 — Verify Context Grounding
From Top_K_Sources:
1. Key concepts in the Question appear explicitly in Top_K_Sources:
   - "evaluation metrics"
   - "resilience-focused AI research"
   - "long-term impacts"
   - "stakeholder resistance"
   - "comparative studies"
2. Count:
   - Number of relevant chunks: 5
   - Number of noisy / off-topic chunks: 0
3. Determine if any factual claim in the Answer is NOT grounded in Top_K_Sources:
   - The Answer is grounded in Top_K_Sources, as it mentions specific studies and concepts present in the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0.857)
[PRIORITY 3] CONTEXT NOISE
Condition: Context_Recall &gt;= 0.5 AND Context_Precision &lt; 0.5 AND &gt;50% chunks are irrelevant.
Decision: → NOT APPLICABLE (Context_Precision = 0.7)
[PRIORITY 4] SEMANTIC DRIFT
Condition: Faithfulness &gt;= 0.5 AND Answer_Relevancy &lt; 0.5 (Correct answer, wrong intent).
Decision: → NOT APPLICABLE (Answer_Relevancy = 0.783)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0.783, Context_Precision: 0.7, Context_Recall: 0.857
- Evidence: The Answer is grounded in Top_K_Sources, and all aspects are covered.
- Justification: The STRICT rules do not apply, as the conditions for each priority are not met.</t>
  </si>
  <si>
    <t>### STEP 1 — Extract Query Intent and Aspects
From the Question:
1. Main intent of the query: Identify AI models that fail to generalize across supply chain contexts.
2. Number of explicit aspects: 2 (AI models, supply chain contexts)
### STEP 2 — Verify Context Grounding
From Top_K_Sources:
1. Key concepts in the Question: AI models, supply chain contexts
2. Relevant chunks:
   - Rank #1: mentions limitations of traditional supply chain solution methods and the need for a proper reference model.
   - Rank #2: discusses limitations of linear models in traditional supply chain solution methods.
   - Rank #3: mentions limitations of machine learning models in supply chain management.
   - Rank #4: discusses limitations of machine learning models in high-dimensional situations.
   - Rank #5: mentions limitations of machine learning-based models in supply chain management.
3. Noisy / off-topic chunks: None
4. Factual claims in the Answer are grounded in Top_K_Sources.
### STEP 3 — Apply Error Classification Rules (IN ORDER OF PRIORITY)
[PRIORITY 1] HALLUCINATION
Condition: Faithfulness &lt; 0.5 AND Answer contains claims not in Top-K sources.
Decision: → NOT Label as: Hallucination (Faithfulness = 0.714, Answer is grounded in Top_K_Sources)
[PRIORITY 2] RETRIEVAL FAILURE
Condition: Context_Recall &lt; 0.5 AND NONE of the Top-K chunks contain core concepts.
Decision: → NOT Label as: Retrieval Failure (Context_Recall = 1.0, Top_K_Sources contain relevant chunks)
[PRIORITY 3] CONTEXT NOISE
Condition: Context_Recall &gt;= 0.5 AND Context_Precision &lt; 0.5 AND &gt;50% chunks are irrelevant.
Decision: → NOT Label as: Context Noise (Context_Precision = 0.756, &gt;50% chunks are relevant)
[PRIORITY 4] SEMANTIC DRIFT
Condition: Faithfulness &gt;= 0.5 AND Answer_Relevancy &lt; 0.5 (Correct answer, wrong intent).
Decision: → NOT Label as: Semantic Drift (Answer_Relevancy = 0.805, Answer is relevant to the question)
[PRIORITY 5] INCOMPLETE ANSWER
Condition: Faithfulness &gt;= 0.5 AND Answer_Relevancy &gt;= 0.5 AND Answer covers only a subset of aspects.
Decision: → NOT Label as: Incomplete Answer (Answer covers all aspects of the question)
[NO ERROR]
If NONE of above:
Decision: → Label as: Correct Answer
### STEP 4 — Output Format (MANDATORY)
For each row, output a structured report:
- Error_Label: Correct Answer
- Triggered_Rule: NOT Labelled (all conditions failed)
- Metrics_Summary: Faithfulness = 0.714, Answer_Relevancy = 0.805, Context_Precision = 0.756, Context_Recall = 1.0
- Evidence: Top_K_Sources contain relevant chunks, Answer is grounded in Top_K_Sources, and Answer is relevant to the question.
- Justification: All error classification rules failed, indicating that the Answer is a Correct Answer.</t>
  </si>
  <si>
    <t>### STEP 1 — Extract Query Intent and Aspects
From the Question:
1. Main intent of the query: Identify the main intent of the query.
   - The main intent is to discuss the underexplored aspects of AI-based SCRM, specifically focusing on ethical and governance issues.
2. Number of explicit aspects: 
   - The question explicitly mentions two aspects: 
     - Ethical issues
     - Governance issues
### STEP 2 — Verify Context Grounding
From Top_K_Sources:
1. Key concepts in the Question appear explicitly:
   - The key concepts "ethical and governance issues" appear in the Top_K_Sources.
2. Count:
   - Number of relevant chunks: 4
   - Number of noisy / off-topic chunks: 0
3. Determine if any factual claim in the Answer is NOT grounded in Top_K_Sources:
   - The Answer is grounded in the Top_K_Sources, specifically referencing the literature and studies mentioned in the Top_K_Sources.
### STEP 3 — Apply Error Classification Rules (IN ORDER OF PRIORITY)
[PRIORITY 1] HALLUCINATION
Condition: Faithfulness &lt; 0.5 AND Answer contains claims not in Top-K sources.
Decision: → NOT Label as: Hallucination (Faithfulness = 1.0, Answer is grounded in Top_K_Sources)
[PRIORITY 2] RETRIEVAL FAILURE
Condition: Context_Recall &lt; 0.5 AND NONE of the Top-K chunks contain core concepts.
Decision: → NOT Label as: Retrieval Failure (Context_Recall = 1.0, Top_K_Sources contain core concepts)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0.914, the answer is relevant to the question)
[PRIORITY 5] INCOMPLETE ANSWER
Condition: Faithfulness &gt;= 0.5 AND Answer_Relevancy &gt;= 0.5 AND Answer covers only a subset of aspects.
Decision: → NOT Label as: Incomplete Answer (the answer covers all the aspects mentioned in the question)
[NO ERROR]
If NONE of above:
Decision: → Label as: Correct Answer
### STEP 4 — Output Format (MANDATORY)
For each row, output a structured report:
- Error_Label: Correct Answer
- Triggered_Rule: NOT Labelled (all conditions failed)
- Metrics_Summary: 
  - Faithfulness: 1.0
  - Answer_Relevancy: 0.914
  - Context_Precision: 1.0
  - Context_Recall: 1.0
- Evidence: The answer is grounded in the Top_K_Sources, and all the aspects mentioned in the question are covered.
- Justification: All the conditions for the error classification rules were not met, so the answer is classified as Correct Answer.</t>
  </si>
  <si>
    <t>### STEP 1 — Extract Query Intent and Aspects
From the Question:
1. Main intent: Identify the gaps between theoretical models and real-world deployment.
2. Number of explicit aspects: 2 (theoretical models and real-world deployment)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0.909)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0.752)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0.909, Answer_Relevancy: 0.752, Context_Precision: 1.0, Context_Recall: 1.0
- Evidence: All relevant chunks are present in Top_K_Sources, and the Answer covers all aspects.
- Justification: The Answer is faithful, relevant, and covers all aspects, making it a Correct Answer.</t>
  </si>
  <si>
    <t>### STEP 1 — Extract Query Intent and Aspects
From the Question:
1. Identify the main intent of the query: Identify resilience strategies that lack AI-based optimization.
2. Identify the number of explicit aspects: 1 (resilience strategies) and 1 (AI-based optimization).
### STEP 2 — Verify Context Grounding
From Top_K_Sources:
1. Identify whether each key concept in the Question appears explicitly:
   - Resilience strategies: Yes (appears in all Top_K_Sources)
   - AI-based optimization: Yes (appears in all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0.545, which is greater than 0.5.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Answer_Relevancy is 0.771, which is greater than 0.5. Therefore, this condition is not met.
[PRIORITY 5] INCOMPLETE ANSWER
Condition: Faithfulness &gt;= 0.5 AND Answer_Relevancy &gt;= 0.5 AND Answer covers only a subset of aspects.
Decision: → The Answer covers all aspects of the query (resilience strategies that lack AI-based optimization). Therefore, this condition is not met.
[NO ERROR]
If NONE of above:
Decision: → Since all conditions are not met, the query is classified as a Correct Answer.
### STEP 4 — Output Format (MANDATORY)
For each row, output a structured report:
- Error_Label: Correct Answer
- Triggered_Rule: None
- Metrics_Summary: Faithfulness: 0.545, Answer_Relevancy: 0.771, Context_Precision: 1.0, Context_Recall: 1.0
- Evidence: All conditions for error classification are not met.
- Justification: The query is classified as a Correct Answer because all aspects of the query are covered by the Answer, and the Answer is relevant and faithful to the Top_K_Sources.</t>
  </si>
  <si>
    <t>### STEP 1 — Extract Query Intent and Aspects
From the Question:
1. Identify the main intent of the query: **Compare AI models used for disruption prediction versus resilience optimization.**
2. Identify the number of explicit aspects: **2** (disruption prediction, resilience optimization)
### STEP 2 — Verify Context Grounding
From Top_K_Sources:
1. Identify whether each key concept in the Question appears explicitly:
   - Disruption prediction: **Yes** (Rank #1, Rank #3)
   - Resilience optimization: **Yes** (Rank #2, Rank #4, Rank #5)
2. Count:
   - Number of relevant chunks: **4** (Rank #1, Rank #2, Rank #3, Rank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0.895)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 ERROR]**
- Metrics_Summary: **Faithfulness: 0.6, Answer_Relevancy: 0.895, Context_Precision: 1.0, Context_Recall: 1.0**
- Evidence: **All relevant chunks are present in Top_K_Sources, and the answer is relevant and faithful.**
- Justification: **The answer is correct and relevant, and all relevant chunks are present in Top_K_Sources. Therefore, no error is detected.**</t>
  </si>
  <si>
    <t>### STEP 1 — Extract Query Intent and Aspects
From the Question:
1. Main intent of the query: Compare supervised and unsupervised models in SCRM.
2. Number of explicit aspects: 2 (supervised models, unsupervised models).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0.571 &gt; 0.5)
[PRIORITY 2] RETRIEVAL FAILURE
Condition: Context_Recall &lt; 0.5 AND NONE of the Top-K chunks contain core concepts.
Decision: → Not applicable (Context_Recall = 0.167 &lt; 0.5, but Top_K_Sources contain relevant chunks)
[PRIORITY 3] CONTEXT NOISE
Condition: Context_Recall &gt;= 0.5 AND Context_Precision &lt; 0.5 AND &gt;50% chunks are irrelevant.
Decision: → Not applicable (Context_Recall = 0.167 &lt; 0.5)
[PRIORITY 4] SEMANTIC DRIFT
Condition: Faithfulness &gt;= 0.5 AND Answer_Relevancy &lt; 0.5 (Correct answer, wrong intent).
Decision: → Not applicable (Answer_Relevancy = 0.794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0.571, Answer_Relevancy = 0.794, Context_Precision = 0.2, Context_Recall = 0.167
- Evidence: Top_K_Sources contain relevant chunks, Answer is grounded in Top_K_Sources.
- Justification: The Answer is relevant and faithful to the Question, and the Top_K_Sources contain relevant chunks. Therefore, no error is detected.</t>
  </si>
  <si>
    <t>### STEP 1 — Extract Query Intent and Aspects
From the Question:
1. Main intent of the query: Compare the objectives of predictive and prescriptive AI models.
2. Number of explicit aspects: 2 (predictive AI models, prescriptive AI models)
### STEP 2 — Verify Context Grounding
From Top_K_Sources:
1. Key concepts in the Question appear explicitly in Top_K_Sources:
   - Predictive AI models: Yes (e.g., "predictive AI models" in Rank #2)
   - Prescriptive AI models: Yes (e.g., "prescriptive analytics" in Rank #2)
2. Count:
   - Number of relevant chunks: 4 (all Top_K_Sources are relevant)
   - Number of noisy / off-topic chunks: 0 (all chunks are relevant)
3. Determine if any factual claim in the Answer is NOT grounded in Top_K_Sources:
   - No (all claims in the Answer are supported by Top_K_Sources)
### STEP 3 — Apply Error Classification Rules (IN ORDER OF PRIORITY)
[PRIORITY 1] HALLUCINATION
Condition: Faithfulness &lt; 0.5 AND Answer contains claims not in Top-K sources.
Decision: → Not applicable (Faithfulness = 0.571 &gt; 0.5)
[PRIORITY 2] RETRIEVAL FAILURE
Condition: Context_Recall &lt; 0.5 AND NONE of the Top-K chunks contain core concepts.
Decision: → Not applicable (Context_Recall = 0.0 &lt; 0.5, but all Top_K_Sources contain core concepts)
[PRIORITY 3] CONTEXT NOISE
Condition: Context_Recall &gt;= 0.5 AND Context_Precision &lt; 0.5 AND &gt;50% chunks are irrelevant.
Decision: → Not applicable (Context_Recall = 0.0 &lt; 0.5, so Context_Recall &gt;= 0.5 is not met)
[PRIORITY 4] SEMANTIC DRIFT
Condition: Faithfulness &gt;= 0.5 AND Answer_Relevancy &lt; 0.5 (Correct answer, wrong intent).
Decision: → Not applicable (Answer_Relevancy = 0.947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0.571, Answer_Relevancy = 0.947, Context_Precision = 0.5, Context_Recall = 0.0
- Evidence: All Top_K_Sources are relevant, and the Answer is supported by Top_K_Sources.
- Justification: The Answer is faithful, relevant, and covers all aspects, so it is classified as a Correct Answer.</t>
  </si>
  <si>
    <t>### STEP 1 — Extract Query Intent and Aspects
From the Question:
1. Main intent of the query: Compare performance differences between traditional ML and deep learning models.
2. Number of explicit aspects: 2 (traditional ML, deep learning models)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0.727 &gt; 0.5)
[PRIORITY 2] RETRIEVAL FAILURE
Condition: Context_Recall &lt; 0.5 AND NONE of the Top-K chunks contain core concepts.
Decision: → Not applicable (Context_Recall = 0.8 &gt; 0.5)
[PRIORITY 3] CONTEXT NOISE
Condition: Context_Recall &gt;= 0.5 AND Context_Precision &lt; 0.5 AND &gt;50% chunks are irrelevant.
Decision: → Not applicable (Context_Precision = 0.887 &gt; 0.5)
[PRIORITY 4] SEMANTIC DRIFT
Condition: Faithfulness &gt;= 0.5 AND Answer_Relevancy &lt; 0.5 (Correct answer, wrong intent).
Decision: → Not applicable (Answer_Relevancy = 0.84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0.727, Answer_Relevancy: 0.84, Context_Precision: 0.887, Context_Recall: 0.8
- Evidence: All conditions for error classification rules are not met.
- Justification: The answer is faithful, relevant, and covers all aspects of the question, indicating a correct answer.</t>
  </si>
  <si>
    <t>### STEP 1 — Extract Query Intent and Aspects
From the Question:
1. Identify the main intent of the query: **Compare centralized and decentralized AI architectures for supply chain resilience.**
2. Identify the number of explicit aspects: **2** (centralized AI, decentralized AI)
### STEP 2 — Verify Context Grounding
From Top_K_Sources:
1. Identify whether each key concept in the Question appears explicitly:
   - **Centralized AI**: Yes (Rank #1, Rank #2, Rank #4)
   - **Decentralized AI**: Yes (Rank #1, Rank #3, Rank #4)
   - **Supply chain resilience**: Yes (Rank #1, Rank #2, Rank #3, Rank #4, Rank #5)
2. Count:
   - Number of relevant chunks: **5**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0.167, but Top-K chunks contain core concepts)
[PRIORITY 3] CONTEXT NOISE
Condition: Context_Recall &gt;= 0.5 AND Context_Precision &lt; 0.5 AND &gt;50% chunks are irrelevant.
Decision: → **NOT APPLICABLE** (Context_Precision = 1.0, and not &gt;50% chunks are irrelevant)
[PRIORITY 4] SEMANTIC DRIFT
Condition: Faithfulness &gt;= 0.5 AND Answer_Relevancy &lt; 0.5 (Correct answer, wrong intent).
Decision: → **NOT APPLICABLE** (Answer_Relevancy = 0.892, which is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0.892, Context_Precision: 1.0, Context_Recall: 0.167
- **Evidence**: All claims in the Answer are grounded in Top_K_Sources, and the Answer covers all aspects of the query.
- **Justification**: The query intent and aspects are correctly identified, and the Answer is faithful, relevant, and covers all aspects.</t>
  </si>
  <si>
    <t>### STEP 1 — Extract Query Intent and Aspects
From the Question:
1. Identify the main intent of the query: **Comparative analysis of evaluation metrics in AI-driven resilience studies**
2. Identify the number of explicit aspects: **2** (evaluation metrics, AI-driven resilience studies)
### STEP 2 — Verify Context Grounding
From Top_K_Sources:
1. Identify whether each key concept in the Question appears explicitly:
   - **Evaluation metrics**: Yes (appears in Rank #1, Rank #2, Rank #4, Rank #5)
   - **AI-driven resilience studies**: Yes (appears in Rank #1, Rank #2, Rank #3, Rank #4, Rank #5)
   - **Supply chain resilience**: Yes (appears in Rank #1, Rank #2, Rank #3, Rank #4, Rank #5)
   - **Dimensions of supply chain resilience**: Yes (appears in Rank #1)
   - **Methodologies**: Yes (appears in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0.767)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0.767, Context_Precision: 1.0, Context_Recall: 1.0
- **Evidence**: All relevant chunks are present in Top_K_Sources, and the answer is faithful and relevant.
- **Justification**: The answer is a correct and complete response to the query, with all aspects covered and no errors detected.</t>
  </si>
  <si>
    <t>### STEP 1 — Extract Query Intent and Aspects
From the Question:
1. Identify the main intent of the query: Compare explainable AI models and black-box models in SCRM.
2. Identify the number of explicit aspects: 2 (explainable AI models, black-box models)
### STEP 2 — Verify Context Grounding
From Top_K_Sources:
1. Identify whether each key concept in the Question appears explicitly:
   - Explainable AI models: Yes (Rank #1, Rank #2, Rank #4, Rank #5)
   - Black-box models: Yes (Rank #1, Rank #2, Rank #4, Rank #5)
   - SCRM: Yes (Rank #1, Rank #2, Rank #4)
2. Count:
   - Number of relevant chunks: 4
   - Number of noisy / off-topic chunks: 1 (Rank #3)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0.929)
[PRIORITY 2] RETRIEVAL FAILURE
Condition: Context_Recall &lt; 0.5 AND NONE of the Top-K chunks contain core concepts.
Decision: → NOT APPLICABLE (Context_Recall = 0.125, but Rank #1 and Rank #2 contain core concepts)
[PRIORITY 3] CONTEXT NOISE
Condition: Context_Recall &gt;= 0.5 AND Context_Precision &lt; 0.5 AND &gt;50% chunks are irrelevant.
Decision: → NOT APPLICABLE (Context_Recall = 0.125, Context_Precision = 0.533)
[PRIORITY 4] SEMANTIC DRIFT
Condition: Faithfulness &gt;= 0.5 AND Answer_Relevancy &lt; 0.5 (Correct answer, wrong intent).
Decision: → NOT APPLICABLE (Answer_Relevancy = 0.875)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0.929, Answer_Relevancy: 0.875, Context_Precision: 0.533, Context_Recall: 0.125
- Evidence: All relevant chunks are present in Top_K_Sources, and the answer is faithful and relevant.
- Justification: The answer is correct and relevant, and all relevant chunks are present in Top_K_Sources.</t>
  </si>
  <si>
    <t>### STEP 1 — Extract Query Intent and Aspects
From the Question:
1. Identify the main intent of the query: **Compare AI-driven risk detection and risk mitigation frameworks**.
2. Identify the number of explicit aspects: **2** (risk detection and risk mitigation).
### STEP 2 — Verify Context Grounding
From Top_K_Sources:
1. Identify whether each key concept in the Question appears explicitly:
   - **Risk detection**: Yes (appears in Rank #1, #2, #3, #4, #5)
   - **Risk mitigation**: Yes (appears in Rank #1, #2, #4, #5)
   - **AI-driven**: Yes (appears in Rank #1, #2, #3, #4, #5)
   - **Frameworks**: Yes (appears in Rank #1, #2, #4, #5)
2. Count:
   - Number of relevant chunks: **5**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 0.9)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0.639, which is &gt;= 0.5)
[PRIORITY 4] SEMANTIC DRIFT
Condition: Faithfulness &gt;= 0.5 AND Answer_Relevancy &lt; 0.5 (Correct answer, wrong intent).
Decision: → **NOT APPLICABLE** (Answer_Relevancy = 0.736, which is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 Answer_Relevancy: 0.736, Context_Precision: 0.639, Context_Recall: 1.0
- **Evidence**: All claims in the Answer are grounded in Top_K_Sources.
- **Justification**: None of the error classification rules apply, as the Answer is faithful, relevant, and covers all aspects of the query.</t>
  </si>
  <si>
    <t>### STEP 1 — Extract Query Intent and Aspects
From the Question:
1. Main intent of the query: Compare hybrid AI models with single-technique approaches.
2. Number of explicit aspects: 2 (hybrid AI models, single-technique approaches).
### STEP 2 — Verify Context Grounding
From Top_K_Sources:
1. Key concepts in the Question appear explicitly in Top_K_Sources:
   - Hybrid AI models
   - Single-technique approaches
   - Demand forecasting
   - Inventory management
2. Count:
   - Number of relevant chunks: 4
   - Number of noisy / off-topic chunks: 0
3. Determine if any factual claim in the Answer is NOT grounded in Top_K_Sources:
   - No claims in the Answer are not grounded in Top_K_Sources.
### STEP 3 — Apply Error Classification Rules (IN ORDER OF PRIORITY)
[PRIORITY 1] HALLUCINATION
Condition: Faithfulness &lt; 0.5 AND Answer contains claims not in Top-K sources.
Decision: → Not applicable (Faithfulness = 0.923)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0.671)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0.923, Answer_Relevancy: 0.671, Context_Precision: 1.0, Context_Recall: 1.0
- Evidence: All relevant chunks are present in Top_K_Sources, and the Answer is faithful and relevant.
- Justification: The Answer is a correct summary of the query intent, and all relevant aspects are covered.</t>
  </si>
  <si>
    <t>### STEP 1 — Extract Query Intent and Aspects
From the Question:
1. Identify the main intent of the query: **Comparative analysis of AI-based resilience outcomes across different contexts**.
2. Identify the number of explicit aspects: **2** (AI-based resilience outcomes, contexts).
### STEP 2 — Verify Context Grounding
From Top_K_Sources:
1. Identify whether each key concept in the Question appears explicitly:
   - **Contexts**: Yes (Rank #1, Rank #2, Rank #3, Rank #4, Rank #5)
   - **AI-based resilience outcomes**: Yes (Rank #1, Rank #2, Rank #3, Rank #4, Rank #5)
   - **Variation**: Yes (Rank #1, Rank #2, Rank #3, Rank #4, Rank #5)
2. Count:
   - Number of relevant chunks: **5**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0.723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0.667, Answer_Relevancy: 0.723, Context_Precision: 1.0, Context_Recall: 1.0
- **Evidence**: All claims in the Answer are supported by Top_K_Sources.
- **Justification**: The Answer is a correct and complete response to the query, with all aspects covered and no hallucinations or semantic drift.</t>
  </si>
  <si>
    <t>### STEP 1 — Extract Query Intent and Aspects
From the Question:
1. Main intent of the query: Compare performance differences between traditional ML and deep learning models.
2. Number of explicit aspects: 2 (traditional ML, deep learning models)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0.727 &gt; 0.5)
[PRIORITY 2] RETRIEVAL FAILURE
Condition: Context_Recall &lt; 0.5 AND NONE of the Top-K chunks contain core concepts.
Decision: → Not applicable (Context_Recall = 0.8 &gt; 0.5)
[PRIORITY 3] CONTEXT NOISE
Condition: Context_Recall &gt;= 0.5 AND Context_Precision &lt; 0.5 AND &gt;50% chunks are irrelevant.
Decision: → Not applicable (Context_Precision = 0.887 &gt; 0.5)
[PRIORITY 4] SEMANTIC DRIFT
Condition: Faithfulness &gt;= 0.5 AND Answer_Relevancy &lt; 0.5 (Correct answer, wrong intent).
Decision: → Not applicable (Answer_Relevancy = 0.84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0.727, Answer_Relevancy: 0.84, Context_Precision: 0.887, Context_Recall: 0.8
- Evidence: All relevant chunks are present in Top_K_Sources, and the Answer covers all aspects.
- Justification: The Answer is faithful to the Top_K_Sources, and the Context_Precision and Context_Recall are high, indicating that the Answer is relevant and accurate.</t>
  </si>
  <si>
    <t>### STEP 1 — Extract Query Intent and Aspects
From the Question:
1. Identify the main intent of the query: **Identify empirical improvements** AI brings to supply chain resilience.
2. Identify the number of explicit aspects: **2** (empirical improvements, supply chain resilience).
### STEP 2 — Verify Context Grounding
From Top_K_Sources:
1. Identify whether each key concept in the Question appears explicitly:
   - **Empirical improvements**: Yes (Rank #1, Rank #2, Rank #4, Rank #5)
   - **Supply chain resilience**: Yes (Rank #1, Rank #2, Rank #3, Rank #4, Rank #5)
   - **AI**: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0.857)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0.993)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0.993, Context_Precision: 1.0, Context_Recall: 0.857
- **Evidence**: All key concepts in the Question appear explicitly in Top_K_Sources, and the Answer is fully grounded in Top_K_Sources.
- **Justification**: The Answer is a correct and complete response to the Question, with all aspects covered and no errors detected.</t>
  </si>
  <si>
    <t>### STEP 1 — Extract Query Intent and Aspects
From the Question:
1. Main intent of the query: Identify the sample sizes used in empirical SCRM studies.
2. Number of explicit aspects: 1 (sample sizes)
### STEP 2 — Verify Context Grounding
From Top_K_Sources:
1. Key concepts in the Question appear explicitly in Top_K_Sources: Yes
2. Count:
   - Number of relevant chunks: 4
   - Number of noisy / off-topic chunks: 1 (Rank #1 is somewhat off-topic, but still relevant)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0.679)
[PRIORITY 4] SEMANTIC DRIFT
Condition: Faithfulness &gt;= 0.5 AND Answer_Relevancy &lt; 0.5 (Correct answer, wrong intent).
Decision: → Not applicable (Answer_Relevancy = 0.982)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0.8, Answer_Relevancy: 0.982, Context_Precision: 0.679, Context_Recall: 0.75
- Evidence: All relevant chunks are present in Top_K_Sources, and the answer is highly relevant and faithful.
- Justification: The answer is correct and covers all aspects of the question, with high faithfulness and relevance.</t>
  </si>
  <si>
    <t>### STEP 1 — Extract Query Intent and Aspects
From the Question:
1. Identify the main intent of the query: **Identify AI models with highest predictive performance**
2. Identify the number of explicit aspects: **1**
### STEP 2 — Verify Context Grounding
From Top_K_Sources:
1. Identify whether each key concept in the Question appears explicitly:
   - **Predictive performance**: appears in Rank #1, Rank #2, Rank #4, Rank #5
   - **AI models**: appears in Rank #1, Rank #2, Rank #4, Rank #5
   - **Highest**: appears in Rank #1, Rank #2, Rank #4, Rank #5
   - **GNN model**: appears in Rank #1, Rank #5
   - **DenseNet121 model**: appears in Rank #4
   - **GM 11 model**: appears in Rank #1, Rank #5
2. Count:
   - Number of relevant chunks: 5
   - Number of noisy / off-topic chunks: 0
3. Determine if any factual claim in the Answer is NOT grounded in Top_K_Sources:
   - The Answer mentions the GNN model and DenseNet121 model, which are both grounded in Top_K_Sources.
### STEP 3 — Apply Error Classification Rules (IN ORDER OF PRIORITY)
[PRIORITY 1] HALLUCINATION
Condition: Faithfulness &lt; 0.5 AND Answer contains claims not in Top-K sources.
Decision: → **NO**, Faithfulness = 0.5, so this rule is not triggered.
[PRIORITY 2] RETRIEVAL FAILURE
Condition: Context_Recall &lt; 0.5 AND NONE of the Top-K chunks contain core concepts.
Decision: → **NO**, Context_Recall = 0.25, which is less than 0.5, but the Top_K_Sources contain relevant chunks.
[PRIORITY 3] CONTEXT NOISE
Condition: Context_Recall &gt;= 0.5 AND Context_Precision &lt; 0.5 AND &gt;50% chunks are irrelevant.
Decision: → **NO**, Context_Recall = 0.25, which is less than 0.5, so this rule is not triggered.
[PRIORITY 4] SEMANTIC DRIFT
Condition: Faithfulness &gt;= 0.5 AND Answer_Relevancy &lt; 0.5 (Correct answer, wrong intent).
Decision: → **NO**, Answer_Relevancy = 0.992, which is greater than 0.5, so this rule is not triggered.
[PRIORITY 5] INCOMPLETE ANSWER
Condition: Faithfulness &gt;= 0.5 AND Answer_Relevancy &gt;= 0.5 AND Answer covers only a subset of aspects.
Decision: → **NO**, Faithfulness = 0.5, so this rule is not triggered.
[NO ERROR]
If NONE of above:
Decision: → **Correct Answer**
### STEP 4 — Output Format (MANDATORY)
For each row, output a structured report:
- **Error_Label**: Correct Answer
- **Triggered_Rule**: None
- **Metrics_Summary**: Faithfulness: 0.5, Answer_Relevancy: 0.992, Context_Precision: 0.2, Context_Recall: 0.25
- **Evidence**: The Top_K_Sources contain relevant chunks, and the Answer is relevant and faithful.
- **Justification**: The query intent and aspects are correctly identified, and the context grounding is verified. The Answer is a correct response to the query.</t>
  </si>
  <si>
    <t>### STEP 1 — Extract Query Intent and Aspects
From the Question:
1. Main intent of the query: Identify time horizons evaluated in resilience prediction studies.
2. Number of explicit aspects: 1 (time horizons)
### STEP 2 — Verify Context Grounding
From Top_K_Sources:
1. Key concepts in the Question appear explicitly in Top_K_Sources: Yes (time horizons, resilience prediction studies)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0.684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0.99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0.684, Answer_Relevancy = 0.99, Context_Precision = 1.0, Context_Recall = 1.0
- Evidence: All relevant chunks are present in Top_K_Sources, and the answer is relevant and covers all aspects.
- Justification: The answer is faithful, relevant, and covers all aspects, and none of the error classification rules are triggered.</t>
  </si>
  <si>
    <t>### STEP 1 — Extract Query Intent and Aspects
From the Question:
1. Identify the main intent of the query: **Identify industries providing empirical benchmarks for AI-based SCRM**
2. Identify the number of explicit aspects: **2** (industries, empirical benchmarks, AI-based SCRM)
### STEP 2 — Verify Context Grounding
From Top_K_Sources:
1. Identify whether each key concept in the Question appears explicitly:
   - **Industries**: Yes (e.g., manufacturing sector, middle eastern manufacturing industry)
   - **Empirical benchmarks**: Yes (e.g., empirical survey, empirical benchmarks)
   - **AI-based SCRM**: Yes (e.g., AI integration, AI applications in SCM)
2. Count:
   - Number of relevant chunks: **4** (Chunks 1, 2, 3, and 4)
   - Number of noisy / off-topic chunks: **1** (Chunk 5)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 Faithfulness = 0.857 (above threshold) and Answer is grounded in Top_K_Sources.
[PRIORITY 2] RETRIEVAL FAILURE
Condition: Context_Recall &lt; 0.5 AND NONE of the Top-K chunks contain core concepts.
Decision: → **NO**, Context_Recall = 0.8 (above threshold) and all Top_K chunks contain core concepts.
[PRIORITY 3] CONTEXT NOISE
Condition: Context_Recall &gt;= 0.5 AND Context_Precision &lt; 0.5 AND &gt;50% chunks are irrelevant.
Decision: → **NO**, Context_Precision = 1.0 (above threshold) and only 1 chunk is irrelevant.
[PRIORITY 4] SEMANTIC DRIFT
Condition: Faithfulness &gt;= 0.5 AND Answer_Relevancy &lt; 0.5 (Correct answer, wrong intent).
Decision: → **NO**, Answer_Relevancy = 0.901 (above threshold) and Answer is relevant to the query.
[PRIORITY 5] INCOMPLETE ANSWER
Condition: Faithfulness &gt;= 0.5 AND Answer_Relevancy &gt;= 0.5 AND Answer covers only a subset of aspects.
Decision: → **NO**, Answer covers all aspects of the query (industries, empirical benchmarks, AI-based SCRM).
[NO ERROR]
If NONE of above:
Decision: → **Correct Answer**
### STEP 4 — Output Format (MANDATORY)
For each row, output a structured report:
- **Error_Label**: Correct Answer
- **Triggered_Rule**: NO ERROR
- **Metrics_Summary**: Faithfulness: 0.857, Answer_Relevancy: 0.901, Context_Precision: 1.0, Context_Recall: 0.8
- **Evidence**: All claims in the Answer are grounded in Top_K_Sources, and Answer covers all aspects of the query.
- **Justification**: None of the error classification rules were triggered, indicating that the Answer is a Correct Answer.</t>
  </si>
  <si>
    <t>### STEP 1 — Extract Query Intent and Aspects
From the Question:
1. Main intent of the query: Identify the computational costs reported for AI-based models.
2. Number of explicit aspects: 1 (computational costs)
### STEP 2 — Verify Context Grounding
From Top_K_Sources:
1. Key concepts in the Question: computational costs, AI-based models
2. Relevant chunks:
   - Rank #1: mentions developing AI models consumes time and cost
   - Rank #2: mentions economic cost
   - Rank #3: mentions cost prediction model using case-based reasoning
   - Rank #4: mentions cost in planning manufacturing
   - Rank #5: mentions cost implications
3. Noisy / off-topic chunks: None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0.769, no claims not in Top-K sources)
[PRIORITY 2] RETRIEVAL FAILURE
Condition: Context_Recall &lt; 0.5 AND NONE of the Top-K chunks contain core concepts.
Decision: → NOT Label as: Retrieval Failure (Context_Recall = 0.571, some chunks contain core concepts)
[PRIORITY 3] CONTEXT NOISE
Condition: Context_Recall &gt;= 0.5 AND Context_Precision &lt; 0.5 AND &gt;50% chunks are irrelevant.
Decision: → NOT Label as: Context Noise (Context_Precision = 0.75, &lt; 50% chunks are irrelevant)
[PRIORITY 4] SEMANTIC DRIFT
Condition: Faithfulness &gt;= 0.5 AND Answer_Relevancy &lt; 0.5 (Correct answer, wrong intent).
Decision: → NOT Label as: Semantic Drift (Answer_Relevancy = 0.97, correct answer and relevant)
[PRIORITY 5] INCOMPLETE ANSWER
Condition: Faithfulness &gt;= 0.5 AND Answer_Relevancy &gt;= 0.5 AND Answer covers only a subset of aspects.
Decision: → NOT Label as: Incomplete Answer (Answer covers all aspects, Faithfulness = 0.769, Answer_Relevancy = 0.97)
[NO ERROR]
If NONE of above:
Decision: → Label as: Correct Answer
### STEP 4 — Output Format (MANDATORY)
For each row, output a structured report:
- Error_Label: Correct Answer
- Triggered_Rule: NOT Labelled
- Metrics_Summary: Faithfulness = 0.769, Answer_Relevancy = 0.97, Context_Precision = 0.75, Context_Recall = 0.571
- Evidence: All chunks are relevant and contain core concepts.
- Justification: None of the error classification rules were triggered.</t>
  </si>
  <si>
    <t>### STEP 1 — Extract Query Intent and Aspects
From the Question:
1. Main intent of the query: Identify real-world case studies supporting AI-driven resilience.
2. Number of explicit aspects: 1 (AI-driven resilience)
### STEP 2 — Verify Context Grounding
From Top_K_Sources:
1. Key concepts in the Question appear explicitly in Top_K_Sources:
   - AI-driven resilience
   - Real-world case studies
2. Count:
   - Number of relevant chunks: 4
   - Number of noisy / off-topic chunks: 0
3. Determine if any factual claim in the Answer is NOT grounded in Top_K_Sources:
   - Answer is grounded in Top_K_Sources.
### STEP 3 — Apply Error Classification Rules (IN ORDER OF PRIORITY)
[PRIORITY 1] HALLUCINATION
Condition: Faithfulness &lt; 0.5 AND Answer contains claims not in Top-K sources.
Decision: → NOT APPLICABLE (Faithfulness = 0.8)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0.804)
[PRIORITY 4] SEMANTIC DRIFT
Condition: Faithfulness &gt;= 0.5 AND Answer_Relevancy &lt; 0.5 (Correct answer, wrong intent).
Decision: → NOT APPLICABLE (Answer_Relevancy = 0.996)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0.8, Answer_Relevancy: 0.996, Context_Precision: 0.804, Context_Recall: 0.8
- Evidence: Answer is grounded in Top_K_Sources and covers all aspects.
- Justification: None of the error classification rules were triggered, indicating a correct answer.</t>
  </si>
  <si>
    <t>### STEP 1 — Extract Query Intent and Aspects
From the Question:
1. Main intent of the query: Identify risk categories empirically addressed by AI models.
2. Number of explicit aspects: 1 (risk categories)
### STEP 2 — Verify Context Grounding
From Top_K_Sources:
1. Key concepts in the Question appear explicitly in Top_K_Sources:
   - "risk categories" appears in Rank #3 (Liu et al., 2022)
   - "AI models" appears in multiple sources
2. Count:
   - Number of relevant chunks: 3 (Rank #1, Rank #3, Rank #4)
   - Number of noisy / off-topic chunks: 2 (Rank #2, Rank #5)
3. Determine if any factual claim in the Answer is NOT grounded in Top_K_Sources:
   - The Answer mentions "supply chain attacks" and "runtime attacks", which are present in Rank #1.
   - The Answer mentions "risk early warning models for corporate credit assessment and information collection", which is present in Rank #3.
### STEP 3 — Apply Error Classification Rules (IN ORDER OF PRIORITY)
[PRIORITY 1] HALLUCINATION
Condition: Faithfulness &lt; 0.5 AND Answer contains claims not in Top-K sources.
Decision: → NOT Label as: Hallucination (Faithfulness = 0.667, Answer contains claims present in Top-K sources)
[PRIORITY 2] RETRIEVAL FAILURE
Condition: Context_Recall &lt; 0.5 AND NONE of the Top-K chunks contain core concepts.
Decision: → NOT Label as: Retrieval Failure (Context_Recall = 1.0, Rank #1 contains core concept "risk categories")
[PRIORITY 3] CONTEXT NOISE
Condition: Context_Recall &gt;= 0.5 AND Context_Precision &lt; 0.5 AND &gt;50% chunks are irrelevant.
Decision: → NOT Label as: Context Noise (Context_Precision = 0.7, less than 50% chunks are irrelevant)
[PRIORITY 4] SEMANTIC DRIFT
Condition: Faithfulness &gt;= 0.5 AND Answer_Relevancy &lt; 0.5 (Correct answer, wrong intent).
Decision: → NOT Label as: Semantic Drift (Answer_Relevancy = 1.0, correct answer and intent)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For each row, output a structured report:
- Error_Label: Correct Answer
- Triggered_Rule: NOT Labelled
- Metrics_Summary: Faithfulness = 0.667, Answer_Relevancy = 1.0, Context_Precision = 0.7, Context_Recall = 1.0
- Evidence: All relevant chunks are present in Top_K_Sources, and the Answer covers all aspects mentioned in the question.
- Justification: None of the error classification rules were triggered, indicating that the Answer is a Correct Answer.</t>
  </si>
  <si>
    <t>### STEP 1 — Extract Query Intent and Aspects
From the Question:
1. Identify the main intent of the query: **Identify robustness tests reported**
2. Identify the number of explicit aspects: **1**
### STEP 2 — Verify Context Grounding
From Top_K_Sources:
1. Identify whether each key concept in the Question appears explicitly:
   - **Robustness**: Yes (appears in multiple chunks)
   - **Tests**: Yes (appears in multiple chunks)
   - **Reported**: Yes (appears in multiple chunks)
2. Count:
   - Number of relevant chunks: **5**
   - Number of noisy / off-topic chunks: **0**
3. Determine if any factual claim in the Answer is NOT grounded in Top_K_Sources:
   - Answer claims: **Subsample analyses, alternative measurement approaches, placebo tests, sensitivity analysis, quantile regression**
   - Top_K_Sources support all claims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0.167, but Top-K chunks contain core concepts)
[PRIORITY 3] CONTEXT NOISE
Condition: Context_Recall &gt;= 0.5 AND Context_Precision &lt; 0.5 AND &gt;50% chunks are irrelevant.
Decision: → **NOT APPLICABLE** (Context_Precision = 1.0, and no irrelevant chunks)
[PRIORITY 4] SEMANTIC DRIFT
Condition: Faithfulness &gt;= 0.5 AND Answer_Relevancy &lt; 0.5 (Correct answer, wrong intent).
Decision: → **NOT APPLICABLE** (Answer_Relevancy = 0.803)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N/A
- **Metrics_Summary**: Faithfulness: 1.0, Answer_Relevancy: 0.803, Context_Precision: 1.0, Context_Recall: 0.167
- **Evidence**: All claims in the answer are supported by Top_K_Sources.
- **Justification**: The answer is faithful, relevant, and covers all aspects of the query.</t>
  </si>
  <si>
    <t>### STEP 1 — Extract Query Intent and Aspects
From the Question:
1. Main intent of the query: Identify evidence supporting the scalability of AI-based SCRM solutions.
2. Number of explicit aspects: 2 (Scalability, AI-based SCRM solutions)
### STEP 2 — Verify Context Grounding
From Top_K_Sources:
1. Key concepts in the Question appear explicitly in Top_K_Sources:
   - Scalability: Present in Rank #1, Rank #3, Rank #4, Rank #5
   - AI-based SCRM solutions: Present in Rank #1, Rank #2, Rank #3, Rank #4, Rank #5
2. Count:
   - Number of relevant chunks: 5
   - Number of noisy / off-topic chunks: 0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NOT APPLICABLE (Faithfulness = 0.727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0.45 &lt; 0.5, but Context_Recall = 1.0 and only 0% chunks are irrelevant)
[PRIORITY 4] SEMANTIC DRIFT
Condition: Faithfulness &gt;= 0.5 AND Answer_Relevancy &lt; 0.5 (Correct answer, wrong intent).
Decision: → NOT APPLICABLE (Answer_Relevancy = 1.0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0.727, Answer_Relevancy: 1.0, Context_Precision: 0.45, Context_Recall: 1.0
- Evidence: The Answer's claims are grounded in Top_K_Sources, and all aspects are covered.
- Justification: The Answer is faithful, relevant, and covers all aspects, making it a Correct Answer.</t>
  </si>
  <si>
    <t>### STEP 1 — Extract Query Intent and Aspects
From the Question:
1. Main intent of the query: **Evolving application of AI in supply chain risk management over time**
2. Number of explicit aspects: **2** (AI, supply chain risk management)
### STEP 2 — Verify Context Grounding
From Top_K_Sources:
1. Key concepts in the Question appear explicitly in Top_K_Sources:
   - "AI" appears in all Top_K_Sources
   - "supply chain risk management" appears in all Top_K_Sources
2. Count:
   - Number of relevant chunks: **5** (all Top_K_Sources are relevant)
   - Number of noisy / off-topic chunks: **0** (all chunks are relevant)
3. Determine if any factual claim in the Answer is NOT grounded in Top_K_Sources:
   - All factual claims in the Answer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0.987)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0.987, Context_Precision: 1.0, Context_Recall: 1.0
- **Evidence:** All factual claims in the Answer are grounded in Top_K_Sources, and the Answer covers all aspects of the query.
- **Justification:** The query intent and aspects are accurately captured in the Answer, and all Top_K_Sources are relevant and contain core concepts.</t>
  </si>
  <si>
    <t>### STEP 1 — Extract Query Intent and Aspects
From the Question:
1. Main intent of the query: Identify the role of predictive analytics in early supply chain risk mitigation studies.
2. Number of explicit aspects: 2 (predictive analytics, supply chain risk mitigation)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0.294, which is less than 0.5. However, the Answer is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Context_Precision is 1.0, and all chunks are relevant. Therefore, this condition is not met.
[PRIORITY 4] SEMANTIC DRIFT
Condition: Faithfulness &gt;= 0.5 AND Answer_Relevancy &lt; 0.5 (Correct answer, wrong intent).
Decision: → Faithfulness is 0.294, which is less than 0.5. Therefore, this condition is not met.
[PRIORITY 5] INCOMPLETE ANSWER
Condition: Faithfulness &gt;= 0.5 AND Answer_Relevancy &gt;= 0.5 AND Answer covers only a subset of aspects.
Decision: → Faithfulness is 0.294,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0.294, Answer_Relevancy: 1.0, Context_Precision: 1.0, Context_Recall: 1.0
- Evidence: The Answer is grounded in Top_K_Sources and covers all relevant aspects.
- Justification: The Answer is classified as Correct Answer because it meets all the conditions for a correct answer.</t>
  </si>
  <si>
    <t>### STEP 1 — Extract Query Intent and Aspects
From the Question:
1. Identify the main intent of the query: **Influence of deep learning on supply chain resilience models**
2. Identify the number of explicit aspects: **2** (deep learning, supply chain resilience models)
### STEP 2 — Verify Context Grounding
From Top_K_Sources:
1. Identify whether each key concept in the Question appears explicitly:
   - **Deep learning**: Yes (appears in all Top_K_Sources)
   - **Supply chain resilience models**: Yes (appears in all Top_K_Sources)
2. Count:
   - Number of relevant chunks: **5** (all Top_K_Sources are relevant)
   - Number of noisy / off-topic chunks: **0** (no noisy or off-topic chunks)
3. Determine if any factual claim in the Answer is NOT grounded in Top_K_Sources: **No** (all claims in the Answer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0.978)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0.978, Context_Precision: 1.0, Context_Recall: 1.0
- **Evidence**: All claims in the Answer are grounded in Top_K_Sources, and the Answer covers all aspects of the query.
- **Justification**: The query intent and aspects are correctly identified, and the Answer is faithful, relevant, and covers all aspects.</t>
  </si>
  <si>
    <t>### STEP 1 — Extract Query Intent and Aspects
From the Question:
1. Identify the main intent of the query: **Identify major paradigm shifts in AI-based supply chain research after COVID-19**
2. Identify the number of explicit aspects: **2** (AI-based supply chain research, COVID-19)
### STEP 2 — Verify Context Grounding
From Top_K_Sources:
1. Identify whether each key concept in the Question appears explicitly:
   - **AI-based supply chain research**: Yes (Rank #2, Rank #3, Rank #5)
   - **COVID-19**: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0.989, Context_Precision: 1.0, Context_Recall: 0.833
- **Evidence**: All relevant chunks are present in Top_K_Sources, and the answer is highly relevant and faithful.
- **Justification**: The answer is a correct and complete response to the question, with all aspects covered and no errors detected.</t>
  </si>
  <si>
    <t>### STEP 1 — Extract Query Intent and Aspects
From the Question:
1. Main intent: Identify the shift from reactive to proactive risk management in supply chains.
2. Number of explicit aspects: 2 (reactive, proactive)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 which does not meet the threshold for Context_Precision &lt; 0.5)
[PRIORITY 4] SEMANTIC DRIFT
Condition: Faithfulness &gt;= 0.5 AND Answer_Relevancy &lt; 0.5 (Correct answer, wrong intent).
Decision: → NOT APPLICABLE (Answer_Relevancy = 0.84, which meets the threshold for Answer_Relevancy &gt;= 0.5)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NOT APPLICABLE
- Metrics_Summary: Faithfulness: 1.0, Answer_Relevancy: 0.84, Context_Precision: 0.5, Context_Recall: 1.0
- Evidence: All relevant chunks in Top_K_Sources match the question intent and aspects.
- Justification: The question intent and aspects are fully covered by the Top_K_Sources, and the Answer is faithful and relevant.</t>
  </si>
  <si>
    <t>### STEP 1 — Extract Query Intent and Aspects
From the Question:
1. Main intent of the query: Identify trends in SCRM that integrate real-time data and AI.
2. Number of explicit aspects: 2 (integration of real-time data and AI, SCRM trends)
### STEP 2 — Verify Context Grounding
From Top_K_Sources:
1. Key concepts in the Question appear explicitly in Top_K_Sources:
   - Real-time data: Present in Rank #1, Rank #2, Rank #3, Rank #4, Rank #5
   - AI: Present in Rank #1, Rank #2, Rank #3, Rank #4, Rank #5
   - SCRM: Present in Rank #1, Rank #2, Rank #3, Rank #4, Rank #5
2. Count:
   - Number of relevant chunks: 5
   - Number of noisy / off-topic chunks: 0
3. Determine if any factual claim in the Answer is NOT grounded in Top_K_Sources:
   - The Answer mentions predictive analytics for demand forecasting, real-time inventory tracking, and optimization of logistics and distribution.
   - These claims are supported by Top_K_Sources (e.g., Rank #1, Rank #5).
### STEP 3 — Apply Error Classification Rules (IN ORDER OF PRIORITY)
[PRIORITY 1] HALLUCINATION
Condition: Faithfulness &lt; 0.5 AND Answer contains claims not in Top-K sources.
Decision: → NOT APPLICABLE (Faithfulness = 0.684, Answer claims are supported by Top_K_Sources)
[PRIORITY 2] RETRIEVAL FAILURE
Condition: Context_Recall &lt; 0.5 AND NONE of the Top-K chunks contain core concepts.
Decision: → NOT APPLICABLE (Context_Recall = 1.0, Top_K_Sources contain core concepts)
[PRIORITY 3] CONTEXT NOISE
Condition: Context_Recall &gt;= 0.5 AND Context_Precision &lt; 0.5 AND &gt;50% chunks are irrelevant.
Decision: → NOT APPLICABLE (Context_Precision = 1.0, all chunks are relevant)
[PRIORITY 4] SEMANTIC DRIFT
Condition: Faithfulness &gt;= 0.5 AND Answer_Relevancy &lt; 0.5 (Correct answer, wrong intent).
Decision: → NOT APPLICABLE (Answer_Relevancy = 0.89, Answer is relevant to the query)
[PRIORITY 5] INCOMPLETE ANSWER
Condition: Faithfulness &gt;= 0.5 AND Answer_Relevancy &gt;= 0.5 AND Answer covers only a subset of aspects.
Decision: → NOT APPLICABLE (Answer covers all aspects mentioned in the query)
[NO ERROR]
If NONE of above:
Decision: → Label as: Correct Answer
### STEP 4 — Output Format (MANDATORY)
For each row, output a structured report:
- Error_Label: Correct Answer
- Triggered_Rule: NOT APPLICABLE
- Metrics_Summary: Faithfulness: 0.684, Answer_Relevancy: 0.89, Context_Precision: 1.0, Context_Recall: 1.0
- Evidence: Top_K_Sources support all claims in the Answer.
- Justification: The Answer is relevant, faithful, and covers all aspects of the query, with no errors detected.</t>
  </si>
  <si>
    <t>### STEP 1 — Extract Query Intent and Aspects
From the Question:
1. Main intent of the query: **Evolvement of simulation-based AI models**
2. Number of explicit aspects: **1**
### STEP 2 — Verify Context Grounding
From Top_K_Sources:
1. Key concepts in the Question: **simulation-based AI models, evolvement**
2. Relevant chunks:
   - Rank #1: **Yes** (contains key concepts)
   - Rank #2: **Yes** (contains key concepts)
   - Rank #3: **Yes** (contains key concepts)
   - Rank #4: **No** (does not contain key concepts)
   - Rank #5: **No** (does not contain key concepts)
3. Number of relevant chunks: **3**
4. Number of noisy / off-topic chunks: **2**
5. Factual claims in the Answer: **grounded in Top_K_Sources**
### STEP 3 — Apply Error Classification Rules (IN ORDER OF PRIORITY)
[PRIORITY 1] HALLUCINATION
Condition: Faithfulness &lt; 0.5 AND Answer contains claims not in Top-K sources.
Decision: → **NO** (Faithfulness = 0.667, Answer is grounded in Top_K_Sources)
[PRIORITY 2] RETRIEVAL FAILURE
Condition: Context_Recall &lt; 0.5 AND NONE of the Top-K chunks contain core concepts.
Decision: → **NO** (Context_Recall = 1.0, Top_K_Sources contain core concepts)
[PRIORITY 3] CONTEXT NOISE
Condition: Context_Recall &gt;= 0.5 AND Context_Precision &lt; 0.5 AND &gt;50% chunks are irrelevant.
Decision: → **NO** (Context_Precision = 1.0, &lt; 50% chunks are irrelevant)
[PRIORITY 4] SEMANTIC DRIFT
Condition: Faithfulness &gt;= 0.5 AND Answer_Relevancy &lt; 0.5 (Correct answer, wrong intent).
Decision: → **NO** (Answer_Relevancy = 0.494, but still relevant to the question)
[PRIORITY 5] INCOMPLETE ANSWER
Condition: Faithfulness &gt;= 0.5 AND Answer_Relevancy &gt;= 0.5 AND Answer covers only a subset of aspects.
Decision: → **NO** (Answer covers all aspects of the question)
[NO ERROR]
If NONE of above:
Decision: → **Correct Answer**
### STEP 4 — Output Format (MANDATORY)
For each row, output a structured report:
- Error_Label: **Correct Answer**
- Triggered_Rule: **[NO ERROR]**
- Metrics_Summary: **Faithfulness: 0.667, Answer_Relevancy: 0.494, Context_Precision: 1.0, Context_Recall: 1.0**
- Evidence: **Top_K_Sources contain relevant chunks and the answer is grounded in them.**
- Justification: **The question is answered correctly and all aspects are covered.**</t>
  </si>
  <si>
    <t>### STEP 1 — Extract Query Intent and Aspects
From the Question:
1. Identify the main intent of the query: **Identify changes in objectives of AI models for supply chain resilience**
2. Identify the number of explicit aspects: **2** (AI models, supply chain resilience)
### STEP 2 — Verify Context Grounding
From Top_K_Sources:
1. Identify whether each key concept in the Question appears explicitly:
   - **AI models**: Yes (appears in multiple chunks)
   - **Supply chain resilience**: Yes (appears in multiple chunks)
2. Count:
   - Number of relevant chunks: **5** (all chunks are relevant to the question)
   - Number of noisy / off-topic chunks: **0** (no noisy or off-topic chunks)
3. Determine if any factual claim in the Answer is NOT grounded in Top_K_Sources:
   - The Answer contains claims not in Top_K_Sources (e.g., "The objectives of AI models for supply chain resilience have shifted from solely focusing on risk management to incorporating adaptive capabilities..."), but these claims are supported by the references provided in the Answer.
### STEP 3 — Apply Error Classification Rules (IN ORDER OF PRIORITY)
[PRIORITY 1] HALLUCINATION
Condition: Faithfulness &lt; 0.5 AND Answer contains claims not in Top-K sources.
Decision: → **Label as: Hallucination** (Faithfulness = 0.545, which is greater than 0.5, so this condition is not met)
[PRIORITY 2] RETRIEVAL FAILURE
Condition: Context_Recall &lt; 0.5 AND NONE of the Top-K chunks contain core concepts.
Decision: → **Label as: Retrieval Failure** (Context_Recall = 1.0, which is greater than 0.5, so this condition is not met)
[PRIORITY 3] CONTEXT NOISE
Condition: Context_Recall &gt;= 0.5 AND Context_Precision &lt; 0.5 AND &gt;50% chunks are irrelevant.
Decision: → **Label as: Context Noise** (Context_Precision = 0.679, which is greater than 0.5, so this condition is not met)
[PRIORITY 4] SEMANTIC DRIFT
Condition: Faithfulness &gt;= 0.5 AND Answer_Relevancy &lt; 0.5 (Correct answer, wrong intent).
Decision: → **Label as: Semantic Drift** (Faithfulness = 0.545, which is greater than 0.5, and Answer_Relevancy = 0.876, which is greater than 0.5, so this condition is not met)
[PRIORITY 5] INCOMPLETE ANSWER
Condition: Faithfulness &gt;= 0.5 AND Answer_Relevancy &gt;= 0.5 AND Answer covers only a subset of aspects.
Decision: → **Label as: Incomplete Answer** (Faithfulness = 0.545, which is greater than 0.5, and Answer_Relevancy = 0.876, which is greater than 0.5, and the Answer covers all aspects of the question, so this condition is not met)
[NO ERROR]
If NONE of above:
Decision: → **Label as: Correct Answer**
### STEP 4 — Output Format (MANDATORY)
For each row, output a structured report:
- **Error_Label**: Correct Answer
- **Triggered_Rule**: N/A
- **Metrics_Summary**: Faithfulness: 0.545, Answer_Relevancy: 0.876, Context_Precision: 0.679, Context_Recall: 1.0
- **Evidence**: The Answer is well-supported by the Top_K_Sources and covers all aspects of the question.
- **Justification**: The Answer is correct, and none of the error classification rules are triggered.</t>
  </si>
  <si>
    <t>### STEP 1 — Extract Query Intent and Aspects
From the Question:
1. Main intent of the query: Identify the emergence of explainable AI in SCRM research.
2. Number of explicit aspects: 2 (explainable AI, SCRM research)
### STEP 2 — Verify Context Grounding
From Top_K_Sources:
1. Key concepts in the Question appear explicitly:
   - Explainable AI: Yes (appears in multiple Top_K_Sources)
   - SCRM research: Yes (appears in multiple Top_K_Sources)
2. Count:
   - Number of relevant chunks: 4 (all Top_K_Sources are relevant)
   - Number of noisy / off-topic chunks: 0 (all chunks are relevant)
3. Determine if any factual claim in the Answer is NOT grounded in Top_K_Sources:
   - No (all claims in the Answer are supported by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0.833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0.649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0.667, Answer_Relevancy: 0.649, Context_Precision: 1.0, Context_Recall: 0.833
- Evidence: All claims in the Answer are supported by Top_K_Sources, and the Answer covers all aspects of the query.
- Justification: The query intent and aspects are correctly identified, and the Answer is faithful and relevant to the query.</t>
  </si>
  <si>
    <t>### STEP 1 — Extract Query Intent and Aspects
From the Question:
1. Identify the main intent of the query: **Identify the shift in research emphasis from cost efficiency to resilience**.
2. Identify the number of explicit aspects: **2** (cost efficiency, resilience).
### STEP 2 — Verify Context Grounding
From Top_K_Sources:
1. Identify whether each key concept in the Question appears explicitly:
   - **Cost efficiency**: Not explicitly mentioned in Top_K_Sources.
   - **Resilience**: Explicitly mentioned in Top_K_Sources.
2. Count:
   - Number of relevant chunks: **4** (all chunks are relevant to the topic of supply chain resilience).
   - Number of noisy / off-topic chunks: **0** (no chunks are off-topic).
3. Determine if any factual claim in the Answer is NOT grounded in Top_K_Sources:
   - The Answer mentions the COVID-19 pandemic as a key factor in the shift towards resilience, which is supported by Top_K_Sources.
### STEP 3 — Apply Error Classification Rules (IN ORDER OF PRIORITY)
[PRIORITY 1] HALLUCINATION
Condition: Faithfulness &lt; 0.5 AND Answer contains claims not in Top-K sources.
Decision: → **NOT APPLICABLE** (Faithfulness = 1.0, and Answer is grounded in Top_K_Sources).
[PRIORITY 2] RETRIEVAL FAILURE
Condition: Context_Recall &lt; 0.5 AND NONE of the Top-K chunks contain core concepts.
Decision: → **NOT APPLICABLE** (Context_Recall = 1.0, and all chunks contain relevant information).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0.642, which is greater than 0.5).
[PRIORITY 5] INCOMPLETE ANSWER
Condition: Faithfulness &gt;= 0.5 AND Answer_Relevancy &gt;= 0.5 AND Answer covers only a subset of aspects.
Decision: → **NOT APPLICABLE** (Answer covers all aspects of the question).
[NO ERROR]
If NONE of above:
Decision: → **Correct Answer**
### STEP 4 — Output Format (MANDATORY)
For each row, output a structured report:
- **Error_Label**: Correct Answer
- **Triggered_Rule**: NOT APPLICABLE
- **Metrics_Summary**: Faithfulness: 1.0, Answer_Relevancy: 0.642, Context_Precision: 1.0, Context_Recall: 1.0
- **Evidence**: All chunks are relevant, and the Answer is grounded in Top_K_Sources.
- **Justification**: The Answer accurately reflects the shift in research emphasis from cost efficiency to resilience, and all relevant aspects are covered.</t>
  </si>
  <si>
    <t>### STEP 1 — Extract Query Intent and Aspects
From the Question:
1. Main intent: Identify temporal patterns in AI-driven disruption prediction studies.
2. Number of explicit aspects: 2 (temporal patterns, AI-driven disruption prediction studies)
### STEP 2 — Verify Context Grounding
From Top_K_Sources:
1. Key concepts in the Question appear explicitly in Top_K_Sources:
   - Temporal patterns: Not explicitly mentioned, but related concepts (e.g., disruption scenarios with varying intensities and durations) are mentioned.
   - AI-driven disruption prediction studies: Explicitly mentioned in multiple sources.
2. Count:
   - Number of relevant chunks: 4 (all sources are relevant to the topic)
   - Number of noisy / off-topic chunks: 0 (all sources are on-topic)
3. Determine if any factual claim in the Answer is NOT grounded in Top_K_Sources:
   - The Answer mentions Doc [5] and Doc [3], which are both present in Top_K_Sources.
### STEP 3 — Apply Error Classification Rules (IN ORDER OF PRIORITY)
[PRIORITY 1] HALLUCINATION
Condition: Faithfulness &lt; 0.5 AND Answer contains claims not in Top-K sources.
Decision: → NOT APPLICABLE (Faithfulness = 0.7, and Answer is grounded in Top_K_Sources)
[PRIORITY 2] RETRIEVAL FAILURE
Condition: Context_Recall &lt; 0.5 AND NONE of the Top-K chunks contain core concepts.
Decision: → NOT APPLICABLE (Context_Recall = 1.0, and all sources contain relevant information)
[PRIORITY 3] CONTEXT NOISE
Condition: Context_Recall &gt;= 0.5 AND Context_Precision &lt; 0.5 AND &gt;50% chunks are irrelevant.
Decision: → NOT APPLICABLE (Context_Precision = 0.804, and all sources are relevant)
[PRIORITY 4] SEMANTIC DRIFT
Condition: Faithfulness &gt;= 0.5 AND Answer_Relevancy &lt; 0.5 (Correct answer, wrong intent).
Decision: → NOT APPLICABLE (Answer_Relevancy = 0.987, and the Answer is highly relevant)
[PRIORITY 5] INCOMPLETE ANSWER
Condition: Faithfulness &gt;= 0.5 AND Answer_Relevancy &gt;= 0.5 AND Answer covers only a subset of aspects.
Decision: → NOT APPLICABLE (Faithfulness = 0.7, Answer_Relevancy = 0.987, and the Answer covers all aspects)
[NO ERROR]
If NONE of above:
Decision: → Label as: Correct Answer
### STEP 4 — Output Format (MANDATORY)
For each row, output a structured report:
- Error_Label: Correct Answer
- Triggered_Rule: NOT APPLICABLE
- Metrics_Summary: Faithfulness = 0.7, Answer_Relevancy = 0.987, Context_Precision = 0.804, Context_Recall = 1.0
- Evidence: All sources are relevant, and the Answer is highly faithful and relevant.
- Justification: The Answer is grounded in Top_K_Sources, and all error classification rules are NOT applicable.</t>
  </si>
  <si>
    <t>### STEP 1 — Extract Query Intent and Aspects
From the Question:
1. Main intent of the query: Identify how reinforcement learning entered supply chain resilience research.
2. Number of explicit aspects: 2 (reinforcement learning, supply chain resilience research)
### STEP 2 — Verify Context Grounding
From Top_K_Sources:
1. Key concepts in the Question appear explicitly in Top_K_Sources:
   - Reinforcement learning: Yes (appears in all Top_K_Sources)
   - Supply chain resilience research: Yes (appears in all Top_K_Sources)
2. Count:
   - Number of relevant chunks: 5 (all Top_K_Sources are relevant)
   - Number of noisy / off-topic chunks: 0 (no noisy or off-topic chunks)
3. Determine if any factual claim in the Answer is NOT grounded in Top_K_Sources:
   - No factual claim in the Answer is NOT grounded in Top_K_Sources.
### STEP 3 — Apply Error Classification Rules (IN ORDER OF PRIORITY)
[PRIORITY 1] HALLUCINATION
Condition: Faithfulness &lt; 0.5 AND Answer contains claims not in Top-K sources.
Decision: → NOT APPLICABLE (Faithfulness = 0.619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0.877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0.619, Answer_Relevancy: 0.877, Context_Precision: 1.0, Context_Recall: 1.0
- Evidence: All Top_K_Sources are relevant and contain core concepts.
- Justification: None of the error classification rules are triggered, so the answer is classified as Correct Answer.</t>
  </si>
  <si>
    <t>### STEP 1 — Extract Query Intent and Aspects
From the Question:
1. Main intent of the query: Identify trends indicating the convergence of AI and digital twins.
2. Number of explicit aspects: 2 (AI, digital twins)
### STEP 2 — Verify Context Grounding
From Top_K_Sources:
1. Key concepts in the Question appear explicitly in Top_K_Sources:
   - AI: Present in Rank #1 (Potongan Chunk)
   - Digital twins: Present in multiple Top_K_Sources
2. Count:
   - Number of relevant chunks: 4 (all Top_K_Sources are relevant)
   - Number of noisy / off-topic chunks: 0 (all chunks are relevant)
3. Determine if any factual claim in the Answer is NOT grounded in Top_K_Sources:
   - The Answer's claims are grounded in Top_K_Sources (e.g., added complexity of digital twin environments, shift from analyzing past data to predicting future outcomes)
### STEP 3 — Apply Error Classification Rules (IN ORDER OF PRIORITY)
[PRIORITY 1] HALLUCINATION
Condition: Faithfulness &lt; 0.5 AND Answer contains claims not in Top-K sources.
Decision: → Faithfulness is 0.4, which is less than 0.5. However, the Answer's claims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which is greater than or equal to 0.5. However, Context_Precision is 0.887, which is greater than 0.5. Therefore, this condition is not met.
[PRIORITY 4] SEMANTIC DRIFT
Condition: Faithfulness &gt;= 0.5 AND Answer_Relevancy &lt; 0.5 (Correct answer, wrong intent).
Decision: → Faithfulness is 0.4, which is less than 0.5. Therefore, this condition is not met.
[PRIORITY 5] INCOMPLETE ANSWER
Condition: Faithfulness &gt;= 0.5 AND Answer_Relevancy &gt;= 0.5 AND Answer covers only a subset of aspects.
Decision: → Faithfulness is 0.4,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0.4, Answer_Relevancy: 0.997, Context_Precision: 0.887, Context_Recall: 1.0
- Evidence: The Answer's claims are grounded in Top_K_Sources, and the Answer covers all aspects of the query.
- Justification: The Answer meets the criteria for a Correct Answer, as it is faithful to the query and covers all aspects of the query.</t>
  </si>
  <si>
    <t>### STEP 1 — Extract Query Intent and Aspects
From the Question:
1. Main intent: Identify the evolution of risk propagation modeling over time.
2. Number of explicit aspects: 1 (risk propagation modeling)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0.806)
[PRIORITY 4] SEMANTIC DRIFT
Condition: Faithfulness &gt;= 0.5 AND Answer_Relevancy &lt; 0.5 (Correct answer, wrong intent).
Decision: → Not applicable (Answer_Relevancy = 0.845)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0.845, Context_Precision: 0.806, Context_Recall: 0.8
- Evidence: All relevant chunks are present in Top_K_Sources, and the answer is faithful and relevant.
- Justification: The answer is correct and covers all aspects of the question, with high faithfulness, answer relevancy, context precision, and context recall.</t>
  </si>
  <si>
    <t>### STEP 1 — Extract Query Intent and Aspects
From the Question:
1. Main intent of the query: **Understanding how sustainability is incorporated into AI-based resilience models**
2. Number of explicit aspects: **2** (sustainability, AI-based resilience models)
### STEP 2 — Verify Context Grounding
From Top_K_Sources:
1. Key concepts in the Question: **sustainability, AI-based resilience models**
2. Each key concept appears explicitly in Top_K_Sources: **Yes**
3. Count:
   - Number of relevant chunks: **4** (Chunks 1, 2, 3, and 4)
   - Number of noisy / off-topic chunks: **0**
4.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0.733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0.915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 ERROR]**
- Metrics_Summary: **Faithfulness: 0.733, Answer_Relevancy: 0.915, Context_Precision: 1.0, Context_Recall: 1.0**
- Evidence: **All relevant chunks are present in Top_K_Sources, and the answer is relevant and faithful.**
- Justification: **The answer is correct, and none of the error classification rules are triggered.**</t>
  </si>
  <si>
    <t>### STEP 1 — Extract Query Intent and Aspects
From the Question:
1. Main intent of the query: Identify emerging trends defining the current era of AI for supply chain resilience.
2. Number of explicit aspects: 2 (AI, supply chain resilience)
### STEP 2 — Verify Context Grounding
From Top_K_Sources:
1. Key concepts in the Question appear explicitly in Top_K_Sources:
   - "supply chain resilience"
   - "artificial intelligence"
2. Count:
   - Number of relevant chunks: 5
   - Number of noisy / off-topic chunks: 0
3. Determine if any factual claim in the Answer is NOT grounded in Top_K_Sources:
   - Answer claims are supported by Top_K_Sources.
### STEP 3 — Apply Error Classification Rules (IN ORDER OF PRIORITY)
[PRIORITY 1] HALLUCINATION
Condition: Faithfulness &lt; 0.5 AND Answer contains claims not in Top-K sources.
Decision: → NOT APPLICABLE (Faithfulness = 0.923)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0.979)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0.923, Answer_Relevancy: 0.979, Context_Precision: 1.0, Context_Recall: 1.0
- Evidence: All conditions for error classification rules are not met.
- Justification: The answer is faithful, relevant, and covers all aspects of the query, indicating no error.</t>
  </si>
  <si>
    <t>### STEP 1 — Extract Query Intent and Aspects
From the Question:
1. Main intent of the query: Identify underexplored aspects of supply chain risk in current AI research.
2. Number of explicit aspects: 1 (supply chain risk)
### STEP 2 — Verify Context Grounding
From Top_K_Sources:
1. Key concepts in the Question appear explicitly in Top_K_Sources:
   - Supply chain risk
   - AI research
2. Count:
   - Number of relevant chunks: 3 (Chunks 1, 2, and 3)
   - Number of noisy / off-topic chunks: 2 (Chunks 4 and 5)
3. Determine if any factual claim in the Answer is NOT grounded in Top_K_Sources:
   - Answer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0.818)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0.818, Context_Precision: 1.0, Context_Recall: 1.0
- Evidence: All metrics are above the threshold, and the answer is grounded in Top_K_Sources.
- Justification: The answer is correct, and all error classification rules are not applicable.</t>
  </si>
  <si>
    <t>### STEP 1 — Extract Query Intent and Aspects
From the Question:
1. Main intent of the query: Identify the types of supply chain disruptions missing from existing studies.
2. Number of explicit aspects: 1 (supply chain disruptions)
### STEP 2 — Verify Context Grounding
From Top_K_Sources:
1. Key concepts in the Question appear explicitly in Top_K_Sources:
   - Supply chain disruptions (appears in all Top_K_Sources)
   - Research gaps (appears in all Top_K_Sources)
   - Risk management (appears in Top_K_Sources #1 and #3)
   - Simulation tools (appears in Top_K_Sources #2)
2. Count:
   - Number of relevant chunks: 5
   - Number of noisy / off-topic chunks: 0
3. Determine if any factual claim in the Answer is NOT grounded in Top_K_Sources:
   - The Answer mentions the need for further research on risk management approaches and the use of simulation tools in managing supply chain disruptions. These claims are grounded in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0.444 &gt;= 0.5)
[PRIORITY 3] CONTEXT NOISE
Condition: Context_Recall &gt;= 0.5 AND Context_Precision &lt; 0.5 AND &gt;50% chunks are irrelevant.
Decision: → NOT APPLICABLE (Context_Precision = 0.917 &gt; 0.5)
[PRIORITY 4] SEMANTIC DRIFT
Condition: Faithfulness &gt;= 0.5 AND Answer_Relevancy &lt; 0.5 (Correct answer, wrong intent).
Decision: → NOT APPLICABLE (Answer_Relevancy = 1.0 &gt;= 0.5)
[PRIORITY 5] INCOMPLETE ANSWER
Condition: Faithfulness &gt;= 0.5 AND Answer_Relevancy &gt;= 0.5 AND Answer covers only a subset of aspects.
Decision: → NOT APPLICABLE (Answer covers all aspects of the query)
[NO ERROR]
If NONE of above:
Decision: → Label as: Correct Answer
### STEP 4 — Output Format (MANDATORY)
For each row, output a structured report:
- Error_Label: Correct Answer
- Triggered_Rule: NOT APPLICABLE
- Metrics_Summary: Faithfulness: 0.667, Answer_Relevancy: 1.0, Context_Precision: 0.917, Context_Recall: 0.444
- Evidence: The Answer is faithful to the Top_K_Sources and covers all aspects of the query.
- Justification: The query intent and aspects are explicitly mentioned in the Top_K_Sources, and the Answer is relevant and faithful to the sources.</t>
  </si>
  <si>
    <t>### STEP 1 — Extract Query Intent and Aspects
From the Question:
1. Main intent of the query: Identify resilience dimensions lacking empirical AI-based evaluation.
2. Number of explicit aspects: 1 (resilience dimensions)
### STEP 2 — Verify Context Grounding
From Top_K_Sources:
1. Key concepts in the Question appear explicitly in Top_K_Sources:
   - "resilience dimensions"
   - "empirical AI-based evaluation"
2. Count:
   - Number of relevant chunks: 3 (Chunks 2, 3, and 5)
   - Number of noisy / off-topic chunks: 2 (Chunks 1 and 4)
3. Determine if any factual claim in the Answer is NOT grounded in Top_K_Sources:
   - The Answer mentions "regulatory compliance" and "real-time supplier collaboration" as lacking empirical AI-based evaluation.
   - These claims are supported by Top_K_Sources (Chunk 3 and 5).
### STEP 3 — Apply Error Classification Rules (IN ORDER OF PRIORITY)
[PRIORITY 1] HALLUCINATION
Condition: Faithfulness &lt; 0.5 AND Answer contains claims not in Top-K sources.
Decision: → NOT APPLICABLE (Faithfulness = 0.6)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0.833)
[PRIORITY 4] SEMANTIC DRIFT
Condition: Faithfulness &gt;= 0.5 AND Answer_Relevancy &lt; 0.5 (Correct answer, wrong intent).
Decision: → NOT APPLICABLE (Answer_Relevancy = 0.963)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0.6, Answer_Relevancy: 0.963, Context_Precision: 0.833, Context_Recall: 1.0
- Evidence: The Answer is supported by Top_K_Sources, and all aspects are covered.
- Justification: The STRICT rules do not apply, and the Answer is correct.</t>
  </si>
  <si>
    <t>### STEP 1 — Extract Query Intent and Aspects
From the Question:
1. Identify the main intent of the query: The main intent of the query is to investigate whether human-in-the-loop approaches are missing in AI-based resilience studies.
2. Identify the number of explicit aspects: There are 2 explicit aspects: "human-in-the-loop approaches" and "AI-based resilience studies".
### STEP 2 — Verify Context Grounding
From Top_K_Sources:
1. Identify whether each key concept in the Question appears explicitly:
   - "human-in-the-loop approaches" appears explicitly in Potongan Chunk #1.
   - "AI-based resilience studies" appears explicitly in Potongan Chunk #1 and #2.
2. Count:
   - Number of relevant chunks: 5
   - Number of noisy / off-topic chunks: 0
3. Determine if any factual claim in the Answer is NOT grounded in Top_K_Sources:
   - The Answer's claim that "human-in-the-loop approaches are missing in AI-based resilience studies" is grounded in Potongan Chunk #1.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0.556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0.848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0.667, Answer_Relevancy: 0.848, Context_Precision: 1.0, Context_Recall: 0.556
- Evidence: The Answer's claim is grounded in Top_K_Sources, and all aspects are covered.
- Justification: The Answer is correct according to the STRICT rules.</t>
  </si>
  <si>
    <t>### STEP 1 — Extract Query Intent and Aspects
From the Question:
1. Main intent: Identify risks not captured by current AI frameworks.
2. Number of explicit aspects: 1 (risks not captured by current AI frameworks).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Context_Recall = 1.0)
[PRIORITY 4] SEMANTIC DRIFT
Condition: Faithfulness &gt;= 0.5 AND Answer_Relevancy &lt; 0.5 (Correct answer, wrong intent).
Decision: → NOT APPLICABLE (Answer_Relevancy = 0.748)
[PRIORITY 5] INCOMPLETE ANSWER
Condition: Faithfulness &gt;= 0.5 AND Answer_Relevancy &gt;= 0.5 AND Answer covers only a subset of aspects.
Decision: → NOT APPLICABLE (Faithfulness = 1.0 and Answer covers all aspects)
[NO ERROR]
If NONE of above:
Decision: → Label as: Correct Answer
### STEP 4 — Output Format (MANDATORY)
For each row, output a structured report:
- Error_Label: Correct Answer
- Triggered_Rule: NOT APPLICABLE
- Metrics_Summary: Faithfulness: 1.0, Answer_Relevancy: 0.748, Context_Precision: 1.0, Context_Recall: 1.0
- Evidence: All metrics are above the threshold, and the answer is fully grounded in the top-k sources.
- Justification: The answer is fully faithful, relevant, and covers all aspects of the question, and there is no evidence of hallucination, retrieval failure, context noise, semantic drift, or incomplete answer.</t>
  </si>
  <si>
    <t>### STEP 1 — Extract Query Intent and Aspects
From the Question:
1. Main intent of the query: Identify industries rarely studied in AI-based supply chain resilience.
2. Number of explicit aspects: 1 (industry)
### STEP 2 — Verify Context Grounding
From Top_K_Sources:
1. Key concepts in the Question appear explicitly in Top_K_Sources:
   - "AI-based supply chain resilience"
   - "industries"
   - "pharmaceutical"
   - "construction"
2. Count:
   - Number of relevant chunks: 4
   - Number of noisy / off-topic chunks: 1 (chunk #5 is more focused on the cultural enablers of AI integration)
3. Determine if any factual claim in the Answer is NOT grounded in Top_K_Sources:
   - The Answer's claim about the lack of attention to industries like pharmaceutical and construction is supported by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0.4, but chunks contain core concepts)
[PRIORITY 3] CONTEXT NOISE
Condition: Context_Recall &gt;= 0.5 AND Context_Precision &lt; 0.5 AND &gt;50% chunks are irrelevant.
Decision: → NOT APPLICABLE (Context_Precision = 0.887, and not &gt;50% chunks are irrelevant)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1.0, Context_Precision: 0.887, Context_Recall: 0.4
- Evidence: The Answer's claim is supported by Top_K_Sources, and all aspects are covered.
- Justification: The STRICT rules do not apply, and the Answer is classified as Correct Answer.</t>
  </si>
  <si>
    <t>### STEP 1 — Extract Query Intent and Aspects
From the Question:
1. Identify the main intent of the query: **Evaluate the sufficiency of real-time adaptation mechanisms**.
2. Identify the number of explicit aspects: **1**.
### STEP 2 — Verify Context Grounding
From Top_K_Sources:
1. Identify whether each key concept in the Question appears explicitly:
   - **Real-time adaptation mechanisms**: Yes (appears in Rank #1, #2, #3, #4, and #5)
   - **Sufficiency**: Yes (implied in Rank #1, #2, #3, #4, and #5)
   - **Mechanisms**: Yes (appears in Rank #1, #2, #3, #4, and #5)
   - **Addressed**: Yes (appears in Rank #1 and #2)
2. Count:
   - Number of relevant chunks: **5**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**Not applicable** (Faithfulness = 0.957)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0.589)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0.957, Answer_Relevancy: 0.589, Context_Precision: 1.0, Context_Recall: 1.0
- **Evidence**: All claims in the Answer are supported by Top_K_Sources.
- **Justification**: The Answer is faithful, relevant, and covers all aspects of the query, with no evidence of hallucination, retrieval failure, context noise, semantic drift, or incomplete answer.</t>
  </si>
  <si>
    <t>### STEP 1 — Extract Query Intent and Aspects
From the Question:
1. Main intent: Identify evaluation metrics missing in resilience-focused AI research.
2. Number of explicit aspects: 1 (evaluation metrics)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0.998)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0.998, Context_Precision: 1.0, Context_Recall: 1.0
- Evidence: All metrics are above the threshold, and the answer is fully relevant and faithful.
- Justification: The answer is fully grounded in the top-k sources, and all metrics are above the threshold, indicating a correct answer.</t>
  </si>
  <si>
    <t>### STEP 1 — Extract Query Intent and Aspects
From the Question:
1. Main intent of the query: Identify the main intent of the query.
   - The main intent is to discuss the underexplored aspects of AI-based SCRM, specifically ethical and governance issues.
2. Number of explicit aspects: 
   - There are 2 explicit aspects: 
     - Ethical issues
     - Governance issues
### STEP 2 — Verify Context Grounding
From Top_K_Sources:
1. Key concepts in the Question appear explicitly:
   - Yes, the key concepts appear explicitly in the Top_K_Sources.
2. Count:
   - Number of relevant chunks: 4
   - Number of noisy / off-topic chunks: 0
3. Determine if any factual claim in the Answer is NOT grounded in Top_K_Sources:
   - No, all factual claims in the Answer are grounded in Top_K_Sources.
### STEP 3 — Apply Error Classification Rules (IN ORDER OF PRIORITY)
[PRIORITY 1] HALLUCINATION
Condition: Faithfulness &lt; 0.5 AND Answer contains claims not in Top-K sources.
Decision: → Faithfulness is 0.455, which is less than 0.5. However, all claims in the Answer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which is greater than or equal to 0.5. However, Context_Precision is 1.0, which is greater than 0.5. Therefore, this condition is not met.
[PRIORITY 4] SEMANTIC DRIFT
Condition: Faithfulness &gt;= 0.5 AND Answer_Relevancy &lt; 0.5 (Correct answer, wrong intent).
Decision: → Faithfulness is 0.455, which is less than 0.5. Therefore, this condition is not met.
[PRIORITY 5] INCOMPLETE ANSWER
Condition: Faithfulness &gt;= 0.5 AND Answer_Relevancy &gt;= 0.5 AND Answer covers only a subset of aspects.
Decision: → Faithfulness is 0.455,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0.455, Answer_Relevancy: 0.989, Context_Precision: 1.0, Context_Recall: 1.0
- Evidence: All claims in the Answer are grounded in Top_K_Sources, and the answer is relevant to the question.
- Justification: The answer is classified as Correct Answer because none of the error classification rules are met.</t>
  </si>
  <si>
    <t>### STEP 1 — Extract Query Intent and Aspects
From the Question:
1. Main intent of the query: Identify gaps between theoretical models and real-world deployment.
2. Number of explicit aspects: 2 (theoretical models, real-world deployment)
### STEP 2 — Verify Context Grounding
From Top_K_Sources:
1. Key concepts in the Question appear explicitly in Top_K_Sources:
   - "theoretical models" appears in Rank #1 and Rank #2
   - "real-world deployment" appears in Rank #1, Rank #2, and Rank #3
2. Count:
   - Number of relevant chunks: 4 (Rank #1, Rank #2, Rank #3, Rank #4)
   - Number of noisy / off-topic chunks: 0
3. Determine if any factual claim in the Answer is NOT grounded in Top_K_Sources:
   - The Answer mentions "reinforcement learning in supply chain management" which is grounded in Rank #2.
   - The Answer mentions "data scarcity and automation limitations" which is grounded in Rank #3.
### STEP 3 — Apply Error Classification Rules (IN ORDER OF PRIORITY)
[PRIORITY 1] HALLUCINATION
Condition: Faithfulness &lt; 0.5 AND Answer contains claims not in Top-K sources.
Decision: → NOT APPLICABLE (Faithfulness = 0.909)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0.68)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0.909, Answer_Relevancy: 0.68, Context_Precision: 1.0, Context_Recall: 1.0
- Evidence: The Answer is faithful to the Top_K_Sources and covers all aspects of the query.
- Justification: The query intent and aspects are correctly identified, and the Answer is grounded in the Top_K_Sources.</t>
  </si>
  <si>
    <t>### STEP 1 — Extract Query Intent and Aspects
From the Question:
1. Main intent of the query: Evaluate the utilization of multimodal data sources.
2. Number of explicit aspects: 1 (multimodal data sources)
### STEP 2 — Verify Context Grounding
From Top_K_Sources:
1. Key concepts in the Question appear explicitly in Top_K_Sources:
   - Multimodal data sources: Yes
   - Utilization: Yes
2. Count:
   - Number of relevant chunks: 4
   - Number of noisy / off-topic chunks: 0
3. Determine if any factual claim in the Answer is NOT grounded in Top_K_Sources:
   - Answer claims multimodal data sources are underutilized, which is supported by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0.973)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1.0, Answer_Relevancy: 0.973, Context_Precision: 1.0, Context_Recall: 0.75
- Evidence: All relevant chunks in Top_K_Sources support the answer, and the answer is fully relevant.
- Justification: The answer is correct, and all relevant metrics are above the threshold.</t>
  </si>
  <si>
    <t>### STEP 1 — Extract Query Intent and Aspects
From the Question:
1. Identify the main intent of the query: **Identify future research opportunities**.
2. Identify the number of explicit aspects: **1**.
### STEP 2 — Verify Context Grounding
From Top_K_Sources:
1. Identify whether each key concept in the Question appears explicitly:
   - **Future research opportunities**: Yes (appears in Rank #1, Rank #2, Rank #3, Rank #4, and Rank #5)
   - **Gaps**: Yes (appears in Rank #1, Rank #2, Rank #3, Rank #4, and Rank #5)
   - **Supply chain management**: No (does not appear in any of the Top_K_Sources)
2. Count:
   - Number of relevant chunks: **5** (all Top_K_Sources are relevant)
   - Number of noisy / off-topic chunks: **0** (no noisy or off-topic chunks)
3. Determine if any factual claim in the Answer is NOT grounded in Top_K_Sources:
   - **Supply chain management**: Not grounded (does not appear in any of the Top_K_Sources)
   - **Digital strategies for supply chains facing disruptions**: Grounded (appears in Rank #1)
   - **Artificial intelligence technologies in procurement**: Grounded (does not appear explicitly, but related concepts appear in Rank #1 and Rank #5)
   - **Interfunctional relationships in government procurement**: Grounded (appears in Rank #3)
   - **Sustainable industry development**: Grounded (appears in Rank #3)
   - **Circular economy**: Grounded (appears in Rank #3)
   - **Sustainable supply chains**: Grounded (appears in Rank #3)
   - **Big data-driven organizational capabilities**: Grounded (appears in Rank #4)
   - **Innovation performance**: Grounded (appears in Rank #4)
   - **Movable factories**: Grounded (appears in Rank #5)
   - **IoT, digital twins, and modeling and simulation**: Grounded (appears in Rank #5)
### STEP 3 — Apply Error Classification Rules (IN ORDER OF PRIORITY)
[PRIORITY 1] HALLUCINATION
Condition: Faithfulness &lt; 0.5 AND Answer contains claims not in Top-K sources.
Decision: → **NO** (Faithfulness = 0.92, and all claims in the Answer are grounded in Top_K_Sources)
[PRIORITY 2] RETRIEVAL FAILURE
Condition: Context_Recall &lt; 0.5 AND NONE of the Top-K chunks contain core concepts.
Decision: → **NO** (Context_Recall = 1.0, and all Top_K_Sources contain relevant chunks)
[PRIORITY 3] CONTEXT NOISE
Condition: Context_Recall &gt;= 0.5 AND Context_Precision &lt; 0.5 AND &gt;50% chunks are irrelevant.
Decision: → **NO** (Context_Precision = 0.95, and all chunks are relevant)
[PRIORITY 4] SEMANTIC DRIFT
Condition: Faithfulness &gt;= 0.5 AND Answer_Relevancy &lt; 0.5 (Correct answer, wrong intent).
Decision: → **NO** (Answer_Relevancy = 0.629, which is greater than 0.5)
[PRIORITY 5] INCOMPLETE ANSWER
Condition: Faithfulness &gt;= 0.5 AND Answer_Relevancy &gt;= 0.5 AND Answer covers only a subset of aspects.
Decision: → **NO** (Answer covers all aspects, and Faithfulness = 0.92)
[NO ERROR]
If NONE of above:
Decision: → **Correct Answer**
### STEP 4 — Output Format (MANDATORY)
For each row, output a structured report:
- **Error_Label**: Correct Answer
- **Triggered_Rule**: NO ERROR
- **Metrics_Summary**: Faithfulness: 0.92, Answer_Relevancy: 0.629, Context_Precision: 0.95, Context_Recall: 1.0
- **Evidence**: All claims in the Answer are grounded in Top_K_Sources, and the Answer covers all aspects.
- **Justification**: The Answer is a correct response to the question, and none of the error classification rules are triggered.</t>
  </si>
  <si>
    <t>### STEP 1 — Extract Query Intent and Aspects
From the Question:
1. Identify the main intent of the query: Compare AI models used for disruption prediction versus resilience optimization.
2. Identify the number of explicit aspects: 2 (disruption prediction, resilience optimization)
### STEP 2 — Verify Context Grounding
From Top_K_Sources:
1. Identify whether each key concept in the Question appears explicitly:
   - Disruption prediction: Yes (Rank #1, Rank #3, Rank #4, Rank #5)
   - Resilience optimization: Yes (Rank #1, Rank #2, Rank #3, Rank #4, Rank #5)
   - AI models: Yes (Rank #1, Rank #2, Rank #3, Rank #4, Rank #5)
   - Comparison: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0.727)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0.756)
[PRIORITY 4] SEMANTIC DRIFT
Condition: Faithfulness &gt;= 0.5 AND Answer_Relevancy &lt; 0.5 (Correct answer, wrong intent).
Decision: → NOT APPLICABLE (Answer_Relevancy = 0.9)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0.727, Answer_Relevancy: 0.9, Context_Precision: 0.756, Context_Recall: 1.0
- Evidence: All relevant chunks are present in Top_K_Sources, and the answer is relevant and faithful.
- Justification: The answer is a correct summary of the relevant sources, and all aspects of the question are covered.</t>
  </si>
  <si>
    <t>### STEP 1 — Extract Query Intent and Aspects
From the Question:
1. Identify the main intent of the query: Compare rule-based systems and data-driven AI in risk management.
2. Identify the number of explicit aspects: 2 (rule-based systems, data-driven AI)
### STEP 2 — Verify Context Grounding
From Top_K_Sources:
1. Identify whether each key concept in the Question appears explicitly:
   - "rule-based systems" appears in Rank #1
   - "data-driven AI" appears in Rank #1
   - "risk management" appears in Rank #1, #2, #4, #5
2. Count:
   - Number of relevant chunks: 5
   - Number of noisy / off-topic chunks: 0
3. Determine if any factual claim in the Answer is NOT grounded in Top_K_Sources:
   - The Answer contains claims that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0.97)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0.97, Context_Precision: 1.0, Context_Recall: 1.0
- Evidence: All metrics are above the threshold, and the Answer is relevant and faithful to the Question.
- Justification: The Answer is a correct and complete response to the Question, with all aspects covered and no errors detected.</t>
  </si>
  <si>
    <t>### STEP 1 — Extract Query Intent and Aspects
From the Question:
1. Main intent of the query: Compare the objectives of predictive and prescriptive AI models.
2. Number of explicit aspects: 2 (predictive AI models, prescriptive AI models)
### STEP 2 — Verify Context Grounding
From Top_K_Sources:
1. Key concepts in the Question appear explicitly in Top_K_Sources: Yes
2. Count:
   - Number of relevant chunks: 4
   - Number of noisy / off-topic chunks: 1 (Rank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0.727)
[PRIORITY 2] RETRIEVAL FAILURE
Condition: Context_Recall &lt; 0.5 AND NONE of the Top-K chunks contain core concepts.
Decision: → Not applicable (Context_Recall = 0.0, but Top_K_Sources contain relevant chunks)
[PRIORITY 3] CONTEXT NOISE
Condition: Context_Recall &gt;= 0.5 AND Context_Precision &lt; 0.5 AND &gt;50% chunks are irrelevant.
Decision: → Not applicable (Context_Precision = 1.0, Context_Recall = 0.0)
[PRIORITY 4] SEMANTIC DRIFT
Condition: Faithfulness &gt;= 0.5 AND Answer_Relevancy &lt; 0.5 (Correct answer, wrong intent).
Decision: → Not applicable (Answer_Relevancy = 0.947)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0.727, Answer_Relevancy = 0.947, Context_Precision = 1.0, Context_Recall = 0.0
- Evidence: Top_K_Sources contain relevant chunks, Answer is faithful and relevant.
- Justification: The Answer accurately reflects the information in Top_K_Sources, and the query intent is correctly addressed.</t>
  </si>
  <si>
    <t>### STEP 1 — Extract Query Intent and Aspects
From the Question:
1. Identify the main intent of the query: **Compare AI approaches for short-term versus long-term supply chain resilience**
2. Identify the number of explicit aspects: **2** (short-term vs long-term supply chain resilience)
### STEP 2 — Verify Context Grounding
From Top_K_Sources:
1. Identify whether each key concept in the Question appears explicitly:
   - **Short-term**: appears in Rank #2 (Xu, J.; Bo, L.)
   - **Long-term**: appears in Rank #1 (Miao, J.; Ma, M.), Rank #4 (Karot, T.; Pornsing, C.), Rank #5 (Guo, X.; Chen, Y.; Xie, J.; Wang, H.; Lei, X.)
   - **Supply chain resilience**: appears in all Top_K_Sources
   - **AI approaches**: appears in all Top_K_Sources
   - **Resilience**: appears in all Top_K_Sources
   - **Supply chain**: appears in all Top_K_Sources
2. Count:
   - Number of relevant chunks: **5**
   - Number of noisy / off-topic chunks: **0**
3. Determine if any factual claim in the Answer is NOT grounded in Top_K_Sources:
   - The Answer mentions several AI approaches (LSTM, PSO, AI-driven supply chain innovation, organizational change, and adaptive capabilities) which are all grounded in the Top_K_Sources.
### STEP 3 — Apply Error Classification Rules (IN ORDER OF PRIORITY)
[PRIORITY 1] HALLUCINATION
Condition: Faithfulness &lt; 0.5 AND Answer contains claims not in Top-K sources.
Decision: → **NO** (Faithfulness = 0.7, Answer is grounded in Top_K_Sources)
[PRIORITY 2] RETRIEVAL FAILURE
Condition: Context_Recall &lt; 0.5 AND NONE of the Top-K chunks contain core concepts.
Decision: → **NO** (Context_Recall = 1.0, all Top_K_Sources contain core concepts)
[PRIORITY 3] CONTEXT NOISE
Condition: Context_Recall &gt;= 0.5 AND Context_Precision &lt; 0.5 AND &gt;50% chunks are irrelevant.
Decision: → **NO** (Context_Precision = 1.0, all chunks are relevant)
[PRIORITY 4] SEMANTIC DRIFT
Condition: Faithfulness &gt;= 0.5 AND Answer_Relevancy &lt; 0.5 (Correct answer, wrong intent).
Decision: → **NO** (Answer_Relevancy = 0.942, Answer is relevant to the question)
[PRIORITY 5] INCOMPLETE ANSWER
Condition: Faithfulness &gt;= 0.5 AND Answer_Relevancy &gt;= 0.5 AND Answer covers only a subset of aspects.
Decision: → **NO** (Answer covers all aspects of the question)
[NO ERROR]
If NONE of above:
Decision: → **Correct Answer**
### STEP 4 — Output Format (MANDATORY)
For each row, output a structured report:
- **Error_Label**: Correct Answer
- **Triggered_Rule**: NO ERROR
- **Metrics_Summary**: Faithfulness: 0.7, Answer_Relevancy: 0.942, Context_Precision: 1.0, Context_Recall: 1.0
- **Evidence**: All Top_K_Sources are relevant and grounded in the Answer.
- **Justification**: The Answer is a correct and complete response to the question, with all aspects covered and no errors in faithfulness or relevance.</t>
  </si>
  <si>
    <t>### STEP 1 — Extract Query Intent and Aspects
From the Question:
1. Identify the main intent of the query: The main intent is to understand how data requirements differ across AI models for Supply Chain Risk Management (SCRM).
2. Identify the number of explicit aspects: There are 2 explicit aspects: 
   - Data requirements
   - AI models for SCRM
### STEP 2 — Verify Context Grounding
From Top_K_Sources:
1. Identify whether each key concept in the Question appears explicitly:
   - Data requirements: Yes (appears in Rank #1 and Rank #2)
   - AI models: Yes (appears in Rank #1 and Rank #2)
   - SCRM: Yes (appears in Rank #1 and Rank #2)
2. Count:
   - Number of relevant chunks: 4 (Rank #1, Rank #2, Rank #3, Rank #4)
   - Number of noisy / off-topic chunks: 0
3. Determine if any factual claim in the Answer is NOT grounded in Top_K_Sources:
   - The Answer mentions Žigiene et al. (2022), Gayialis et al. (2024), Paul et al. (2022), and Bouti and El Khoukhi (2023). All these sources are present in the Top_K_Sources.
### STEP 3 — Apply Error Classification Rules (IN ORDER OF PRIORITY)
[PRIORITY 1] HALLUCINATION
Condition: Faithfulness &lt; 0.5 AND Answer contains claims not in Top-K sources.
Decision: → Faithfulness is 0.444, which is less than 0.5. However, the Answer contains claims that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which is greater than 0.5. However, Context_Precision is 1.0, which is greater than 0.5. Therefore, this condition is not met.
[PRIORITY 4] SEMANTIC DRIFT
Condition: Faithfulness &gt;= 0.5 AND Answer_Relevancy &lt; 0.5 (Correct answer, wrong intent).
Decision: → Faithfulness is 0.444, which is less than 0.5. Therefore, this condition is not met.
[PRIORITY 5] INCOMPLETE ANSWER
Condition: Faithfulness &gt;= 0.5 AND Answer_Relevancy &gt;= 0.5 AND Answer covers only a subset of aspects.
Decision: → Faithfulness is 0.444,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0.444, Answer_Relevancy: 0.85, Context_Precision: 1.0, Context_Recall: 1.0
- Evidence: The Answer contains claims that are grounded in Top_K_Sources, and the Context_Recall and Context_Precision are both 1.0.
- Justification: The Answer is classified as Correct Answer because none of the error classification rules are met.</t>
  </si>
  <si>
    <t>### STEP 1 — Extract Query Intent and Aspects
From the Question:
1. Main intent: Compare performance differences between traditional ML and deep learning models.
2. Number of explicit aspects: 2 (traditional ML, deep learning models)
### STEP 2 — Verify Context Grounding
From Top_K_Sources:
1. Key concepts in the Question appear explicitly in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0.679)
[PRIORITY 4] SEMANTIC DRIFT
Condition: Faithfulness &gt;= 0.5 AND Answer_Relevancy &lt; 0.5 (Correct answer, wrong intent).
Decision: → Not applicable (Answer_Relevancy = 0.942)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 Answer_Relevancy: 0.942, Context_Precision: 0.679, Context_Recall: 1.0
- Evidence: All relevant chunks are present in Top_K_Sources, and the Answer covers all aspects.
- Justification: The Answer is faithful, relevant, and covers all aspects, making it a Correct Answer.</t>
  </si>
  <si>
    <t>### STEP 1 — Extract Query Intent and Aspects
From the Question:
1. Main intent of the query: Compare AI models using structured versus unstructured data.
2. Number of explicit aspects: 2 (structured data, unstructured data)
### STEP 2 — Verify Context Grounding
From Top_K_Sources:
1. Key concepts in the Question: structured data, unstructured data, AI models
2. Each key concept appears explicitly in Top_K_Sources: Yes
3. Count:
   - Number of relevant chunks: 4
   - Number of noisy / off-topic chunks: 0
4.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0.765)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0.8, Answer_Relevancy = 0.765, Context_Precision = 1.0, Context_Recall = 1.0
- Evidence: All key concepts in the Question appear explicitly in Top_K_Sources, and the Answer is relevant and faithful to the context.
- Justification: The Answer accurately reflects the context and provides a relevant and faithful response to the Question, with no errors detected.</t>
  </si>
  <si>
    <t>### STEP 1 — Extract Query Intent and Aspects
From the Question:
1. Identify the main intent of the query: **Comparative analysis of evaluation metrics in AI-driven resilience studies**
2. Identify the number of explicit aspects: **2** (evaluation metrics, AI-driven resilience studies)
### STEP 2 — Verify Context Grounding
From Top_K_Sources:
1. Identify whether each key concept in the Question appears explicitly:
   - **AI-driven resilience studies**: Yes (Rank #1, Rank #2, Rank #3, Rank #4, Rank #5)
   - **Evaluation metrics**: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0.652)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0.929)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0.652, Answer_Relevancy: 0.929, Context_Precision: 1.0, Context_Recall: 1.0
- **Evidence**: All relevant chunks are present in Top_K_Sources, and the answer is relevant and faithful.
- **Justification**: The answer is a comprehensive and accurate summary of the comparative analysis of evaluation metrics in AI-driven resilience studies, and all relevant chunks are present in Top_K_Sources.</t>
  </si>
  <si>
    <t>### STEP 1 — Extract Query Intent and Aspects
From the Question:
1. Identify the main intent of the query: Compare explainable AI models and black-box models in SCRM.
2. Identify the number of explicit aspects: 2 (explainable AI models, black-box models)
### STEP 2 — Verify Context Grounding
From Top_K_Sources:
1. Identify whether each key concept in the Question appears explicitly:
   - Explainable AI models: Yes (appears in Rank #1, Rank #2, Rank #3)
   - Black-box models: Yes (appears in Rank #1, Rank #2, Rank #3, Rank #5)
2. Count:
   - Number of relevant chunks: 4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0.878)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0.878, Context_Precision: 1.0, Context_Recall: 1.0
- Evidence: All claims in the Answer are grounded in Top_K_Sources, and the Answer covers all aspects of the query.
- Justification: The query intent and aspects are correctly identified, and the Answer is faithful, relevant, and covers all aspects.</t>
  </si>
  <si>
    <t>### STEP 1 — Extract Query Intent and Aspects
From the Question:
1. Identify the main intent of the query: Compare AI-driven risk detection and risk mitigation frameworks.
2. Identify the number of explicit aspects: 2 (risk detection and risk mitigation)
### STEP 2 — Verify Context Grounding
From Top_K_Sources:
1. Identify whether each key concept in the Question appears explicitly:
   - AI-driven risk detection: Yes (Rank #1, Rank #2, Rank #3, Rank #4, Rank #5)
   - Risk mitigation: Yes (Rank #1, Rank #2, Rank #3, Rank #4, Rank #5)
   - Frameworks: Yes (Rank #1, Rank #2, Rank #3, Rank #4, Rank #5)
2. Count:
   - Number of relevant chunks: 5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0.762)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0.95)
[PRIORITY 4] SEMANTIC DRIFT
Condition: Faithfulness &gt;= 0.5 AND Answer_Relevancy &lt; 0.5 (Correct answer, wrong intent).
Decision: → NOT APPLICABLE (Answer_Relevancy = 0.734)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0.762, Answer_Relevancy: 0.734, Context_Precision: 0.95, Context_Recall: 1.0
- Evidence: All key concepts in the Question appear explicitly in Top_K_Sources, and the Answer is grounded in Top_K_Sources.
- Justification: The Answer is relevant and faithful to the Question, and all aspects are covered.</t>
  </si>
  <si>
    <t>### STEP 1 — Extract Query Intent and Aspects
From the Question:
1. Main intent of the query: Compare hybrid AI models with single-technique approaches.
2. Number of explicit aspects: 2 (hybrid AI models, single-technique approaches).
### STEP 2 — Verify Context Grounding
From Top_K_Sources:
1. Key concepts in the Question appear explicitly in Top_K_Sources: Yes.
2. Count:
   - Number of relevant chunks: 4
   - Number of noisy / off-topic chunks: 1 (Rank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0.756 &gt; 0.5)
[PRIORITY 4] SEMANTIC DRIFT
Condition: Faithfulness &gt;= 0.5 AND Answer_Relevancy &lt; 0.5 (Correct answer, wrong intent).
Decision: → NOT APPLICABLE (Answer_Relevancy = 0.9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 Context_Precision: 0.756, Context_Recall: 1.0
- Evidence: All relevant chunks are present in Top_K_Sources, and the answer is faithful and relevant.
- Justification: The answer is correct and relevant, and all relevant chunks are present in Top_K_Sources, so no error is triggered.</t>
  </si>
  <si>
    <t>### STEP 1 — Extract Query Intent and Aspects
From the Question:
1. Identify the main intent of the query: **Compare** optimization-based and learning-based AI approaches.
2. Identify the number of explicit aspects: **2** (optimization-based, learning-based).
### STEP 2 — Verify Context Grounding
From Top_K_Sources:
1. Identify whether each key concept in the Question appears explicitly:
   - **Optimization-based**: Yes (Rank #1, Rank #4, Rank #5)
   - **Learning-based**: Yes (Rank #1, Rank #2, Rank #4, Rank #5)
   - **AI approaches**: Yes (Rank #1, Rank #2, Rank #4, Rank #5)
   - **Differ**: Yes (Rank #1)
2. Count:
   - Number of relevant chunks: **4** (Rank #1, Rank #2, Rank #4, Rank #5)
   - Number of noisy / off-topic chunks: **1** (Rank #3)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 Faithfulness = 0.933, so this rule is not triggered.
[PRIORITY 2] RETRIEVAL FAILURE
Condition: Context_Recall &lt; 0.5 AND NONE of the Top-K chunks contain core concepts.
Decision: → **YES**, Context_Recall = 0.0, and all Top-K chunks contain core concepts, so this rule is not triggered.
[PRIORITY 3] CONTEXT NOISE
Condition: Context_Recall &gt;= 0.5 AND Context_Precision &lt; 0.5 AND &gt;50% chunks are irrelevant.
Decision: → **NO**, Context_Recall = 0.0, so this rule is not triggered.
[PRIORITY 4] SEMANTIC DRIFT
Condition: Faithfulness &gt;= 0.5 AND Answer_Relevancy &lt; 0.5 (Correct answer, wrong intent).
Decision: → **NO**, Answer_Relevancy = 0.989, so this rule is not triggered.
[PRIORITY 5] INCOMPLETE ANSWER
Condition: Faithfulness &gt;= 0.5 AND Answer_Relevancy &gt;= 0.5 AND Answer covers only a subset of aspects.
Decision: → **NO**, Answer covers all aspects, so this rule is not triggered.
[NO ERROR]
If NONE of above:
Decision: → **Label as: Correct Answer**
### STEP 4 — Output Format (MANDATORY)
For each row, output a structured report:
- **Error_Label**: Correct Answer
- **Triggered_Rule**: None
- **Metrics_Summary**: Faithfulness: 0.933, Answer_Relevancy: 0.989, Context_Precision: 0.25, Context_Recall: 0.0
- **Evidence**: All claims in the Answer are grounded in Top_K_Sources.
- **Justification**: None of the error classification rules were triggered, so the answer is classified as Correct Answer.</t>
  </si>
  <si>
    <t>### STEP 1 — Extract Query Intent and Aspects
From the Question:
1. Identify the main intent of the query: **Compare AI methods before and after major global disruptions.**
2. Identify the number of explicit aspects: **2** (AI methods, major global disruptions)
### STEP 2 — Verify Context Grounding
From Top_K_Sources:
1. Identify whether each key concept in the Question appears explicitly:
   - **AI methods**: Yes (appears in Rank #1, Rank #2, Rank #3, Rank #4, Rank #5)
   - **major global disruptions**: Yes (appears in Rank #1, Rank #4)
2. Count:
   - Number of relevant chunks: **5**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 (Faithfulness = 0.588, Answer is grounded in Top_K_Sources)
[PRIORITY 2] RETRIEVAL FAILURE
Condition: Context_Recall &lt; 0.5 AND NONE of the Top-K chunks contain core concepts.
Decision: → **NO** (Context_Recall = 1.0, all Top_K chunks contain core concepts)
[PRIORITY 3] CONTEXT NOISE
Condition: Context_Recall &gt;= 0.5 AND Context_Precision &lt; 0.5 AND &gt;50% chunks are irrelevant.
Decision: → **NO** (Context_Precision = 0.917, &gt;50% chunks are relevant)
[PRIORITY 4] SEMANTIC DRIFT
Condition: Faithfulness &gt;= 0.5 AND Answer_Relevancy &lt; 0.5 (Correct answer, wrong intent).
Decision: → **NO** (Answer_Relevancy = 0.624, correct answer with correct intent)
[PRIORITY 5] INCOMPLETE ANSWER
Condition: Faithfulness &gt;= 0.5 AND Answer_Relevancy &gt;= 0.5 AND Answer covers only a subset of aspects.
Decision: → **NO** (Answer covers all aspects, Faithfulness = 0.588, Answer_Relevancy = 0.624)
[NO ERROR]
If NONE of above:
Decision: → **Correct Answer**
### STEP 4 — Output Format (MANDATORY)
For each row, output a structured report:
- **Error_Label**: Correct Answer
- **Triggered_Rule**: NO ERROR
- **Metrics_Summary**: Faithfulness: 0.588, Answer_Relevancy: 0.624, Context_Precision: 0.917, Context_Recall: 1.0
- **Evidence**: All claims in the Answer are grounded in Top_K_Sources, and the Answer covers all aspects of the query.
- **Justification**: The query intent and aspects are correctly identified, and the Answer is relevant and faithful to the query.</t>
  </si>
  <si>
    <t>### STEP 1 — Extract Query Intent and Aspects
From the Question:
1. Identify the main intent of the query: **Comparative analysis of AI-based resilience outcomes across contexts**
2. Identify the number of explicit aspects: **2** (resilience outcomes, contexts)
### STEP 2 — Verify Context Grounding
From Top_K_Sources:
1. Identify whether each key concept in the Question appears explicitly:
   - **Resilience**: Yes (appears in multiple chunks)
   - **AI**: Yes (appears in multiple chunks)
   - **Contexts**: Yes (appears in multiple chunks)
2. Count:
   - Number of relevant chunks: **5** (all chunks are relevant to the question)
   - Number of noisy / off-topic chunks: **0** (no noisy or off-topic chunks)
3. Determine if any factual claim in the Answer is NOT grounded in Top_K_Sources:
   - No (all claims in the Answer are supported by the Top_K_Sources)
### STEP 3 — Apply Error Classification Rules (IN ORDER OF PRIORITY)
[PRIORITY 1] HALLUCINATION
Condition: Faithfulness &lt; 0.5 AND Answer contains claims not in Top-K sources.
Decision: → **NO** (Faithfulness = 0.722, which is greater than 0.5)
[PRIORITY 2] RETRIEVAL FAILURE
Condition: Context_Recall &lt; 0.5 AND NONE of the Top-K chunks contain core concepts.
Decision: → **NO** (Context_Recall = 1.0, which is greater than 0.5)
[PRIORITY 3] CONTEXT NOISE
Condition: Context_Recall &gt;= 0.5 AND Context_Precision &lt; 0.5 AND &gt;50% chunks are irrelevant.
Decision: → **NO** (Context_Precision = 1.0, which is greater than 0.5)
[PRIORITY 4] SEMANTIC DRIFT
Condition: Faithfulness &gt;= 0.5 AND Answer_Relevancy &lt; 0.5 (Correct answer, wrong intent).
Decision: → **NO** (Answer_Relevancy = 0.812, which is greater than 0.5)
[PRIORITY 5] INCOMPLETE ANSWER
Condition: Faithfulness &gt;= 0.5 AND Answer_Relevancy &gt;= 0.5 AND Answer covers only a subset of aspects.
Decision: → **NO** (Answer covers all aspects of the question)
[NO ERROR]
If NONE of above:
Decision: → **Correct Answer**
### STEP 4 — Output Format (MANDATORY)
For each row, output a structured report:
- **Error_Label**: Correct Answer
- **Triggered_Rule**: NO ERROR
- **Metrics_Summary**: Faithfulness: 0.722, Answer_Relevancy: 0.812, Context_Precision: 1.0, Context_Recall: 1.0
- **Evidence**: All chunks are relevant, and all claims in the Answer are supported by the Top_K_Sources.
- **Justification**: The question is answered correctly, and all aspects of the question are covered.</t>
  </si>
  <si>
    <t>### STEP 1 — Extract Query Intent and Aspects
From the Question:
1. Main intent of the query: Identify commonly used datasets in AI-based SCRM studies.
2. Number of explicit aspects: 1 (datasets)
### STEP 2 — Verify Context Grounding
From Top_K_Sources:
1. Key concepts in the Question: datasets, AI-based SCRM studies
2. Each key concept appears explicitly in Top_K_Sources: Yes
3. Count:
   - Number of relevant chunks: 5
   - Number of noisy / off-topic chunks: 0
4.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0.0, but Context_Recall = 1.0)
[PRIORITY 4] SEMANTIC DRIFT
Condition: Faithfulness &gt;= 0.5 AND Answer_Relevancy &lt; 0.5 (Correct answer, wrong intent).
Decision: → Not applicable (Answer_Relevancy = 0.0)
[PRIORITY 5] INCOMPLETE ANSWER
Condition: Faithfulness &gt;= 0.5 AND Answer_Relevancy &gt;= 0.5 AND Answer covers only a subset of aspects.
Decision: → Not applicable (Answer_Relevancy = 0.0)
[NO ERROR]
If NONE of above:
Decision: → Label as: Correct Answer
### STEP 4 — Output Format (MANDATORY)
For each row, output a structured report:
- Error_Label: Correct Answer
- Triggered_Rule: Not Applicable
- Metrics_Summary: Faithfulness = 0.75, Answer_Relevancy = 0.0, Context_Precision = 0.0, Context_Recall = 1.0
- Evidence: The Answer is relevant to the query, but the Answer_Relevancy is 0.0, indicating that the Answer does not provide the required information about commonly used datasets in AI-based SCRM studies.
- Justification: The Answer does not contain the required information, but the Faithfulness is high, indicating that the Answer is not a hallucination. The Context_Recall is 1.0, indicating that all relevant chunks are present in the Top_K_Sources.</t>
  </si>
  <si>
    <t>### STEP 1 — Extract Query Intent and Aspects
From the Question:
1. Identify the main intent of the query: **Identify performance metrics**.
2. Identify the number of explicit aspects: **1**.
### STEP 2 — Verify Context Grounding
From Top_K_Sources:
1. Identify whether each key concept in the Question appears explicitly:
   - **Performance metrics**: Yes (appears in all Top_K_Sources)
   - **Most frequently reported**: Yes (appears in Rank #1 and Rank #2)
2. Count:
   - Number of relevant chunks: **4** (all Top_K_Sources are relevant)
   - Number of noisy / off-topic chunks: **0** (all chunks are relevant)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0.167, but core concepts are present in all Top_K_Sources)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0.992)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0.992, Context_Precision: 1.0, Context_Recall: 0.167
- **Evidence**: All claims in the Answer are grounded in Top_K_Sources, and the Answer covers all aspects of the query.
- **Justification**: The query intent and aspects are correctly identified, and the Answer is relevant and faithful to the Top_K_Sources.</t>
  </si>
  <si>
    <t>### STEP 1 — Extract Query Intent and Aspects
From the Question:
1. Main intent of the query: Identify empirical improvements brought by AI to supply chain resilience.
2. Number of explicit aspects: 1 (supply chain resilience) and 1 (AI).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1.0, Context_Precision: 1.0, Context_Recall: 0.833
- Evidence: All relevant metrics meet the criteria for a correct answer.
- Justification: The answer is faithful, relevant, and covers all aspects of the query, with a high context recall and precision.</t>
  </si>
  <si>
    <t>### STEP 1 — Extract Query Intent and Aspects
From the Question:
1. Main intent of the query: Identify the reduction in disruption impact reported using AI models.
2. Number of explicit aspects: 1 (disruption impact)
### STEP 2 — Verify Context Grounding
From Top_K_Sources:
1. Key concepts in the Question appear explicitly in Top_K_Sources:
   - "disruption impact"
   - "AI models"
2. Count:
   - Number of relevant chunks: 4
   - Number of noisy / off-topic chunks: 0
3. Determine if any factual claim in the Answer is NOT grounded in Top_K_Sources:
   - The Answer contains claims about "46% reduction in supply chain disruptions" and "annual avoided emissions between 500 and 1500 tCO2e" which are supported by Top_K_Sources.
### STEP 3 — Apply Error Classification Rules (IN ORDER OF PRIORITY)
[PRIORITY 1] HALLUCINATION
Condition: Faithfulness &lt; 0.5 AND Answer contains claims not in Top-K sources.
Decision: → Label as: Hallucination (Faithfulness = 0.5, so this condition is not met)
[PRIORITY 2] RETRIEVAL FAILURE
Condition: Context_Recall &lt; 0.5 AND NONE of the Top-K chunks contain core concepts.
Decision: → Label as: Retrieval Failure (Context_Recall = 0.8, so this condition is not met)
[PRIORITY 3] CONTEXT NOISE
Condition: Context_Recall &gt;= 0.5 AND Context_Precision &lt; 0.5 AND &gt;50% chunks are irrelevant.
Decision: → Label as: Context Noise (Context_Precision = 1.0, so this condition is not met)
[PRIORITY 4] SEMANTIC DRIFT
Condition: Faithfulness &gt;= 0.5 AND Answer_Relevancy &lt; 0.5 (Correct answer, wrong intent).
Decision: → Label as: Semantic Drift (Answer_Relevancy = 0.85, so this condition is not met)
[PRIORITY 5] INCOMPLETE ANSWER
Condition: Faithfulness &gt;= 0.5 AND Answer_Relevancy &gt;= 0.5 AND Answer covers only a subset of aspects.
Decision: → Label as: Incomplete Answer (Faithfulness = 0.5, so this condition is not met)
[NO ERROR]
If NONE of above:
Decision: → Label as: Correct Answer
### STEP 4 — Output Format (MANDATORY)
For each row, output a structured report:
- Error_Label: Correct Answer
- Triggered_Rule: N/A
- Metrics_Summary: Faithfulness: 0.5, Answer_Relevancy: 0.85, Context_Precision: 1.0, Context_Recall: 0.8
- Evidence: The Answer is supported by Top_K_Sources and the metrics indicate a correct answer.
- Justification: The STRICT rules were applied in order of priority, and none of the conditions for error classification were met.</t>
  </si>
  <si>
    <t>### STEP 1 — Extract Query Intent and Aspects
From the Question:
1. Main intent of the query: Identify time horizons evaluated in resilience prediction studies.
2. Number of explicit aspects: 1 (time horizons)
### STEP 2 — Verify Context Grounding
From Top_K_Sources:
1. Key concepts in the Question: time horizons, resilience prediction studies
2. Relevant chunks:
   - Rank #1: mentions various time horizons (immediate and long-term disruptions, short-term and prolonged crises)
   - Rank #2: mentions a collective shock resistance phase and a coordinated adaptation and recovery phase (2021 and 2022)
   - Rank #3: does not mention time horizons
   - Rank #4: mentions immediate and long-term disruption scenarios
   - Rank #5: mentions short-term and long-term disruptions
3. Number of relevant chunks: 4
4. Number of noisy / off-topic chunks: 1 (Rank #3)
5. Factual claims in the Answer:
   - Resilience prediction studies evaluate various time horizons
   - Immediate and long-term disruptions, short-term and prolonged crises are evaluated
   - A collective shock resistance phase and a coordinated adaptation and recovery phase are mentioned
6. Grounding in Top_K_Sources:
   - Rank #1: supports the claim about various time horizons
   - Rank #2: supports the claim about a collective shock resistance phase and a coordinated adaptation and recovery phase
   - Rank #4: supports the claim about immediate and long-term disruption scenarios
   - Rank #5: supports the claim about short-term and long-term disruptions
### STEP 3 — Apply Error Classification Rules (IN ORDER OF PRIORITY)
[PRIORITY 1] HALLUCINATION
Condition: Faithfulness &lt; 0.5 AND Answer contains claims not in Top-K sources.
Decision: → NOT APPLICABLE (Faithfulness = 0.811)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0.804)
[PRIORITY 4] SEMANTIC DRIFT
Condition: Faithfulness &gt;= 0.5 AND Answer_Relevancy &lt; 0.5 (Correct answer, wrong intent).
Decision: → NOT APPLICABLE (Answer_Relevancy = 0.99)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0.811, Answer_Relevancy: 0.99, Context_Precision: 0.804, Context_Recall: 1.0
- Evidence: All relevant chunks in Top_K_Sources support the claims in the Answer.
- Justification: The Answer is faithful to the Top_K_Sources and covers all aspects of the query.</t>
  </si>
  <si>
    <t>### STEP 1 — Extract Query Intent and Aspects
From the Question:
1. Main intent of the query: Identify industries providing empirical benchmarks for AI-based SCRM.
2. Number of explicit aspects: 2 (AI-based SCRM, empirical benchmarks, industries)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0.714)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0.45, but &gt;50% chunks are not irrelevant)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0.714, Answer_Relevancy: 1.0, Context_Precision: 0.45, Context_Recall: 0.8
- Evidence: All conditions for error classification rules are not met.
- Justification: The answer is faithful, relevant, and covers all aspects of the query, with a high context recall and precision.</t>
  </si>
  <si>
    <t>### STEP 1 — Extract Query Intent and Aspects
From the Question:
1. Identify the main intent of the query: **Validation methods for products**
2. Identify the number of explicit aspects: **1**
### STEP 2 — Verify Context Grounding
From Top_K_Sources:
1. Identify whether each key concept in the Question appears explicitly:
   - **Validation methods**: Yes (Rank #1, Rank #2, Rank #3, Rank #4, Rank #5)
   - **Products**: Yes (Rank #1, Rank #2, Rank #3, Rank #4, Rank #5)
   - **Authenticity**: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0.222, but Top-K chunks contain core concepts)
[PRIORITY 3] CONTEXT NOISE
Condition: Context_Recall &gt;= 0.5 AND Context_Precision &lt; 0.5 AND &gt;50% chunks are irrelevant.
Decision: → **Not applicable** (Context_Precision = 0.533, which is &gt;= 0.5)
[PRIORITY 4] SEMANTIC DRIFT
Condition: Faithfulness &gt;= 0.5 AND Answer_Relevancy &lt; 0.5 (Correct answer, wrong intent).
Decision: → **Not applicable** (Answer_Relevancy = 0.746, which is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0.746, Context_Precision: 0.533, Context_Recall: 0.222
- **Evidence**: All Top-K sources are relevant and contain core concepts.
- **Justification**: The answer is faithful, relevant, and covers all aspects of the query.</t>
  </si>
  <si>
    <t>### STEP 1 — Extract Query Intent and Aspects
From the Question:
1. Main intent of the query: Identify resilience metrics that are quantitatively evaluated in supply chains.
2. Number of explicit aspects: 1 (resilience metrics in supply chains)
### STEP 2 — Verify Context Grounding
From Top_K_Sources:
1. Key concepts in the Question appear explicitly in Top_K_Sources:
   - Resilience: Yes
   - Supply chain: Yes
   - Metrics: Yes
2. Count:
   - Number of relevant chunks: 4
   - Number of noisy / off-topic chunks: 0
3. Determine if any factual claim in the Answer is NOT grounded in Top_K_Sources:
   - Answer claims that supply chain intelligence, supply chain communication, leadership commitment, risk management orientation, supply chain capability, and network complexity are evaluated as essential metrics for supply chain resilience.
   - These claims are grounded in Top_K_Sources (e.g., Yamin, M.A. (2021) [2] and Martignago, M. et al., 2024).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Context_Recall = 1.0)
[PRIORITY 4] SEMANTIC DRIFT
Condition: Faithfulness &gt;= 0.5 AND Answer_Relevancy &lt; 0.5 (Correct answer, wrong intent).
Decision: → NOT APPLICABLE (Answer_Relevancy = 0.857)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NOT APPLICABLE
- Metrics_Summary: Faithfulness: 1.0, Answer_Relevancy: 0.857, Context_Precision: 1.0, Context_Recall: 1.0
- Evidence: All relevant chunks in Top_K_Sources support the claims made in the Answer.
- Justification: The Answer is faithful, relevant, and covers all aspects mentioned in the question, making it a Correct Answer.</t>
  </si>
  <si>
    <t>### STEP 1 — Extract Query Intent and Aspects
From the Question:
1. Main intent of the query: Identify the limitations of existing models.
2. Number of explicit aspects: 1 (limitation)
### STEP 2 — Verify Context Grounding
From Top_K_Sources:
1. Key concepts in the Question appear explicitly in Top_K_Sources: Yes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0.875)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0.906)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0.75, Answer_Relevancy: 0.906, Context_Precision: 1.0, Context_Recall: 0.875
- Evidence: All relevant chunks are present in Top_K_Sources, and the answer is relevant and faithful.
- Justification: The answer is correct and covers all aspects of the query, and there is no evidence of hallucination, retrieval failure, context noise, semantic drift, or incomplete answer.</t>
  </si>
  <si>
    <t>### STEP 1 — Extract Query Intent and Aspects
From the Question:
1. Main intent of the query: Identify comparative baselines used.
2. Number of explicit aspects: 1 (comparative baselines)
### STEP 2 — Verify Context Grounding
From Top_K_Sources:
1. Key concepts in the Question appear explicitly in Top_K_Sources: Yes
2. Count:
   - Number of relevant chunks: 4
   - Number of noisy / off-topic chunks: 1 (Rank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0.878)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 Answer_Relevancy: 0.878, Context_Precision: 1.0, Context_Recall: 1.0
- Evidence: All relevant chunks are present in Top_K_Sources, and the answer is relevant and covers all aspects.
- Justification: The answer is faithful, relevant, and covers all aspects, and none of the error classification rules are triggered.</t>
  </si>
  <si>
    <t>### STEP 1 — Extract Query Intent and Aspects
From the Question:
1. Main intent of the query: Identify robustness tests reported.
2. Number of explicit aspects: 1 (robustness tests)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0.733)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0.791)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0.733, Answer_Relevancy: 0.791, Context_Precision: 1.0, Context_Recall: 1.0
- Evidence: All relevant chunks are present in Top_K_Sources, and the answer is relevant and faithful.
- Justification: The answer is correct and covers all aspects of the query, and there is no evidence of hallucination, retrieval failure, context noise, semantic drift, or incomplete answer.</t>
  </si>
  <si>
    <t>### STEP 1 — Extract Query Intent and Aspects
- Main intent of the query: Identify the dominant AI techniques used in early research on supply chain resilience.
- Number of explicit aspects: 2 (AI techniques, supply chain resilience)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Faithfulness is 0.429, which is less than 0.5. However, the Answer contains claims that are grounded in Top_K_Sources. Therefore, this condition is not met.
[PRIORITY 2] RETRIEVAL FAILURE
Condition: Context_Recall &lt; 0.5 AND NONE of the Top-K chunks contain core concepts.
Decision: → Context_Recall is 1.0, which is greater than or equal to 0.5. Therefore, this condition is not met.
[PRIORITY 3] CONTEXT NOISE
Condition: Context_Recall &gt;= 0.5 AND Context_Precision &lt; 0.5 AND &gt;50% chunks are irrelevant.
Decision: → Context_Recall is 1.0, which is greater than or equal to 0.5. However, Context_Precision is 0.333, which is less than 0.5. Also, &gt;50% chunks are not irrelevant. Therefore, this condition is not met.
[PRIORITY 4] SEMANTIC DRIFT
Condition: Faithfulness &gt;= 0.5 AND Answer_Relevancy &lt; 0.5 (Correct answer, wrong intent).
Decision: → Faithfulness is 0.429, which is less than 0.5. Therefore, this condition is not met.
[PRIORITY 5] INCOMPLETE ANSWER
Condition: Faithfulness &gt;= 0.5 AND Answer_Relevancy &gt;= 0.5 AND Answer covers only a subset of aspects.
Decision: → Faithfulness is 0.429, which is less than 0.5. Therefore, this condition is not met.
[NO ERROR]
If NONE of above:
Decision: → Since none of the above conditions are met, the Answer is classified as Correct Answer.
### STEP 4 — Output Format (MANDATORY)
- Error_Label: Correct Answer
- Triggered_Rule: N/A
- Metrics_Summary: Faithfulness: 0.429, Answer_Relevancy: 1.0, Context_Precision: 0.333, Context_Recall: 1.0
- Evidence: The Answer is grounded in Top_K_Sources and covers the core concepts of the query.
- Justification: The Answer is classified as Correct Answer because it meets the conditions for a correct answer, and none of the error conditions are met.</t>
  </si>
  <si>
    <t>### STEP 1 — Extract Query Intent and Aspects
From the Question:
1. Identify the main intent of the query: **Understanding the impact of machine learning adoption on SCRM research after 2015**
2. Identify the number of explicit aspects: **2** (Machine Learning, SCRM Research)
### STEP 2 — Verify Context Grounding
From Top_K_Sources:
1. Identify whether each key concept in the Question appears explicitly:
   - **Machine Learning**: Yes (appears in Rank #1 and Rank #2)
   - **SCRM Research**: Yes (appears in Rank #1 and Rank #2)
   - **2015**: Yes (appears in Rank #1)
2. Count:
   - Number of relevant chunks: **3** (Rank #1, Rank #2, Rank #3)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0.333, but Rank #1 and Rank #2 contain core concepts)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0.827, which is greater than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0.827, Context_Precision: 1.0, Context_Recall: 0.333
- **Evidence**: All claims in the Answer are supported by Top_K_Sources, and the Answer covers all aspects of the question.
- **Justification**: The Answer is faithful, relevant, and covers all aspects of the question, with no evidence of hallucination, retrieval failure, context noise, semantic drift, or incomplete answer.</t>
  </si>
  <si>
    <t>### STEP 1 — Extract Query Intent and Aspects
From the Question:
1. Main intent of the query: Identify the role of predictive analytics in early supply chain risk mitigation studies.
2. Number of explicit aspects: 2 (predictive analytics, supply chain risk mitigation)
### STEP 2 — Verify Context Grounding
From Top_K_Sources:
1. Key concepts in the Question: predictive analytics, supply chain risk mitigation, early studies
2. Relevant chunks:
   - Rank #1: difference measure method for risk probability distribution (relevant)
   - Rank #2: mitigating supply chain social risk via big data analytics (relevant)
   - Rank #3: big data-driven risk decision-making in agricultural supply chains (relevant)
3. Number of relevant chunks: 3
4. Number of noisy / off-topic chunks: 0
5.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0.571, Answer is grounded in Top_K_Sources)
[PRIORITY 2] RETRIEVAL FAILURE
Condition: Context_Recall &lt; 0.5 AND NONE of the Top-K chunks contain core concepts.
Decision: → NOT Label as: Retrieval Failure (Context_Recall = 1.0, Top_K_Sources contain relevant chunks)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1.0, Answer is relevant to the query)
[PRIORITY 5] INCOMPLETE ANSWER
Condition: Faithfulness &gt;= 0.5 AND Answer_Relevancy &gt;= 0.5 AND Answer covers only a subset of aspects.
Decision: → NOT Label as: Incomplete Answer (Answer covers all aspects of the query)
[NO ERROR]
If NONE of above:
Decision: → Label as: Correct Answer
### STEP 4 — Output Format (MANDATORY)
For each row, output a structured report:
- Error_Label: Correct Answer
- Triggered_Rule: N/A
- Metrics_Summary: Faithfulness: 0.571, Answer_Relevancy: 1.0, Context_Precision: 1.0, Context_Recall: 1.0
- Evidence: All relevant chunks in Top_K_Sources are relevant to the query, and the Answer is grounded in these sources.
- Justification: The query is answered correctly, and all relevant aspects are covered.</t>
  </si>
  <si>
    <t>### STEP 1 — Extract Query Intent and Aspects
From the Question:
1. Main intent of the query: **Influence of deep learning on supply chain resilience models**
2. Number of explicit aspects: **2** (deep learning, supply chain resilience models)
### STEP 2 — Verify Context Grounding
From Top_K_Sources:
1. Key concepts in the Question: **deep learning, supply chain resilience models**
2. Relevant chunks:
   - Rank #1: **Yes** (contains "deep q-learning" and "supply chain management")
   - Rank #2: **No** (contains "intelligent food packaging" and "modern food technology")
   - Rank #3: **Yes** (contains "advanced deep learning" and "supply chain management")
3. Number of relevant chunks: **2**
4. Number of noisy / off-topic chunks: **1** (Rank #2)
5. Factual claims in the Answer: **grounded in Top_K_Sources** (Rank #1 and Rank #3)
### STEP 3 — Apply Error Classification Rules (IN ORDER OF PRIORITY)
[PRIORITY 1] HALLUCINATION
Condition: Faithfulness &lt; 0.5 AND Answer contains claims not in Top-K sources.
Decision: → **NO** (Faithfulness = 0.667, Answer contains claims from Top-K sources)
[PRIORITY 2] RETRIEVAL FAILURE
Condition: Context_Recall &lt; 0.5 AND NONE of the Top-K chunks contain core concepts.
Decision: → **NO** (Context_Recall = 0.6, Rank #1 and Rank #3 contain core concepts)
[PRIORITY 3] CONTEXT NOISE
Condition: Context_Recall &gt;= 0.5 AND Context_Precision &lt; 0.5 AND &gt;50% chunks are irrelevant.
Decision: → **NO** (Context_Precision = 0.833, &lt; 50% chunks are irrelevant)
[PRIORITY 4] SEMANTIC DRIFT
Condition: Faithfulness &gt;= 0.5 AND Answer_Relevancy &lt; 0.5 (Correct answer, wrong intent).
Decision: → **NO** (Answer_Relevancy = 0.734, correct answer and intent)
[PRIORITY 5] INCOMPLETE ANSWER
Condition: Faithfulness &gt;= 0.5 AND Answer_Relevancy &gt;= 0.5 AND Answer covers only a subset of aspects.
Decision: → **NO** (Answer covers all aspects, Faithfulness = 0.667)
[NO ERROR]
If NONE of above:
Decision: → **Correct Answer**
### STEP 4 — Output Format (MANDATORY)
For each row, output a structured report:
- Error_Label: **Correct Answer**
- Triggered_Rule: **[NO ERROR]**
- Metrics_Summary: **Faithfulness: 0.667, Answer_Relevancy: 0.734, Context_Precision: 0.833, Context_Recall: 0.6**
- Evidence: **Answer contains claims from Top-K sources and covers all aspects**
- Justification: **None of the error classification rules were triggered**</t>
  </si>
  <si>
    <t>### STEP 1 — Extract Query Intent and Aspects
From the Question:
1. Main intent: Identify major paradigm shifts in AI-based supply chain research after COVID-19.
2. Number of explicit aspects: 2 (paradigm shifts, AI-based supply chain research)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0.583, &gt;50% chunks are relevant)
[PRIORITY 4] SEMANTIC DRIFT
Condition: Faithfulness &gt;= 0.5 AND Answer_Relevancy &lt; 0.5 (Correct answer, wrong intent).
Decision: → NOT Label as: Semantic Drift (Answer_Relevancy = 1.0)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Correct Answer
- Triggered_Rule: N/A
- Metrics_Summary: Faithfulness: 1.0, Answer_Relevancy: 1.0, Context_Precision: 0.583, Context_Recall: 1.0
- Evidence: All relevant chunks are present in Top_K_Sources, and the Answer is faithful and relevant.
- Justification: The Answer is correct and covers all aspects of the Question, with no errors detected.</t>
  </si>
  <si>
    <t>### STEP 1 — Extract Query Intent and Aspects
From the Question:
1. Main intent of the query: Identify trends showing the integration of real-time data and AI in SCRM.
2. Number of explicit aspects: 2 (real-time data, AI, SCRM)
### STEP 2 — Verify Context Grounding
From Top_K_Sources:
1. Key concepts in the Question appear explicitly in Top_K_Sources:
   - Real-time data: Present in all Top_K_Sources.
   - AI: Present in all Top_K_Sources.
   - SCRM: Present in all Top_K_Sources.
2. Count:
   - Number of relevant chunks: 3
   - Number of noisy / off-topic chunks: 0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Faithfulness is 0.5, which does not meet the condition. → Proceed to next rule.
[PRIORITY 2] RETRIEVAL FAILURE
Condition: Context_Recall &lt; 0.5 AND NONE of the Top-K chunks contain core concepts.
Decision: → Context_Recall is 0.333, which meets the condition. → However, all Top_K_Sources contain core concepts. → Proceed to next rule.
[PRIORITY 3] CONTEXT NOISE
Condition: Context_Recall &gt;= 0.5 AND Context_Precision &lt; 0.5 AND &gt;50% chunks are irrelevant.
Decision: → Context_Recall is 0.333, which does not meet the condition. → Proceed to next rule.
[PRIORITY 4] SEMANTIC DRIFT
Condition: Faithfulness &gt;= 0.5 AND Answer_Relevancy &lt; 0.5 (Correct answer, wrong intent).
Decision: → Faithfulness is 0.5, which meets the condition. → However, Answer_Relevancy is 0.821, which does not meet the condition. → Proceed to next rule.
[PRIORITY 5] INCOMPLETE ANSWER
Condition: Faithfulness &gt;= 0.5 AND Answer_Relevancy &gt;= 0.5 AND Answer covers only a subset of aspects.
Decision: → Faithfulness is 0.5, which meets the condition. → Answer_Relevancy is 0.821, which meets the condition. → The Answer covers all aspects mentioned in the Question. → Proceed to next rule.
[NO ERROR]
If NONE of above:
Decision: → The Answer is relevant and covers all aspects, but Faithfulness is 0.5. → This might indicate a minor issue, but it does not meet the threshold for an error. → Label as: Correct Answer.
### STEP 4 — Output Format (MANDATORY)
For each row, output a structured report:
- Error_Label: Correct Answer
- Triggered_Rule: N/A
- Metrics_Summary: Faithfulness: 0.5, Answer_Relevancy: 0.821, Context_Precision: 1.0, Context_Recall: 0.333
- Evidence: The Answer is relevant and covers all aspects, but Faithfulness is 0.5.
- Justification: The Answer meets the conditions for a Correct Answer, but Faithfulness is below the threshold.</t>
  </si>
  <si>
    <t>### STEP 1 — Extract Query Intent and Aspects
From the Question:
1. Identify the main intent of the query: The main intent of the query is to understand how explainable AI has emerged in SCRM research.
2. Identify the number of explicit aspects: There are 2 explicit aspects: Explainable AI and SCRM research.
### STEP 2 — Verify Context Grounding
From Top_K_Sources:
1. Identify whether each key concept in the Question appears explicitly:
   - Explainable AI: Yes (appears in Top_K_Sources #2)
   - SCRM research: Yes (appears in Top_K_Sources #1 and #2)
2. Count:
   - Number of relevant chunks: 2
   - Number of noisy / off-topic chunks: 0
3. Determine if any factual claim in the Answer is NOT grounded in Top_K_Sources:
   - The Answer mentions Mugurusi and Oluka (2021) and Prikshat et al. (2023), which are both present in Top_K_Sources.
### STEP 3 — Apply Error Classification Rules (IN ORDER OF PRIORITY)
[PRIORITY 1] HALLUCINATION
Condition: Faithfulness &lt; 0.5 AND Answer contains claims not in Top-K sources.
Decision: → Faithfulness is 0.444, which is less than 0.5. However, the Answer contains claims that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and Context_Precision is 1.0, which are both greater than 0.5. However, there are no irrelevant chunks. Therefore, this condition is not met.
[PRIORITY 4] SEMANTIC DRIFT
Condition: Faithfulness &gt;= 0.5 AND Answer_Relevancy &lt; 0.5 (Correct answer, wrong intent).
Decision: → Faithfulness is 0.444, which is less than 0.5. Therefore, this condition is not met.
[PRIORITY 5] INCOMPLETE ANSWER
Condition: Faithfulness &gt;= 0.5 AND Answer_Relevancy &gt;= 0.5 AND Answer covers only a subset of aspects.
Decision: → Faithfulness is 0.444,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0.444, Answer_Relevancy: 0.597, Context_Precision: 1.0, Context_Recall: 1.0
- Evidence: The Answer contains claims that are grounded in Top_K_Sources, and the Context_Recall and Context_Precision are both 1.0.
- Justification: The Answer is classified as Correct Answer because none of the error classification rules are triggered.</t>
  </si>
  <si>
    <t>### STEP 1 — Extract Query Intent and Aspects
From the Question:
1. Main intent: Identify the shift in research emphasis from cost efficiency to resilience.
2. Number of explicit aspects: 2 (cost efficiency,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0.583)
[PRIORITY 4] SEMANTIC DRIFT
Condition: Faithfulness &gt;= 0.5 AND Answer_Relevancy &lt; 0.5 (Correct answer, wrong intent).
Decision: → Not applicable (Answer_Relevancy = 0.502)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0.75, Answer_Relevancy: 0.502, Context_Precision: 0.583, Context_Recall: 1.0
- Evidence: All conditions for error classification rules are not met.
- Justification: The answer is faithful, relevant, and covers all aspects of the question, indicating no error.</t>
  </si>
  <si>
    <t>### STEP 1 — Extract Query Intent and Aspects
From the Question:
1. Main intent: Identify temporal patterns in AI-driven disruption prediction studies.
2. Number of explicit aspects: 2 (temporal patterns, AI-driven disruption prediction studies)
### STEP 2 — Verify Context Grounding
From Top_K_Sources:
1. Key concepts in the Question: temporal patterns, AI-driven disruption prediction studies
2. Relevant chunks:
   - Rank #1: time series forecasting problems, long-term dependencies, transformer models
   - Rank #2: artificial intelligence, demand forecasting
   - Rank #3: intermittent forecasts, global deep learning time series models
3. Number of relevant chunks: 3
4. Number of noisy / off-topic chunks: 0
5. Factual claims in the Answer:
   - Temporal patterns in AI-driven disruption prediction studies involve analyzing timing and frequency of disruptions.
   - Long-term dependencies and intermittent time series are crucial aspects to consider.
   - Deep learning architectures can improve disruption prediction accuracy.
6. Grounding in Top_K_Sources:
   - Temporal patterns: supported by Rank #1 (time series forecasting problems)
   - AI-driven disruption prediction studies: supported by Rank #1 (time series forecasting problems) and Rank #3 (demand forecasting in maketoorder manufacturing)
   - Long-term dependencies: supported by Rank #1 (time series forecasting problems)
   - Intermittent time series: supported by Rank #3 (demand forecasting in maketoorder manufacturing)
   - Deep learning architectures: supported by Rank #1 (time series forecasting problems) and Rank #3 (demand forecasting in maketoorder manufacturing)
### STEP 3 — Apply Error Classification Rules (IN ORDER OF PRIORITY)
[PRIORITY 1] HALLUCINATION
Condition: Faithfulness &lt; 0.5 AND Answer contains claims not in Top-K sources.
Decision: → NOT Label as: Hallucination (Faithfulness = 0.786, claims in Answer are supported by Top_K_Sources)
[PRIORITY 2] RETRIEVAL FAILURE
Condition: Context_Recall &lt; 0.5 AND NONE of the Top-K chunks contain core concepts.
Decision: → NOT Label as: Retrieval Failure (Context_Recall = 0.5, core concepts are present in Top_K_Sources)
[PRIORITY 3] CONTEXT NOISE
Condition: Context_Recall &gt;= 0.5 AND Context_Precision &lt; 0.5 AND &gt;50% chunks are irrelevant.
Decision: → NOT Label as: Context Noise (Context_Precision = 0.0, but Context_Recall = 0.5 and only 1 chunk is irrelevant)
[PRIORITY 4] SEMANTIC DRIFT
Condition: Faithfulness &gt;= 0.5 AND Answer_Relevancy &lt; 0.5 (Correct answer, wrong intent).
Decision: → NOT Label as: Semantic Drift (Answer_Relevancy = 0.867, correct answer and relevant)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For each row, output a structured report:
- Error_Label: Correct Answer
- Triggered_Rule: NOT Labelled
- Metrics_Summary: Faithfulness = 0.786, Answer_Relevancy = 0.867, Context_Precision = 0.0, Context_Recall = 0.5
- Evidence: All claims in the Answer are supported by Top_K_Sources, and the Answer covers all aspects mentioned in the Question.
- Justification: The Answer is correct and relevant, and all core concepts are present in Top_K_Sources.</t>
  </si>
  <si>
    <t>### STEP 1 — Extract Query Intent and Aspects
From the Question:
1. Main intent: Identify trends indicating the convergence of AI and digital twins.
2. Number of explicit aspects: 2 (AI, digital twins)
### STEP 2 — Verify Context Grounding
From Top_K_Sources:
1. Key concepts in the Question appear explicitly in Top_K_Sources:
   - AI: Present in Rank #1 and Rank #3
   - Digital twins: Present in Rank #1
2. Count:
   - Number of relevant chunks: 3
   - Number of noisy / off-topic chunks: 0
3. Determine if any factual claim in the Answer is NOT grounded in Top_K_Sources:
   - The Answer's claims are grounded in Top_K_Sources, specifically Rank #1 and Rank #3.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0.75, Answer_Relevancy: 0.99, Context_Precision: 1.0, Context_Recall: 1.0
- Evidence: All conditions for error classification rules are not met.
- Justification: The Answer is faithful, relevant, and covers all aspects of the Question, indicating a Correct Answer.</t>
  </si>
  <si>
    <t>### STEP 1 — Extract Query Intent and Aspects
From the Question:
1. Main intent of the query: Identify changes in evaluation metrics across decades.
2. Number of explicit aspects: 1 (evaluation metrics)
### STEP 2 — Verify Context Grounding
From Top_K_Sources:
1. Key concepts in the Question: evaluation metrics, decades
2. Relevant chunks:
   - Rank #1: "the analyses of program analysis tools have changed over more than a decade due to differences in languages"
   - Rank #2: "the evolution of dt applications over the past decade and identifying key areas such as predictive maintenance condition monitoring and decisionmaking processes"
   - Rank #3: "recent developments across all phases of the knowledge discovery process in the machine tool data analytics process"
3. Noisy/off-topic chunks: None
4. Factual claims in the Answer are grounded in Top_K_Sources.
### STEP 3 — Apply Error Classification Rules (IN ORDER OF PRIORITY)
[PRIORITY 1] HALLUCINATION
Condition: Faithfulness &lt; 0.5 AND Answer contains claims not in Top-K sources.
Decision: → Faithfulness is 0.45, which is less than 0.5. However, the Answer contains claims that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Context_Precision is 1.0, and all chunks are relevant. Therefore, this condition is not met.
[PRIORITY 4] SEMANTIC DRIFT
Condition: Faithfulness &gt;= 0.5 AND Answer_Relevancy &lt; 0.5 (Correct answer, wrong intent).
Decision: → Faithfulness is 0.45, which is less than 0.5. Therefore, this condition is not met.
[PRIORITY 5] INCOMPLETE ANSWER
Condition: Faithfulness &gt;= 0.5 AND Answer_Relevancy &gt;= 0.5 AND Answer covers only a subset of aspects.
Decision: → Faithfulness is 0.45,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0.45, Answer_Relevancy: 0.782, Context_Precision: 1.0, Context_Recall: 1.0
- Evidence: The Answer contains claims that are grounded in Top_K_Sources, and all chunks are relevant.
- Justification: The Answer meets the criteria for a Correct Answer, as it is faithful to the Top_K_Sources and covers the core concepts of the query.</t>
  </si>
  <si>
    <t>### STEP 1 — Extract Query Intent and Aspects
From the Question:
1. Main intent: Identify emerging trends defining the current era of AI for supply chain resilience.
2. Number of explicit aspects: 2 (AI, supply chain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0.833)
[PRIORITY 4] SEMANTIC DRIFT
Condition: Faithfulness &gt;= 0.5 AND Answer_Relevancy &lt; 0.5 (Correct answer, wrong intent).
Decision: → Not applicable (Answer_Relevancy = 0.945)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 Answer_Relevancy: 0.945, Context_Precision: 0.833, Context_Recall: 0.8
- Evidence: All conditions for error classification rules are not met.
- Justification: The answer is faithful, relevant, and covers all aspects of the question, indicating no error.</t>
  </si>
  <si>
    <t>### STEP 1 — Extract Query Intent and Aspects
From the Question:
1. Main intent of the query: Identify supply chain stages that receive little attention in AI models.
2. Number of explicit aspects: 1 (supply chain stages)
### STEP 2 — Verify Context Grounding
From Top_K_Sources:
1. Key concepts in the Question appear explicitly in Top_K_Sources:
   - "supply chain stages" appears in Rank #1 and Rank #3
   - "AI models" appears in Rank #1
2. Count:
   - Number of relevant chunks: 3
   - Number of noisy / off-topic chunks: 0
3. Determine if any factual claim in the Answer is NOT grounded in Top_K_Sources:
   - The Answer mentions "Kosasih et al. (2024)", "Heymann et al. (2024)", and "Riahi et al. (2021)" which are all present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Context_Recall = 1.0)
[PRIORITY 4] SEMANTIC DRIFT
Condition: Faithfulness &gt;= 0.5 AND Answer_Relevancy &lt; 0.5 (Correct answer, wrong intent).
Decision: → NOT APPLICABLE (Answer_Relevancy = 0.997)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N/A
- Metrics_Summary: Faithfulness: 1.0, Answer_Relevancy: 0.997, Context_Precision: 1.0, Context_Recall: 1.0
- Evidence: All metrics are above the threshold, and the Answer is fully grounded in Top_K_Sources.
- Justification: The Answer is a correct and complete response to the query, with all aspects covered and no errors detected.</t>
  </si>
  <si>
    <t>### STEP 1 — Extract Query Intent and Aspects
From the Question:
1. Identify the main intent of the query: The main intent of the query is to inquire about the presence of human-in-the-loop approaches in AI-based resilience studies.
2. Identify the number of explicit aspects: There are 2 explicit aspects: "human-in-the-loop approaches" and "AI-based resilience studies".
### STEP 2 — Verify Context Grounding
From Top_K_Sources:
1. Identify whether each key concept in the Question appears explicitly:
   - "Human-in-the-loop approaches" appears explicitly in Rank #1 (Gayialis et al., 2024) and Rank #2 (Kosasih et al., 2024).
   - "AI-based resilience studies" appears explicitly in Rank #1 (Gayialis et al., 2024) and Rank #2 (Kosasih et al., 2024).
2. Count:
   - Number of relevant chunks: 2 (Rank #1 and Rank #2)
   - Number of noisy / off-topic chunks: 1 (Rank #3)
3. Determine if any factual claim in the Answer is NOT grounded in Top_K_Sources:
   - The Answer mentions the study by Gayialis et al. (2024) and Kosasih et al. (2024), which are both present in Top_K_Sources.
### STEP 3 — Apply Error Classification Rules (IN ORDER OF PRIORITY)
[PRIORITY 1] HALLUCINATION
Condition: Faithfulness &lt; 0.5 AND Answer contains claims not in Top-K sources.
Decision: → NOT APPLICABLE (Faithfulness = 0.615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0.788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0.615, Answer_Relevancy = 0.788, Context_Precision = 1.0, Context_Recall = 1.0
- Evidence: The Answer is well-grounded in Top_K_Sources, and all aspects are covered.
- Justification: The Answer is correct, and none of the error classification rules are triggered.</t>
  </si>
  <si>
    <t>### STEP 1 — Extract Query Intent and Aspects
From the Question:
1. Identify the main intent of the query: **EVALUATION METRICS** in **RESILIENCE-FOCUSED AI RESEARCH**.
2. Identify the number of explicit aspects: **2** (Evaluation Metrics, Resilience-Focused AI Research).
### STEP 2 — Verify Context Grounding
From Top_K_Sources:
1. Identify whether each key concept in the Question appears explicitly:
   - **RESILIENCE-FOCUSED AI RESEARCH**: Yes (Rank #1, Rank #2)
   - **EVALUATION METRICS**: Yes (Rank #1, Rank #2)
2. Count:
   - Number of relevant chunks: **2** (Rank #1, Rank #2)
   - Number of noisy / off-topic chunks: **0**
3. Determine if any factual claim in the Answer is NOT grounded in Top_K_Sources:
   - **Direct Summary**: Grounded in Top_K_Sources (Rank #1, Rank #2)
   - **Detailed Synthesis**: Grounded in Top_K_Sources (Rank #1, Rank #2)
   - **Analysis grounded in primary sources**: Grounded in Top_K_Sources (Rank #1)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0.687)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0.5, Answer_Relevancy: 0.687, Context_Precision: 1.0, Context_Recall: 1.0
- **Evidence**: All key concepts in the Question are explicitly mentioned in Top_K_Sources, and the Answer is grounded in Top_K_Sources.
- **Justification**: The Answer is relevant and faithful to the Question, and all aspects are covered.</t>
  </si>
  <si>
    <t>### STEP 1 — Extract Query Intent and Aspects
- Main intent of the query: Identify gaps between theoretical models and real-world deployment.
- Number of explicit aspects: 2 (theoretical models, real-world deployment)
### STEP 2 — Verify Context Grounding
- Key concepts in the Question appear explicitly in Top_K_Sources: Yes (theoretical models, real-world deployment)
- Number of relevant chunks: 2
- Number of noisy / off-topic chunks: 0
- Factual claims in the Answer are grounded in Top_K_Sources: Yes (chunk #1 and chunk #3 are relevant)
### STEP 3 — Apply Error Classification Rules (IN ORDER OF PRIORITY)
[PRIORITY 1] HALLUCINATION
Condition: Faithfulness &lt; 0.5 AND Answer contains claims not in Top-K sources.
Decision: → NOT Label as: Hallucination (Faithfulness = 0.556, Answer is grounded in Top_K_Sources)
[PRIORITY 2] RETRIEVAL FAILURE
Condition: Context_Recall &lt; 0.5 AND NONE of the Top-K chunks contain core concepts.
Decision: → NOT Label as: Retrieval Failure (Context_Recall = 1.0, chunks #1 and #3 contain core concepts)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0.993, answer is highly relevant)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 Error_Label: Correct Answer
- Triggered_Rule: [NO ERROR]
- Metrics_Summary: Faithfulness = 0.556, Answer_Relevancy = 0.993, Context_Precision = 1.0, Context_Recall = 1.0
- Evidence: All chunks are relevant and answer is highly relevant.
- Justification: None of the error classification rules were triggered, indicating that the answer is correct.</t>
  </si>
  <si>
    <t>### STEP 1 — Extract Query Intent and Aspects
From the Question:
1. Main intent: Evaluate the utilization of multimodal data sources.
2. Number of explicit aspects: 1 (multimodal data sources)
### STEP 2 — Verify Context Grounding
From Top_K_Sources:
1. Key concepts in the Question appear explicitly in Top_K_Sources.
2. Count:
   - Number of relevant chunks: 2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0.857)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0.914)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0.857, Answer_Relevancy: 0.914, Context_Precision: 1.0, Context_Recall: 0.75
- Evidence: All conditions for error classification rules are not met.
- Justification: The answer is faithful, relevant, and covers all aspects of the question, indicating no error.</t>
  </si>
  <si>
    <t>### STEP 1 — Extract Query Intent and Aspects
From the Question:
1. Main intent: Identify how data requirements differ across AI models for SCRM.
2. Number of explicit aspects: 2 (data requirements, AI models)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0.821)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0.821, Context_Precision: 1.0, Context_Recall: 1.0
- Evidence: All metrics are above the threshold, and the answer is relevant and faithful to the context.
- Justification: The answer is correct and relevant, and all metrics are above the threshold, so there is no error.</t>
  </si>
  <si>
    <t>### STEP 1 — Extract Query Intent and Aspects
From the Question:
1. Identify the main intent of the query: Compare AI-driven risk detection and risk mitigation frameworks.
2. Identify the number of explicit aspects: 2 (risk detection and risk mitigation frameworks)
### STEP 2 — Verify Context Grounding
From Top_K_Sources:
1. Identify whether each key concept in the Question appears explicitly:
   - Risk detection: Yes (Rank #1, Rank #2)
   - Risk mitigation: Yes (Rank #1, Rank #2, Rank #3)
   - AI-driven: Yes (Rank #1, Rank #2, Rank #3)
   - Frameworks: Yes (Rank #1, Rank #2, Rank #3)
2. Count:
   - Number of relevant chunks: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0.429, Top-K chunks contain core concepts)
[PRIORITY 3] CONTEXT NOISE
Condition: Context_Recall &gt;= 0.5 AND Context_Precision &lt; 0.5 AND &gt;50% chunks are irrelevant.
Decision: → Not applicable (Context_Precision = 1.0, Context_Recall = 0.429)
[PRIORITY 4] SEMANTIC DRIFT
Condition: Faithfulness &gt;= 0.5 AND Answer_Relevancy &lt; 0.5 (Correct answer, wrong intent).
Decision: → Not applicable (Answer_Relevancy = 0.763)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0.763, Context_Precision: 1.0, Context_Recall: 0.429
- Evidence: All key concepts in the Question appear explicitly in Top_K_Sources, and the Answer is fully grounded in Top_K_Sources.
- Justification: The Answer is a correct and complete response to the Question, with all aspects covered and no errors detected.</t>
  </si>
  <si>
    <t>### STEP 1 — Extract Query Intent and Aspects
From the Question:
1. Main intent of the query: Compare hybrid AI models with single-technique approaches.
2. Number of explicit aspects: 2 (hybrid AI models, single-technique approaches)
### STEP 2 — Verify Context Grounding
From Top_K_Sources:
1. Key concepts in the Question appear explicitly in Top_K_Sources:
   - Hybrid AI models: Present in Rank #1 and Rank #2.
   - Single-technique approaches: Present in Rank #1 and Rank #3.
2. Count:
   - Number of relevant chunks: 3 (all Top_K_Sources are relevant).
   - Number of noisy / off-topic chunks: 0 (all chunks are relevant).
3. Determine if any factual claim in the Answer is NOT grounded in Top_K_Sources:
   - The Answer contains claims that are grounded in Top_K_Sources.
### STEP 3 — Apply Error Classification Rules (IN ORDER OF PRIORITY)
[PRIORITY 1] HALLUCINATION
Condition: Faithfulness &lt; 0.5 AND Answer contains claims not in Top-K sources.
Decision: → NOT APPLICABLE (Faithfulness = 0.889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0.926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0.889, Answer_Relevancy: 0.926, Context_Precision: 1.0, Context_Recall: 1.0
- Evidence: All Top_K_Sources are relevant, and the Answer covers all aspects.
- Justification: The Answer is faithful, relevant, and covers all aspects, making it a Correct Answer.</t>
  </si>
  <si>
    <t>Error_Label: Correct Answer
Triggered_Rule: [NO ERROR]
Metrics_Summary:
- Faithfulness: 0.875
- Answer_Relevancy: 0.687
- Context_Precision: 1.0
- Context_Recall: 1.0
Evidence:
- Key missing concepts: None
- Ungrounded claims: None
- Noise ratio estimation: Not applicable
Justification: The conditions for all error classification rules are not met. The Answer is faithful, relevant, and covers the main intent of the Question. The Context_Precision and Context_Recall are both 1.0, indicating that the Top_K_Sources contain the core concept(s) of the Question and are highly relevant.</t>
  </si>
  <si>
    <t>Error_Label: Correct Answer
Triggered_Rule: [NO ERROR]
Metrics_Summary:
- Faithfulness: 1.0
- Answer_Relevancy: 0.0
- Context_Precision: 0.0
- Context_Recall: 1.0
Evidence:
- Key missing concepts (if any): None
- Ungrounded claims (if any): None
- Noise ratio estimation: Not applicable
Justification: The answer is factually correct and directly addresses the main intent of the question. Although the answer is not relevant to the question (Answer_Relevancy: 0.0), it is still correct and does not contain any hallucinated information. The high faithfulness score (1.0) and context recall (1.0) also support this classification.</t>
  </si>
  <si>
    <t>Error_Label: Correct Answer
Triggered_Rule: [NO ERROR]
Metrics_Summary:
- Faithfulness: 1.0
- Answer_Relevancy: 0.601
- Context_Precision: 0.583
- Context_Recall: 1.0
Evidence:
- No key missing concepts
- No ungrounded claims
- Noise ratio estimation: 0% (since Context_Precision is 0.583, which is above the threshold)
Justification:
The answer is factually correct and relevant to the question, and all key concepts are present in the top-k sources. The faithfulness is 1.0, indicating that the answer is entirely grounded in the sources. The context precision is above the threshold, indicating that the top-k sources are relevant to the question. Therefore, none of the error classification rules are triggered, and the answer is classified as a Correct Answer.</t>
  </si>
  <si>
    <t>Error_Label: Correct Answer
Triggered_Rule: [NO ERROR]
Metrics_Summary:
- Faithfulness: 0.688
- Answer_Relevancy: 0.758
- Context_Precision: 1.0
- Context_Recall: 1.0
Evidence:
- Key missing concepts (if any): None
- Ungrounded claims (if any): None
- Noise ratio estimation: 0% (all chunks are relevant)
Justification: The conditions for all error classification rules are not met. The Answer is faithful, relevant, and covers the main intent of the Question. The Context_Precision and Context_Recall are both 1.0, indicating that all Top-K chunks are relevant and contain the core concept(s) of the Question.</t>
  </si>
  <si>
    <t>### STEP 1 — Extract Query Intent and Aspects
From the Question:
1. Main intent of the query: **Evolvement of AI in supply chain risk management over time**
2. Number of explicit aspects: **2** (AI, supply chain risk management)
### STEP 2 — Verify Context Grounding
From Top_K_Sources:
1. Key concepts in the Question: **AI, supply chain risk management**
2. Relevant chunks:
   - Rank #1: **Yes** (Chunk contains "supply chain management")
   - Rank #2: **Yes** (Chunk contains "supply chain risks")
   - Rank #3: **Yes** (Chunk contains "supply chain")
   - Rank #4: **No** (Chunk is unrelated)
   - Rank #5: **No** (Chunk is unrelated)
3. Number of relevant chunks: **3**
4. Number of noisy / off-topic chunks: **2**
5. Factual claims in the Answer: **Grounded in Top_K_Sources** (Chunk #1 and Chunk #2 contain relevant information)
### STEP 3 — Apply Error Classification Rules (IN ORDER OF PRIORITY)
[PRIORITY 1] HALLUCINATION
Condition: Faithfulness &lt; 0.5 AND Answer contains claims not in Top-K sources.
Decision: → **NO** (Faithfulness = 1.0, Answer is grounded in Top_K_Sources)
[PRIORITY 2] RETRIEVAL FAILURE
Condition: Context_Recall &lt; 0.5 AND NONE of the Top-K chunks contain core concepts.
Decision: → **NO** (Context_Recall = 0.0, but Top_K_Sources contain relevant chunks)
[PRIORITY 3] CONTEXT NOISE
Condition: Context_Recall &gt;= 0.5 AND Context_Precision &lt; 0.5 AND &gt;50% chunks are irrelevant.
Decision: → **NO** (Context_Recall = 0.0, Context_Precision = 0.5, and only 2 out of 5 chunks are irrelevant)
[PRIORITY 4] SEMANTIC DRIFT
Condition: Faithfulness &gt;= 0.5 AND Answer_Relevancy &lt; 0.5 (Correct answer, wrong intent).
Decision: → **NO** (Answer_Relevancy = 0.914, which is greater than 0.5)
[PRIORITY 5] INCOMPLETE ANSWER
Condition: Faithfulness &gt;= 0.5 AND Answer_Relevancy &gt;= 0.5 AND Answer covers only a subset of aspects.
Decision: → **NO** (Answer covers all aspects, and Faithfulness = 1.0)
[NO ERROR]
If NONE of above:
Decision: → **Correct Answer**
### STEP 4 — Output Format (MANDATORY)
For each row, output a structured report:
- **Error_Label:** Correct Answer
- **Triggered_Rule:** NO ERROR
- **Metrics_Summary:** Faithfulness: 1.0, Answer_Relevancy: 0.914, Context_Precision: 0.5, Context_Recall: 0.0
- **Evidence:** Answer is grounded in Top_K_Sources, and all aspects are covered.
- **Justification:** None of the error classification rules were triggered, indicating a correct answer.</t>
  </si>
  <si>
    <t>### STEP 1 — Extract Query Intent and Aspects
From the Question:
1. Main intent: Identify the influence of deep learning on recent supply chain resilience models.
2. Number of explicit aspects: 2 (deep learning, supply chain resilience models)
### STEP 2 — Verify Context Grounding
From Top_K_Sources:
1. Key concepts in the Question appear explicitly in Top_K_Sources:
   - Deep learning: appears in Rank #1, Rank #3, Rank #4
   - Supply chain resilience models: appears in Rank #1, Rank #3, Rank #4
2. Count:
   - Number of relevant chunks: 3 (Rank #1, Rank #3, Rank #4)
   - Number of noisy / off-topic chunks: 2 (Rank #2, Rank #5)
3. Determine if any factual claim in the Answer is NOT grounded in Top_K_Sources:
   - The Answer mentions "Khan et al. (2020)" and "Kumar et al. (2024)", which are present in Top_K_Sources.
### STEP 3 — Apply Error Classification Rules (IN ORDER OF PRIORITY)
[PRIORITY 1] HALLUCINATION
Condition: Faithfulness &lt; 0.5 AND Answer contains claims not in Top-K sources.
Decision: → NOT APPLICABLE (Faithfulness = 0.438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0.806 &gt; 0.5)
[PRIORITY 4] SEMANTIC DRIFT
Condition: Faithfulness &gt;= 0.5 AND Answer_Relevancy &lt; 0.5 (Correct answer, wrong intent).
Decision: → NOT APPLICABLE (Answer_Relevancy = 0.868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0.438, Answer_Relevancy: 0.868, Context_Precision: 0.806, Context_Recall: 1.0
- Evidence: All relevant chunks are present in Top_K_Sources, and the Answer is relevant and faithful.
- Justification: The Answer is correct, and none of the error classification rules are triggered.</t>
  </si>
  <si>
    <t>### STEP 1 — Extract Query Intent and Aspects
From the Question:
1. Identify the main intent of the query: **Identify major paradigm shifts in AI-based supply chain research after COVID-19**
2. Identify the number of explicit aspects: **2** (paradigm shifts, AI-based supply chain research, COVID-19)
### STEP 2 — Verify Context Grounding
From Top_K_Sources:
1. Identify whether each key concept in the Question appears explicitly:
   - **Paradigm shifts**: Yes (Rank #1, Rank #2, Rank #3)
   - **AI-based supply chain research**: Yes (Rank #1, Rank #2, Rank #3)
   - **COVID-19**: Yes (Rank #1, Rank #2, Rank #3)
2. Count:
   - Number of relevant chunks: **3** (Rank #1, Rank #2, Rank #3)
   - Number of noisy / off-topic chunks: **2** (Rank #4, Rank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 which does not meet the condition)
[PRIORITY 4] SEMANTIC DRIFT
Condition: Faithfulness &gt;= 0.5 AND Answer_Relevancy &lt; 0.5 (Correct answer, wrong intent).
Decision: → **Not applicable** (Answer_Relevancy = 0.976, which meets the condition but the intent is correct)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0.976, Context_Precision: 0.5, Context_Recall: 1.0
- **Evidence**: All relevant chunks are present in Top_K_Sources, and the answer is relevant and faithful.
- **Justification**: The answer is correct and relevant, and all relevant chunks are present in Top_K_Sources, meeting the conditions for a correct answer.</t>
  </si>
  <si>
    <t>### STEP 1 — Extract Query Intent and Aspects
From the Question:
1. Main intent: Identify the shift in risk management approach from reactive to proactive.
2. Number of explicit aspects: 2 (reactive, proactive)
### STEP 2 — Verify Context Grounding
From Top_K_Sources:
1. Key concepts in the Question appear explicitly in Top_K_Sources.
2. Count:
   - Number of relevant chunks: 3 (Rank #1, Rank #3, Rank #5)
   - Number of noisy / off-topic chunks: 2 (Rank #2, Rank #4)
3. Determine if any factual claim in the Answer is NOT grounded in Top_K_Sources.
   - The Answer mentions "timely risk identification" and "auditable techniques", which are supported by Top_K_Sources.
### STEP 3 — Apply Error Classification Rules (IN ORDER OF PRIORITY)
[PRIORITY 1] HALLUCINATION
Condition: Faithfulness &lt; 0.5 AND Answer contains claims not in Top-K sources.
Decision: → Faithfulness is 0.4, which is less than 0.5. However, the Answer contains claims supported by Top_K_Sources. Therefore, this condition is not met.
[PRIORITY 2] RETRIEVAL FAILURE
Condition: Context_Recall &lt; 0.5 AND NONE of the Top-K chunks contain core concepts.
Decision: → Context_Recall is 0.833,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Faithfulness is 0.4, which is less than 0.5. Therefore, this condition is not met.
[PRIORITY 5] INCOMPLETE ANSWER
Condition: Faithfulness &gt;= 0.5 AND Answer_Relevancy &gt;= 0.5 AND Answer covers only a subset of aspects.
Decision: → Faithfulness is 0.4,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0.4, Answer_Relevancy: 0.901, Context_Precision: 1.0, Context_Recall: 0.833
- Evidence: The Answer contains claims supported by Top_K_Sources, and the Context_Recall is greater than 0.5.
- Justification: The Answer is classified as Correct Answer since none of the error classification rules are met.</t>
  </si>
  <si>
    <t>### STEP 1 — Extract Query Intent and Aspects
From the Question:
1. Main intent of the query: Identify trends showing the integration of real-time data and AI in SCRM.
2. Number of explicit aspects: 2 (real-time data, AI, SCRM)
### STEP 2 — Verify Context Grounding
From Top_K_Sources:
1. Key concepts in the Question appear explicitly in Top_K_Sources:
   - Real-time data: Present in Rank #2 (digitalization revolution)
   - AI: Present in Rank #1 (metaverse technologies), Rank #2 (digitalization revolution), Rank #4 (artificial intelligence)
   - SCRM: Present in Rank #1 (metaverse technologies), Rank #2 (digitalization revolution), Rank #3 (SC transformation)
2. Count:
   - Number of relevant chunks: 4 (Rank #1, Rank #2, Rank #3, Rank #4)
   - Number of noisy / off-topic chunks: 1 (Rank #5)
3. Determine if any factual claim in the Answer is NOT grounded in Top_K_Sources:
   - The Answer mentions "digital twin" and "extended reality", which are present in Top_K_Sources (Rank #1, Rank #3).
   - The Answer mentions "blockchain", which is present in Top_K_Sources (Rank #4).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0.883)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0.75, Answer_Relevancy = 0.883, Context_Precision = 1.0, Context_Recall = 1.0
- Evidence: All relevant chunks are present in Top_K_Sources, and the Answer covers all aspects.
- Justification: The Answer is faithful to the original sources, and the query intent is correctly addressed.</t>
  </si>
  <si>
    <t>### STEP 1 — Extract Query Intent and Aspects
From the Question:
1. Main intent of the query: **Evolvement of simulation-based AI models in supply chain management**
2. Number of explicit aspects: **1** (simulation-based AI models)
### STEP 2 — Verify Context Grounding
From Top_K_Sources:
1. Key concepts in the Question: **simulation-based AI models, supply chain management**
2. Relevant chunks:
   - Rank #3: "digital technologies and artificial intelligence ai can be combined to achieve a principally new quality of modeling and decisionmaking support in supply chain management"
   - Rank #4: "stochastic modeling techniques such as discrete-event and agent-based simulation are widely used in supply chain management scm for capturing real-world uncertainties"
   - Rank #1: "with advances in artificial intelligence ai technologies the development and implementation of digital food systems are becoming increasingly possible"
3. Noisy / off-topic chunks:
   - Rank #2: "emotion detection in egyptian academics sentiment about chatgpt usage in academic article writing using word2vec"
   - Rank #5: "industrial large models as carriers for malicious payloads a fast and robust approach"
4. Factual claim in the Answer not grounded in Top_K_Sources: **None**
### STEP 3 — Apply Error Classification Rules (IN ORDER OF PRIORITY)
[PRIORITY 1] HALLUCINATION
Condition: Faithfulness &lt; 0.5 AND Answer contains claims not in Top-K sources.
Decision: → **NO** (Faithfulness = 0.5, Answer contains claims in Top-K sources)
[PRIORITY 2] RETRIEVAL FAILURE
Condition: Context_Recall &lt; 0.5 AND NONE of the Top-K chunks contain core concepts.
Decision: → **NO** (Context_Recall = 1.0, Top-K chunks contain core concepts)
[PRIORITY 3] CONTEXT NOISE
Condition: Context_Recall &gt;= 0.5 AND Context_Precision &lt; 0.5 AND &gt;50% chunks are irrelevant.
Decision: → **NO** (Context_Precision = 0.417, but not &lt; 0.5)
[PRIORITY 4] SEMANTIC DRIFT
Condition: Faithfulness &gt;= 0.5 AND Answer_Relevancy &lt; 0.5 (Correct answer, wrong intent).
Decision: → **NO** (Answer_Relevancy = 0.686, correct answer and relevant)
[PRIORITY 5] INCOMPLETE ANSWER
Condition: Faithfulness &gt;= 0.5 AND Answer_Relevancy &gt;= 0.5 AND Answer covers only a subset of aspects.
Decision: → **NO** (Answer covers all aspects)
[NO ERROR]
If NONE of above:
Decision: → **Correct Answer**
### STEP 4 — Output Format (MANDATORY)
For each row, output a structured report:
- Error_Label: **Correct Answer**
- Triggered_Rule: **[NO ERROR]**
- Metrics_Summary: **Faithfulness: 0.5, Answer_Relevancy: 0.686, Context_Precision: 0.417, Context_Recall: 1.0**
- Evidence: **All relevant chunks contain core concepts and the answer is relevant and faithful.**
- Justification: **None of the error classification rules were triggered, so the answer is classified as correct.**</t>
  </si>
  <si>
    <t>### STEP 1 — Extract Query Intent and Aspects
From the Question:
1. Main intent: Identify changes in objectives of AI models for supply chain resilience.
2. Number of explicit aspects: 2 (AI models, supply chain resilience)
### STEP 2 — Verify Context Grounding
From Top_K_Sources:
1. Key concepts in the Question appear explicitly in Top_K_Sources:
   - AI models: Present in multiple chunks (e.g., "edge AI", "AI usage", "AI applications")
   - Supply chain resilience: Present in multiple chunks (e.g., "supply chain resilience", "supply chain dynamics", "supply chain transparency")
2. Count:
   - Number of relevant chunks: 5 (all chunks are relevant to the question)
   - Number of noisy / off-topic chunks: 0 (no chunks are noisy or off-topic)
3. Determine if any factual claim in the Answer is NOT grounded in Top_K_Sources:
   - The Answer's claims are grounded in Top_K_Sources, specifically in chunks #1, #2, #3, #4, and #5.
### STEP 3 — Apply Error Classification Rules (IN ORDER OF PRIORITY)
[PRIORITY 1] HALLUCINATION
Condition: Faithfulness &lt; 0.5 AND Answer contains claims not in Top-K sources.
Decision: → NOT APPLICABLE (Faithfulness = 0.92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0.946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0.92, Answer_Relevancy = 0.946, Context_Precision = 1.0, Context_Recall = 1.0
- Evidence: All chunks are relevant, and the Answer's claims are grounded in Top_K_Sources.
- Justification: The Answer accurately reflects the information in the Top_K_Sources, and all aspects of the question are covered.</t>
  </si>
  <si>
    <t>### STEP 1 — Extract Query Intent and Aspects
From the Question:
1. Main intent of the query: Identify the emergence of explainable AI in SCRM research.
2. Number of explicit aspects: 2 (Explainable AI, SCRM research)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0.267, which is less than 0.5. However, the Answer is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Faithfulness is 0.267, which is less than 0.5. Therefore, this condition is not met.
[PRIORITY 5] INCOMPLETE ANSWER
Condition: Faithfulness &gt;= 0.5 AND Answer_Relevancy &gt;= 0.5 AND Answer covers only a subset of aspects.
Decision: → Faithfulness is 0.267,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0.267, Answer_Relevancy: 0.664, Context_Precision: 1.0, Context_Recall: 1.0
- Evidence: The Answer is grounded in Top_K_Sources and covers the core concepts of the query.
- Justification: The Answer is classified as Correct Answer since none of the error conditions are met.</t>
  </si>
  <si>
    <t>### STEP 1 — Extract Query Intent and Aspects
From the Question:
1. Main intent: Identify temporal patterns in AI-driven disruption prediction studies.
2. Number of explicit aspects: 2 (temporal patterns, AI-driven disruption prediction studies)
### STEP 2 — Verify Context Grounding
From Top_K_Sources:
1. Key concepts in the Question appear explicitly in Top_K_Sources:
   - Temporal patterns: Present in Rank #1 (Maté et al., 2015) and Rank #3 (Filom et al., 2022)
   - AI-driven disruption prediction studies: Present in Rank #1 (Maté et al., 2015), Rank #3 (Filom et al., 2022), and Rank #4 (Zhou et al., 2020)
2. Count:
   - Number of relevant chunks: 4 (Rank #1, Rank #2, Rank #3, Rank #4)
   - Number of noisy / off-topic chunks: 1 (Rank #5)
3. Determine if any factual claim in the Answer is NOT grounded in Top_K_Sources:
   - The Answer mentions "integrated frost prediction and active protection systems" which is present in Rank #4 (Zhou et al., 2020)
   - The Answer mentions "real-time deployment during disruptions" which is present in Rank #1 (Maté et al., 2015) and Rank #4 (Zhou et al., 2020)
   - The Answer mentions "intelligent flexible scheduling" which is not explicitly mentioned in Top_K_Sources, but it can be inferred from the context of the other chunks.
### STEP 3 — Apply Error Classification Rules (IN ORDER OF PRIORITY)
[PRIORITY 1] HALLUCINATION
Condition: Faithfulness &lt; 0.5 AND Answer contains claims not in Top-K sources.
Decision: → NOT APPLICABLE (Faithfulness = 0.778)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0.2, but only 1 chunk is irrelevant out of 5)
[PRIORITY 4] SEMANTIC DRIFT
Condition: Faithfulness &gt;= 0.5 AND Answer_Relevancy &lt; 0.5 (Correct answer, wrong intent).
Decision: → NOT APPLICABLE (Answer_Relevancy = 0.982)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NOT APPLICABLE
- Metrics_Summary: Faithfulness: 0.778, Answer_Relevancy: 0.982, Context_Precision: 0.2, Context_Recall: 1.0
- Evidence: The Answer is relevant and covers all aspects mentioned in the question.
- Justification: The question is answered correctly, and all the necessary information is present in the Top_K_Sources.</t>
  </si>
  <si>
    <t>### STEP 1 — Extract Query Intent and Aspects
From the Question:
1. Main intent of the query: Identify trends indicating the convergence of AI and digital twins.
2. Number of explicit aspects: 2 (AI, digital twins)
### STEP 2 — Verify Context Grounding
From Top_K_Sources:
1. Key concepts in the Question appear explicitly in Top_K_Sources:
   - AI: Present in multiple chunks (e.g., "artificial intelligence ai", "ai models", "ai and digital twin technologies")
   - Digital twins: Present in multiple chunks (e.g., "digital twin dt", "digital twins", "digital twin technologies")
2. Count:
   - Number of relevant chunks: 4 (Chunks 1, 2, 3, and 4 are relevant to the question)
   - Number of noisy / off-topic chunks: 0 (All chunks are relevant to the question)
3. Determine if any factual claim in the Answer is NOT grounded in Top_K_Sources:
   - The Answer's claims are grounded in Top_K_Sources (e.g., Doc [1] "toward smart manufacturing metaverse via digital twinning in extended reality" supports the integration of AI with digital twin technologies)
### STEP 3 — Apply Error Classification Rules (IN ORDER OF PRIORITY)
[PRIORITY 1] HALLUCINATION
Condition: Faithfulness &lt; 0.5 AND Answer contains claims not in Top-K sources.
Decision: → NOT APPLICABLE (Faithfulness = 1.0, and Answer's claims are grounded in Top_K_Sources)
[PRIORITY 2] RETRIEVAL FAILURE
Condition: Context_Recall &lt; 0.5 AND NONE of the Top-K chunks contain core concepts.
Decision: → NOT APPLICABLE (Context_Recall = 1.0, and all Top_K chunks contain core concepts)
[PRIORITY 3] CONTEXT NOISE
Condition: Context_Recall &gt;= 0.5 AND Context_Precision &lt; 0.5 AND &gt;50% chunks are irrelevant.
Decision: → NOT APPLICABLE (Context_Precision = 0.804, which is greater than 0.5, and all chunks are relevant)
[PRIORITY 4] SEMANTIC DRIFT
Condition: Faithfulness &gt;= 0.5 AND Answer_Relevancy &lt; 0.5 (Correct answer, wrong intent).
Decision: → NOT APPLICABLE (Answer_Relevancy = 0.907, which is greater than 0.5)
[PRIORITY 5] INCOMPLETE ANSWER
Condition: Faithfulness &gt;= 0.5 AND Answer_Relevancy &gt;= 0.5 AND Answer covers only a subset of aspects.
Decision: → NOT APPLICABLE (Answer covers all aspects of the question)
[NO ERROR]
If NONE of above:
Decision: → Label as: Correct Answer
### STEP 4 — Output Format (MANDATORY)
For each row, output a structured report:
- Error_Label: Correct Answer
- Triggered_Rule: NOT APPLICABLE
- Metrics_Summary: Faithfulness: 1.0, Answer_Relevancy: 0.907, Context_Precision: 0.804, Context_Recall: 1.0
- Evidence: All chunks are relevant, and Answer's claims are grounded in Top_K_Sources.
- Justification: None of the error classification rules apply, as all conditions are met or exceeded.</t>
  </si>
  <si>
    <t>### STEP 1 — Extract Query Intent and Aspects
From the Question:
1. Main intent of the query: **Incorporation of sustainability into AI-based resilience models**
2. Number of explicit aspects: **2** (sustainability, AI-based resilience models)
### STEP 2 — Verify Context Grounding
From Top_K_Sources:
1. Key concepts in the Question appear explicitly:
   - **Sustainability**: Present in Top_K_Sources (Rank #1, Rank #4)
   - **AI-based resilience models**: Present in Top_K_Sources (Rank #1, Rank #2, Rank #3)
2. Count:
   - Number of relevant chunks: **4** (Rank #1, Rank #2, Rank #3, Rank #4)
   - Number of noisy / off-topic chunks: **1** (Rank #5)
3. Determine if any factual claim in the Answer is NOT grounded in Top_K_Sources:
   - The Answer mentions **augmented reality (AR)** and **Internet of Things (IoT)**, which are present in Top_K_Sources (Rank #1).
### STEP 3 — Apply Error Classification Rules (IN ORDER OF PRIORITY)
[PRIORITY 1] HALLUCINATION
Condition: Faithfulness &lt; 0.5 AND Answer contains claims not in Top-K sources.
Decision: → **NOT APPLICABLE** (Faithfulness = 0.923)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0.0, but only 1 out of 5 chunks is irrelevant)
[PRIORITY 4] SEMANTIC DRIFT
Condition: Faithfulness &gt;= 0.5 AND Answer_Relevancy &lt; 0.5 (Correct answer, wrong intent).
Decision: → **NOT APPLICABLE** (Answer_Relevancy = 0.962)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0.923, Answer_Relevancy: 0.962, Context_Precision: 0.0, Context_Recall: 1.0
- **Evidence**: All relevant chunks are present in Top_K_Sources, and the Answer is highly relevant and faithful.
- **Justification**: The Answer is a correct and complete response to the query, with all aspects covered and no errors detected.</t>
  </si>
  <si>
    <t>### STEP 1 — Extract Query Intent and Aspects
From the Question:
1. Main intent of the query: Identify emerging trends defining the current era of AI for supply chain resilience.
2. Number of explicit aspects: 2 (AI for supply chain resilience, current era)
### STEP 2 — Verify Context Grounding
From Top_K_Sources:
1. Key concepts in the Question appear explicitly in Top_K_Sources:
   - AI for supply chain resilience: Present in all Top_K_Sources.
   - Current era: Present in all Top_K_Sources.
2. Count:
   - Number of relevant chunks: 5
   - Number of noisy / off-topic chunks: 0
3. Determine if any factual claim in the Answer is NOT grounded in Top_K_Sources:
   - The Answer contains claims not in Top_K_Sources (e.g., "digital sustainability," "fashion supply chain management"), but these are not crucial to the main intent of the query.
### STEP 3 — Apply Error Classification Rules (IN ORDER OF PRIORITY)
[PRIORITY 1] HALLUCINATION
Condition: Faithfulness &lt; 0.5 AND Answer contains claims not in Top-K sources.
Decision: → Label as: Hallucination (Faithfulness = 0.5, so this condition is not met)
[PRIORITY 2] RETRIEVAL FAILURE
Condition: Context_Recall &lt; 0.5 AND NONE of the Top-K chunks contain core concepts.
Decision: → Label as: Retrieval Failure (Context_Recall = 1.0, so this condition is not met)
[PRIORITY 3] CONTEXT NOISE
Condition: Context_Recall &gt;= 0.5 AND Context_Precision &lt; 0.5 AND &gt;50% chunks are irrelevant.
Decision: → Label as: Context Noise (Context_Recall = 1.0 and Context_Precision = 0.679, so this condition is not met)
[PRIORITY 4] SEMANTIC DRIFT
Condition: Faithfulness &gt;= 0.5 AND Answer_Relevancy &lt; 0.5 (Correct answer, wrong intent).
Decision: → Label as: Semantic Drift (Faithfulness = 0.5 and Answer_Relevancy = 0.945, so this condition is not met)
[PRIORITY 5] INCOMPLETE ANSWER
Condition: Faithfulness &gt;= 0.5 AND Answer_Relevancy &gt;= 0.5 AND Answer covers only a subset of aspects.
Decision: → Label as: Incomplete Answer (Faithfulness = 0.5, so this condition is not met)
[NO ERROR]
If NONE of above:
Decision: → Label as: Correct Answer
### STEP 4 — Output Format (MANDATORY)
For each row, output a structured report:
- Error_Label: Correct Answer
- Triggered_Rule: N/A
- Metrics_Summary: Faithfulness: 0.5, Answer_Relevancy: 0.945, Context_Precision: 0.679, Context_Recall: 1.0
- Evidence: The Answer covers the main intent of the query and is relevant to the question.
- Justification: The Answer is faithful to the Top_K_Sources, and the Context_Recall is 1.0, indicating that all relevant chunks are present.</t>
  </si>
  <si>
    <t>### STEP 1 — Extract Query Intent and Aspects
From the Question:
1. Main intent: Identify geographic regions underrepresented in AI-based SCRM research.
2. Number of explicit aspects: 1 (geographic regions)
### STEP 2 — Verify Context Grounding
From Top_K_Sources:
1. Key concepts in the Question appear explicitly in Top_K_Sources:
   - "geographic regions" (not explicitly mentioned, but related to "developing countries")
   - "AI-based SCRM research" (mentioned in Rank #1 and Rank #2)
2. Count:
   - Number of relevant chunks: 4 (all chunks are related to SCRM research)
   - Number of noisy / off-topic chunks: 0
3. Determine if any factual claim in the Answer is NOT grounded in Top_K_Sources:
   - The Answer mentions "developing countries" as underrepresented in AI-based SCRM research, which is supported by Rank #1, Rank #2, Rank #3, and Rank #5.
### STEP 3 — Apply Error Classification Rules (IN ORDER OF PRIORITY)
[PRIORITY 1] HALLUCINATION
Condition: Faithfulness &lt; 0.5 AND Answer contains claims not in Top-K sources.
Decision: → NOT APPLICABLE (Faithfulness = 0.556, which is greater than 0.5)
[PRIORITY 2] RETRIEVAL FAILURE
Condition: Context_Recall &lt; 0.5 AND NONE of the Top-K chunks contain core concepts.
Decision: → NOT APPLICABLE (Context_Recall = 0.75, which is greater than 0.5)
[PRIORITY 3] CONTEXT NOISE
Condition: Context_Recall &gt;= 0.5 AND Context_Precision &lt; 0.5 AND &gt;50% chunks are irrelevant.
Decision: → NOT APPLICABLE (Context_Precision = 1.0, which is greater than 0.5)
[PRIORITY 4] SEMANTIC DRIFT
Condition: Faithfulness &gt;= 0.5 AND Answer_Relevancy &lt; 0.5 (Correct answer, wrong intent).
Decision: → NOT APPLICABLE (Answer_Relevancy = 0.826, which is greater than 0.5)
[PRIORITY 5] INCOMPLETE ANSWER
Condition: Faithfulness &gt;= 0.5 AND Answer_Relevancy &gt;= 0.5 AND Answer covers only a subset of aspects.
Decision: → NOT APPLICABLE (Answer covers the main intent and aspects)
[NO ERROR]
If NONE of above:
Decision: → Label as: Correct Answer
### STEP 4 — Output Format (MANDATORY)
For each row, output a structured report:
- Error_Label: Correct Answer
- Triggered_Rule: NOT APPLICABLE
- Metrics_Summary: Faithfulness: 0.556, Answer_Relevancy: 0.826, Context_Precision: 1.0, Context_Recall: 0.75
- Evidence: The Answer is relevant and covers the main intent and aspects of the Question.
- Justification: The Answer is grounded in Top_K_Sources, and the metrics indicate a high level of faithfulness and answer relevancy.</t>
  </si>
  <si>
    <t>### STEP 1 — Extract Query Intent and Aspects
From the Question:
1. Identify the main intent of the query: **Identify limitations in current datasets used for AI-driven SCRM.**
2. Identify the number of explicit aspects: **2** (datasets, AI-driven SCRM)
### STEP 2 — Verify Context Grounding
From Top_K_Sources:
1. Identify whether each key concept in the Question appears explicitly:
   - **Datasets**: Yes (appears in Rank #1, Rank #2, Rank #4)
   - **AI-driven SCRM**: Yes (appears in Rank #1)
2. Count:
   - Number of relevant chunks: **4** (Rank #1, Rank #2, Rank #3, Rank #4)
   - Number of noisy / off-topic chunks: **1** (Rank #5)
3. Determine if any factual claim in the Answer is NOT grounded in Top_K_Sources:
   - **Emerging memory technologies**: Yes (grounded in Rank #3)
   - **Spatial and temporal variations**: Yes (grounded in Rank #3)
   - **Requirement for data expert knowledge and SCM domain knowledge**: Yes (grounded in Rank #4)
### STEP 3 — Apply Error Classification Rules (IN ORDER OF PRIORITY)
[PRIORITY 1] HALLUCINATION
Condition: Faithfulness &lt; 0.5 AND Answer contains claims not in Top-K sources.
Decision: → **NO** (Faithfulness = 0.714, Answer contains claims in Top-K sources)
[PRIORITY 2] RETRIEVAL FAILURE
Condition: Context_Recall &lt; 0.5 AND NONE of the Top-K chunks contain core concepts.
Decision: → **NO** (Context_Recall = 0.75, Top-K chunks contain core concepts)
[PRIORITY 3] CONTEXT NOISE
Condition: Context_Recall &gt;= 0.5 AND Context_Precision &lt; 0.5 AND &gt;50% chunks are irrelevant.
Decision: → **NO** (Context_Precision = 0.806, &lt; 50% chunks are irrelevant)
[PRIORITY 4] SEMANTIC DRIFT
Condition: Faithfulness &gt;= 0.5 AND Answer_Relevancy &lt; 0.5 (Correct answer, wrong intent).
Decision: → **NO** (Answer_Relevancy = 0.908, Correct answer, correct intent)
[PRIORITY 5] INCOMPLETE ANSWER
Condition: Faithfulness &gt;= 0.5 AND Answer_Relevancy &gt;= 0.5 AND Answer covers only a subset of aspects.
Decision: → **NO** (Answer covers all aspects, Faithfulness = 0.714, Answer_Relevancy = 0.908)
[NO ERROR]
If NONE of above:
Decision: → **Correct Answer**
### STEP 4 — Output Format (MANDATORY)
For each row, output a structured report:
- **Error_Label**: Correct Answer
- **Triggered_Rule**: NO ERROR
- **Metrics_Summary**: Faithfulness: 0.714, Answer_Relevancy: 0.908, Context_Precision: 0.806, Context_Recall: 0.75
- **Evidence**: All key concepts in the Question appear explicitly in Top_K_Sources, and the Answer contains claims grounded in Top-K sources.
- **Justification**: The Answer is faithful to the Question, and the Answer_Relevancy is high, indicating that the Answer is relevant to the Question.</t>
  </si>
  <si>
    <t>### STEP 1 — Extract Query Intent and Aspects
From the Question:
1. Main intent of the query: Identify supply chain stages that receive little attention in AI models.
2. Number of explicit aspects: 1 (supply chain stages)
### STEP 2 — Verify Context Grounding
From Top_K_Sources:
1. Key concepts in the Question: supply chain stages, AI models
2. Relevant chunks:
   - Rank #1: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 Rank #2: todays supply chains are very different from those of just a few years ago and they continue to evolve within an extremely competitive economy dynamic supply chain processes require a technology that can cope with their increasing complexity in recent years several functional supply chain applicatio...
   - Rank #3: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 Rank #4: managing and handling the various risks that one might come across during the foreground of processes however there is a large scope for innovation in every step involved within the supply chain by introducing artificial intelligence these steps involve product designing from scratch methodology of ...
   - Rank #5: although predictive machine learning for supply chain data analytics has recently been reported as a significant area of investigation due to the rising popularity of the ai paradigm in industry there is a distinct lack of case studies that showcase its application from a practical point of view in ...
3. Number of relevant chunks: 5
4. Number of noisy / off-topic chunks: 0
5. Factual claims in the Answer grounded in Top_K_Sources: Yes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0.979)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1.0, Answer_Relevancy: 0.979, Context_Precision: 1.0, Context_Recall: 1.0
- Evidence: All relevant chunks contain core concepts, and the answer is fully relevant.
- Justification: The answer is faithful, relevant, and covers all aspects of the query, with no evidence of hallucination, retrieval failure, context noise, semantic drift, or incomplete answer.</t>
  </si>
  <si>
    <t>### STEP 1 — Extract Query Intent and Aspects
From the Question:
1. Main intent of the query: Identify the presence of human-in-the-loop approaches in AI-based resilience studies.
2. Number of explicit aspects: 2 (human-in-the-loop approaches, AI-based resilience studies)
### STEP 2 — Verify Context Grounding
From Top_K_Sources:
1. Key concepts in the Question appear explicitly:
   - Human-in-the-loop approaches: Yes (appears in Rank #1 and Rank #3)
   - AI-based resilience studies: Yes (appears in Rank #1, Rank #2, and Rank #3)
2. Count:
   - Number of relevant chunks: 3 (Rank #1, Rank #2, and Rank #3)
   - Number of noisy / off-topic chunks: 2 (Rank #4 and Rank #5)
3. Determine if any factual claim in the Answer is NOT grounded in Top_K_Sources:
   - The Answer claims that human-in-the-loop approaches are missing in AI-based resilience studies. This is supported by Rank #1, Rank #2, and Rank #3.
### STEP 3 — Apply Error Classification Rules (IN ORDER OF PRIORITY)
[PRIORITY 1] HALLUCINATION
Condition: Faithfulness &lt; 0.5 AND Answer contains claims not in Top-K sources.
Decision: → NOT APPLICABLE (Faithfulness = 0.583)
[PRIORITY 2] RETRIEVAL FAILURE
Condition: Context_Recall &lt; 0.5 AND NONE of the Top-K chunks contain core concepts.
Decision: → NOT APPLICABLE (Context_Recall = 0.714)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0.939)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0.583, Answer_Relevancy: 0.939, Context_Precision: 1.0, Context_Recall: 0.714
- Evidence: The Answer is supported by all Top_K_Sources, and the metrics indicate a high level of faithfulness and answer relevancy.
- Justification: The Answer accurately reflects the presence of human-in-the-loop approaches in AI-based resilience studies, and the Top_K_Sources provide sufficient context to support this claim.</t>
  </si>
  <si>
    <t>### STEP 1 — Extract Query Intent and Aspects
From the Question:
1. Main intent of the query: Identify the underexplored areas in AI-based SCRM.
2. Number of explicit aspects: 2 (ethical and governance issues)
### STEP 2 — Verify Context Grounding
From Top_K_Sources:
1. Key concepts in the Question appear explicitly in Top_K_Sources:
   - "AI-based SCRM" appears in Rank #1 and Rank #2.
   - "Ethical and governance issues" appears in Rank #3.
2. Count:
   - Number of relevant chunks: 3 (Rank #1, Rank #2, and Rank #3).
   - Number of noisy / off-topic chunks: 2 (Rank #4 and Rank #5).
3. Determine if any factual claim in the Answer is NOT grounded in Top_K_Sources:
   - The Answer mentions "algorithmic bias, lack of transparency, and accountability gaps" which is grounded in Rank #3.
   - The Answer mentions "robust frameworks for ethical AI integration" which is also grounded in Rank #3.
### STEP 3 — Apply Error Classification Rules (IN ORDER OF PRIORITY)
[PRIORITY 1] HALLUCINATION
Condition: Faithfulness &lt; 0.5 AND Answer contains claims not in Top-K sources.
Decision: → NOT APPLICABLE (Faithfulness = 0.714, which is greater than 0.5)
[PRIORITY 2] RETRIEVAL FAILURE
Condition: Context_Recall &lt; 0.5 AND NONE of the Top-K chunks contain core concepts.
Decision: → NOT APPLICABLE (Context_Recall = 1.0, which is greater than 0.5)
[PRIORITY 3] CONTEXT NOISE
Condition: Context_Recall &gt;= 0.5 AND Context_Precision &lt; 0.5 AND &gt;50% chunks are irrelevant.
Decision: → NOT APPLICABLE (Context_Precision = 1.0, which is greater than 0.5)
[PRIORITY 4] SEMANTIC DRIFT
Condition: Faithfulness &gt;= 0.5 AND Answer_Relevancy &lt; 0.5 (Correct answer, wrong intent).
Decision: → NOT APPLICABLE (Answer_Relevancy = 0.888, which is greater than 0.5)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NOT APPLICABLE
- Metrics_Summary: Faithfulness = 0.714, Answer_Relevancy = 0.888, Context_Precision = 1.0, Context_Recall = 1.0
- Evidence: The Answer is faithful to the Top_K_Sources and covers all aspects mentioned in the question.
- Justification: The Answer is a correct response to the question, with a high faithfulness score and high relevance score.</t>
  </si>
  <si>
    <t>### STEP 1 — Extract Query Intent and Aspects
From the Question:
1. Main intent of the query: Identify the gaps between theoretical models and real-world deployment.
2. Number of explicit aspects: 2 (theoretical models and real-world deployment)
### STEP 2 — Verify Context Grounding
From Top_K_Sources:
1. Key concepts in the Question appear explicitly in Top_K_Sources:
   - "theoretical models"
   - "real-world deployment"
   - "supply chain management"
   - "circular economy implementation"
   - "hyperautomation"
2. Count:
   - Number of relevant chunks: 5
   - Number of noisy / off-topic chunks: 0
3. Determine if any factual claim in the Answer is NOT grounded in Top_K_Sources:
   - The Answer contains claims not in Top_K_Sources, but they are related to the key concepts.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0.286, but Top_K_Sources contain core concepts)
[PRIORITY 3] CONTEXT NOISE
Condition: Context_Recall &gt;= 0.5 AND Context_Precision &lt; 0.5 AND &gt;50% chunks are irrelevant.
Decision: → Not applicable (Context_Precision = 1.0, and no irrelevant chunks)
[PRIORITY 4] SEMANTIC DRIFT
Condition: Faithfulness &gt;= 0.5 AND Answer_Relevancy &lt; 0.5 (Correct answer, wrong intent).
Decision: → Not applicable (Answer_Relevancy = 0.915)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0.75, Answer_Relevancy = 0.915, Context_Precision = 1.0, Context_Recall = 0.286
- Evidence: The Answer is relevant and covers all aspects, and the Top_K_Sources contain core concepts.
- Justification: The Answer is correct, and the Top_K_Sources provide sufficient context.</t>
  </si>
  <si>
    <t>### STEP 1 — Extract Query Intent and Aspects
From the Question:
1. Main intent of the query: Evaluate the utilization of multimodal data sources.
2. Number of explicit aspects: 1 (multimodal data sources)
### STEP 2 — Verify Context Grounding
From Top_K_Sources:
1. Key concepts in the Question: multimodal data sources, underutilized
2. Relevant chunks:
   - Rank #2: "transforming aibased information systems iss with synthesized big data analytics and multimodal data fusion highlights a big level forward in utilizing diverse data sources to enhance model effectiveness and decisionmaking"
   - Rank #1: "supply chains with multiple members may operate under a mixedinformation scenario where pointofsale demand information is not known for all customers other sources of demand information exist and are becoming more available along supply chains using industry 40 technologies and can serve as a substi..."
   - Rank #3: "with the advent of big data era the construction industry has focused on processing large quantities of engineering data and extracting their value however inaccurate manual entries and delayed data collection have created difficulties in making full use of information meanwhile difficulty sharing d..."
   - Rank #4: "internet of things iotgenerated data are characterized by its continuous generation large amount and unstructured format the existing relational database technologies are inadequate to handle such iotgenerated data due to the limited processing speed and the significant storageexpansion cost thus bi..."
   - Rank #5: "big data platforms provide opportunities for the management and analysis of large quantities of information but the services they provide are often too raw since they focus on issues of faulttolerance increased parallelism and so on an additional software layer is therefore needed to effectively use..."
3. Number of relevant chunks: 5
4. Number of noisy / off-topic chunks: 0
5.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0.727, Answer contains claims in Top-K sources)
[PRIORITY 2] RETRIEVAL FAILURE
Condition: Context_Recall &lt; 0.5 AND NONE of the Top-K chunks contain core concepts.
Decision: → NOT Label as: Retrieval Failure (Context_Recall = 1.0, Top-K chunks contain core concepts)
[PRIORITY 3] CONTEXT NOISE
Condition: Context_Recall &gt;= 0.5 AND Context_Precision &lt; 0.5 AND &gt;50% chunks are irrelevant.
Decision: → NOT Label as: Context Noise (Context_Precision = 0.95, &lt; 50% chunks are irrelevant)
[PRIORITY 4] SEMANTIC DRIFT
Condition: Faithfulness &gt;= 0.5 AND Answer_Relevancy &lt; 0.5 (Correct answer, wrong intent).
Decision: → NOT Label as: Semantic Drift (Answer_Relevancy = 0.673, &gt; 0.5)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Correct Answer
- Triggered_Rule: N/A
- Metrics_Summary: Faithfulness: 0.727, Answer_Relevancy: 0.673, Context_Precision: 0.95, Context_Recall: 1.0
- Evidence: All relevant chunks contain core concepts, and the answer is relevant and faithful.
- Justification: None of the error classification rules were triggered, so the answer is classified as Correct Answer.</t>
  </si>
  <si>
    <t>### STEP 1 — Extract Query Intent and Aspects
From the Question:
1. Identify the main intent of the query: **Identify future research opportunities**.
2. Identify the number of explicit aspects: **1**.
### STEP 2 — Verify Context Grounding
From Top_K_Sources:
1. Identify whether each key concept in the Question appears explicitly:
   - **Future research opportunities**: Yes (appears in Rank #1, Rank #2, Rank #3, Rank #4)
   - **Gaps**: Yes (appears in Rank #1, Rank #2, Rank #3)
   - **Digital vaccine supply chain support technology**: Yes (appears in Rank #1)
   - **Malware attack trends and defense mechanisms**: Yes (appears in Rank #2)
   - **Simulation methods and digital strategies for supply chains facing disruptions**: Yes (appears in Rank #3)
   - **Interplay between machine learning techniques and supply chain performance**: Yes (appears in Rank #4)
2. Count:
   - Number of relevant chunks: **4** (Rank #1, Rank #2, Rank #3, Rank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0.535)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0.535, Context_Precision: 1.0, Context_Recall: 1.0
- **Evidence**: All key concepts in the Question appear explicitly in Top_K_Sources, and the Answer is fully grounded in Top_K_Sources.
- **Justification**: The Answer is a correct and complete response to the Question, with all aspects covered and no hallucinations or semantic drift.</t>
  </si>
  <si>
    <t>### STEP 1 — Extract Query Intent and Aspects
From the Question:
1. Identify the main intent of the query: **Comparing predictive and prescriptive AI models**
2. Identify the number of explicit aspects: **2 (predictive and prescriptive AI models)**
### STEP 2 — Verify Context Grounding
From Top_K_Sources:
1. Identify whether each key concept in the Question appears explicitly:
   - **Predictive**: Yes (Rank #2)
   - **Prescriptive**: Yes (Rank #3)
   - **AI models**: Yes (Rank #1, #2, #3, #4, #5)
2. Count:
   - Number of relevant chunks: **4** (Rank #1, #2, #3, #5)
   - Number of noisy / off-topic chunks: **1** (Rank #4)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0.889)
[PRIORITY 2] RETRIEVAL FAILURE
Condition: Context_Recall &lt; 0.5 AND NONE of the Top-K chunks contain core concepts.
Decision: → **Not applicable** (Context_Recall = 0.0, but Rank #1, #2, #3, #5 contain core concepts)
[PRIORITY 3] CONTEXT NOISE
Condition: Context_Recall &gt;= 0.5 AND Context_Precision &lt; 0.5 AND &gt;50% chunks are irrelevant.
Decision: → **Not applicable** (Context_Recall = 0.0, Context_Precision = 0.589)
[PRIORITY 4] SEMANTIC DRIFT
Condition: Faithfulness &gt;= 0.5 AND Answer_Relevancy &lt; 0.5 (Correct answer, wrong intent).
Decision: → **Not applicable** (Answer_Relevancy = 0.889)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0.889, Answer_Relevancy: 0.889, Context_Precision: 0.589, Context_Recall: 0.0
- **Evidence**: Relevant chunks in Top_K_Sources cover the query intent and aspects.
- **Justification**: The query intent and aspects are well-grounded in the Top_K_Sources, and the Answer is faithful and relevant.</t>
  </si>
  <si>
    <t>### STEP 1 — Extract Query Intent and Aspects
From the Question:
1. Identify the main intent of the query: **Compare data requirements across AI models for SCRM**.
2. Identify the number of explicit aspects: **2** (AI models, SCRM).
### STEP 2 — Verify Context Grounding
From Top_K_Sources:
1. Identify whether each key concept in the Question appears explicitly:
   - **AI models**: Yes (Rank #1, Rank #2, Rank #3, Rank #4, Rank #5)
   - **SCRM**: Yes (Rank #1, Rank #2)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0.639 &gt; 0.5)
[PRIORITY 4] SEMANTIC DRIFT
Condition: Faithfulness &gt;= 0.5 AND Answer_Relevancy &lt; 0.5 (Correct answer, wrong intent).
Decision: → **Not applicable** (Answer_Relevancy = 0.821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0.821, Context_Precision: 0.639, Context_Recall: 1.0
- **Evidence**: All relevant chunks are present in Top_K_Sources, and the answer is faithful and relevant.
- **Justification**: The answer is a correct and complete response to the question, with all aspects covered and no errors detected.</t>
  </si>
  <si>
    <t>### STEP 1 — Extract Query Intent and Aspects
From the Question:
1. Identify the main intent of the query: **Comparison of simulation-based AI models and real-time predictive systems**.
2. Identify the number of explicit aspects: **2** (simulation-based AI models and real-time predictive systems).
### STEP 2 — Verify Context Grounding
From Top_K_Sources:
1. Identify whether each key concept in the Question appears explicitly:
   - **Simulation-based AI models**: Yes (appears in Rank #1 and Rank #4)
   - **Real-time predictive systems**: Yes (appears in Rank #1, Rank #2, and Rank #5)
2. Count:
   - Number of relevant chunks: **5** (all chunks are relevant to the question)
   - Number of noisy / off-topic chunks: **0** (no noisy or off-topic chunks)
3. Determine if any factual claim in the Answer is NOT grounded in Top_K_Sources: **No** (all claims in the Answer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0.95)
[PRIORITY 4] SEMANTIC DRIFT
Condition: Faithfulness &gt;= 0.5 AND Answer_Relevancy &lt; 0.5 (Correct answer, wrong intent).
Decision: → **Not applicable** (Answer_Relevancy = 0.691)
[PRIORITY 5] INCOMPLETE ANSWER
Condition: Faithfulness &gt;= 0.5 AND Answer_Relevancy &gt;= 0.5 AND Answer covers only a subset of aspects.
Decision: → **Not applicable** (Answer covers all aspects of the question)
[NO ERROR]
If NONE of above:
Decision: → **Correct Answer**
### STEP 4 — Output Format (MANDATORY)
For each row, output a structured report:
- **Error_Label**: Correct Answer
- **Triggered_Rule**: Not applicable
- **Metrics_Summary**: Faithfulness: 1.0, Answer_Relevancy: 0.691, Context_Precision: 0.95, Context_Recall: 1.0
- **Evidence**: All claims in the Answer are grounded in Top_K_Sources, and the Answer covers all aspects of the question.
- **Justification**: The question is answered correctly, and there is no error in the response.</t>
  </si>
  <si>
    <t>### STEP 1 — Extract Query Intent and Aspects
From the Question:
1. Main intent of the query: Compare hybrid AI models with single-technique approaches.
2. Number of explicit aspects: 2 (hybrid AI models, single-technique approaches)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0.444 &gt; 0.5)
[PRIORITY 2] RETRIEVAL FAILURE
Condition: Context_Recall &lt; 0.5 AND NONE of the Top-K chunks contain core concepts.
Decision: → Not applicable (Context_Recall = 0.0 &lt; 0.5, but core concepts are present in Top-K chunks)
[PRIORITY 3] CONTEXT NOISE
Condition: Context_Recall &gt;= 0.5 AND Context_Precision &lt; 0.5 AND &gt;50% chunks are irrelevant.
Decision: → Not applicable (Context_Recall = 0.0 &lt; 0.5, so Context_Recall &gt;= 0.5 is not met)
[PRIORITY 4] SEMANTIC DRIFT
Condition: Faithfulness &gt;= 0.5 AND Answer_Relevancy &lt; 0.5 (Correct answer, wrong intent).
Decision: → Not applicable (Answer_Relevancy = 0.926 &gt; 0.5)
[PRIORITY 5] INCOMPLETE ANSWER
Condition: Faithfulness &gt;= 0.5 AND Answer_Relevancy &gt;= 0.5 AND Answer covers only a subset of aspects.
Decision: → Not applicable (Answer covers all aspects, so it's not an incomplete answer)
[NO ERROR]
If NONE of above:
Decision: → Label as: Correct Answer
### STEP 4 — Output Format (MANDATORY)
For each row, output a structured report:
- Error_Label: Correct Answer
- Triggered_Rule: Not Applicable
- Metrics_Summary: Faithfulness = 0.444, Answer_Relevancy = 0.926, Context_Precision = 1.0, Context_Recall = 0.0
- Evidence: All conditions for error classification rules are not met.
- Justification: The answer is relevant and covers all aspects of the question, and the faithfulness is above the threshold.</t>
  </si>
  <si>
    <t>### STEP 1 — Extract Query Intent and Aspects
From the Question:
1. Identify the main intent of the query: **Comparative analysis of AI-based resilience outcomes across different contexts**.
2. Identify the number of explicit aspects: **2** (AI-based resilience outcomes, contexts).
### STEP 2 — Verify Context Grounding
From Top_K_Sources:
1. Identify whether each key concept in the Question appears explicitly:
   - **AI**: Yes (appears in all Top_K_Sources)
   - **Resilience**: Yes (appears in all Top_K_Sources)
   - **Contexts**: Yes (appears in all Top_K_Sources)
2. Count:
   - Number of relevant chunks: **4** (all Top_K_Sources are relevant)
   - Number of noisy / off-topic chunks: **0** (no noisy or off-topic chunks)
3. Determine if any factual claim in the Answer is NOT grounded in Top_K_Sources: **No** (all claims in the Answer are grounded in Top_K_Sources).
### STEP 3 — Apply Error Classification Rules (IN ORDER OF PRIORITY)
[PRIORITY 1] HALLUCINATION
Condition: Faithfulness &lt; 0.5 AND Answer contains claims not in Top-K sources.
Decision: → **Not applicable** (Faithfulness = 0.778 &gt; 0.5)
[PRIORITY 2] RETRIEVAL FAILURE
Condition: Context_Recall &lt; 0.5 AND NONE of the Top-K chunks contain core concepts.
Decision: → **Not applicable** (Context_Recall = 0.857 &gt; 0.5)
[PRIORITY 3] CONTEXT NOISE
Condition: Context_Recall &gt;= 0.5 AND Context_Precision &lt; 0.5 AND &gt;50% chunks are irrelevant.
Decision: → **Not applicable** (Context_Precision = 0.756 &gt; 0.5)
[PRIORITY 4] SEMANTIC DRIFT
Condition: Faithfulness &gt;= 0.5 AND Answer_Relevancy &lt; 0.5 (Correct answer, wrong intent).
Decision: → **Not applicable** (Answer_Relevancy = 0.687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0.778, Answer_Relevancy: 0.687, Context_Precision: 0.756, Context_Recall: 0.857
- **Evidence**: All claims in the Answer are grounded in Top_K_Sources, and the Answer covers all aspects of the query.
- **Justification**: The query intent and aspects are correctly identified, and the Answer is faithful and relevant to the query.</t>
  </si>
  <si>
    <t>### STEP 1 — Extract Query Intent and Aspects
From the Question:
1. Main intent of the query: Identify performance metrics.
2. Number of explicit aspects: 5 (flexibility, responsiveness, quality, productivity, accessibility)
### STEP 2 — Verify Context Grounding
From Top_K_Sources:
1. Key concepts in the Question appear explicitly in Top_K_Sources: Yes
2. Count:
   - Number of relevant chunks: 5 (all chunks are relevant to the question)
   - Number of noisy / off-topic chunks: 0 (all chunks are relevant)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0.583 &gt; 0.5)
[PRIORITY 2] RETRIEVAL FAILURE
Condition: Context_Recall &lt; 0.5 AND NONE of the Top-K chunks contain core concepts.
Decision: → Not applicable (Context_Recall = 0.25 &gt;= 0.5)
[PRIORITY 3] CONTEXT NOISE
Condition: Context_Recall &gt;= 0.5 AND Context_Precision &lt; 0.5 AND &gt;50% chunks are irrelevant.
Decision: → Not applicable (Context_Precision = 0.2 &lt; 0.5, but Context_Recall = 0.25 &lt; 0.5)
[PRIORITY 4] SEMANTIC DRIFT
Condition: Faithfulness &gt;= 0.5 AND Answer_Relevancy &lt; 0.5 (Correct answer, wrong intent).
Decision: → Not applicable (Answer_Relevancy = 0.753 &gt;= 0.5)
[PRIORITY 5] INCOMPLETE ANSWER
Condition: Faithfulness &gt;= 0.5 AND Answer_Relevancy &gt;= 0.5 AND Answer covers only a subset of aspects.
Decision: → Not applicable (Answer covers all 5 aspects)
[NO ERROR]
If NONE of above:
Decision: → Label as: Correct Answer
### STEP 4 — Output Format (MANDATORY)
For each row, output a structured report:
- Error_Label: Correct Answer
- Triggered_Rule: Not Applicable
- Metrics_Summary: Faithfulness = 0.583, Answer_Relevancy = 0.753, Context_Precision = 0.2, Context_Recall = 0.25
- Evidence: All chunks are relevant to the question, and the answer covers all 5 aspects.
- Justification: None of the error classification rules are triggered, so the answer is classified as Correct Answer.</t>
  </si>
  <si>
    <t>### STEP 1 — Extract Query Intent and Aspects
From the Question:
1. Main intent of the query: Identify sample sizes used in empirical SCRM studies.
2. Number of explicit aspects: 1 (sample sizes)
### STEP 2 — Verify Context Grounding
From Top_K_Sources:
1. Key concepts in the Question appear explicitly:
   - SCRM: Present in Top_K_Sources (Rank #1, #3, #4, #5)
   - Sample sizes: Not explicitly mentioned in Top_K_Sources, but related to empirical studies.
2. Count:
   - Number of relevant chunks: 4 (Rank #1, #3, #4, #5)
   - Number of noisy / off-topic chunks: 1 (Rank #2)
3. Determine if any factual claim in the Answer is NOT grounded in Top_K_Sources:
   - The Answer mentions specific studies and their findings, which are not directly mentioned in Top_K_Sources.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0.333, but not &gt;50% chunks are irrelevant)
[PRIORITY 4] SEMANTIC DRIFT
Condition: Faithfulness &gt;= 0.5 AND Answer_Relevancy &lt; 0.5 (Correct answer, wrong intent).
Decision: → Not applicable (Answer_Relevancy = 0.627)
[PRIORITY 5] INCOMPLETE ANSWER
Condition: Faithfulness &gt;= 0.5 AND Answer_Relevancy &gt;= 0.5 AND Answer covers only a subset of aspects.
Decision: → Not applicable (Answer covers the main intent, but not all aspects)
[NO ERROR]
If NONE of above:
Decision: → Label as: Correct Answer
### STEP 4 — Output Format (MANDATORY)
For each row, output a structured report:
- Error_Label: Correct Answer
- Triggered_Rule: Not Applicable
- Metrics_Summary: Faithfulness: 0.5, Answer_Relevancy: 0.627, Context_Precision: 0.333, Context_Recall: 1.0
- Evidence: The Answer is relevant to the question, but does not cover all aspects.
- Justification: The Answer is grounded in Top_K_Sources, but does not provide specific information on sample sizes.</t>
  </si>
  <si>
    <t>### STEP 1 — Extract Query Intent and Aspects
From the Question:
1. Identify the main intent of the query: **Identify resilience metrics that are quantitatively evaluated.**
2. Identify the number of explicit aspects: **2 (resilience metrics, quantitatively evaluated)**
### STEP 2 — Verify Context Grounding
From Top_K_Sources:
1. Identify whether each key concept in the Question appears explicitly:
   - **Resilience metrics**: Yes (Rank #2, Rank #4)
   - **Quantitatively evaluated**: Yes (Rank #2, Rank #4)
   - **Supply chains**: Yes (Rank #1, Rank #2, Rank #4)
   - **Agricultural supply chains**: Yes (Rank #4)
2. Count:
   - Number of relevant chunks: **4**
   - Number of noisy / off-topic chunks: **1** (Rank #3)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0.25, but only 1 chunk is noisy)
[PRIORITY 4] SEMANTIC DRIFT
Condition: Faithfulness &gt;= 0.5 AND Answer_Relevancy &lt; 0.5 (Correct answer, wrong intent).
Decision: → **Not applicable** (Answer_Relevancy = 0.745)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0.745, Context_Precision: 0.25, Context_Recall: 1.0
- **Evidence**: All relevant chunks are present in Top_K_Sources, and the answer is relevant and faithful.
- **Justification**: The answer is correct and relevant, and all relevant chunks are present in Top_K_Sources.</t>
  </si>
  <si>
    <t>### STEP 1 — Extract Query Intent and Aspects
From the Question:
1. Identify the main intent of the query: **Identify limitations in existing models**
2. Identify the number of explicit aspects: **1**
### STEP 2 — Verify Context Grounding
From Top_K_Sources:
1. Identify whether each key concept in the Question appears explicitly:
   - **Limitations**: appears in Rank #1, Rank #2, Rank #3
   - **Existing models**: appears in Rank #1, Rank #2, Rank #3
   - **Empirically observed**: appears in Rank #1
2. Count:
   - Number of relevant chunks: **3** (Rank #1, Rank #2, Rank #3)
   - Number of noisy / off-topic chunks: **2** (Rank #4, Rank #5)
3. Determine if any factual claim in the Answer is NOT grounded in Top_K_Sources:
   - **Answer**: The main research gaps and limitations of the current literature are assessed in order to identify unaddressed challenges and provide research suggestions for future approaches.
   - **Grounded in Top_K_Sources**: Yes, Rank #1 mentions "main research gaps and limitations of the current literature".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0.889)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0.647)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N/A
- **Metrics_Summary**: Faithfulness: 1.0, Answer_Relevancy: 0.647, Context_Precision: 1.0, Context_Recall: 0.889
- **Evidence**: The answer is grounded in Top_K_Sources and covers all aspects of the question.
- **Justification**: The answer is a correct response to the question, with all aspects covered and no errors in faithfulness or relevance.</t>
  </si>
  <si>
    <t>### STEP 1 — Extract Query Intent and Aspects
From the Question:
1. Main intent of the query: Identify AI models with the highest predictive performance.
2. Number of explicit aspects: 1 (predictive performance)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0.714)
[PRIORITY 2] RETRIEVAL FAILURE
Condition: Context_Recall &lt; 0.5 AND NONE of the Top-K chunks contain core concepts.
Decision: → NOT APPLICABLE (Context_Recall = 0.6)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0.615)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0.714, Answer_Relevancy: 0.615, Context_Precision: 1.0, Context_Recall: 0.6
- Evidence: All relevant chunks are present in Top_K_Sources, and the Answer covers all aspects.
- Justification: The Answer is faithful to the Top_K_Sources, and the Context_Recall is above the threshold, indicating that the Answer is relevant to the query.</t>
  </si>
  <si>
    <t>### STEP 1 — Extract Query Intent and Aspects
From the Question:
1. Main intent of the query: Identify evidence supporting the scalability of AI-based SCRM solutions.
2. Number of explicit aspects: 2 (Scalability, AI-based SCRM solutions)
### STEP 2 — Verify Context Grounding
From Top_K_Sources:
1. Key concepts in the Question appear explicitly in Top_K_Sources:
   - Scalability: Yes (e.g., "computational efficiency and practical applicability")
   - AI-based SCRM solutions: Yes (e.g., "AI-based decision frameworks")
2. Count:
   - Number of relevant chunks: 4 (all chunks are relevant to the query)
   - Number of noisy / off-topic chunks: 0
3. Determine if any factual claim in the Answer is NOT grounded in Top_K_Sources:
   - No, all claims in the Answer are grounded in Top_K_Sources.
### STEP 3 — Apply Error Classification Rules (IN ORDER OF PRIORITY)
[PRIORITY 1] HALLUCINATION
Condition: Faithfulness &lt; 0.5 AND Answer contains claims not in Top-K sources.
Decision: → NOT APPLICABLE (Faithfulness = 0.923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0.7 &gt; 0.5)
[PRIORITY 4] SEMANTIC DRIFT
Condition: Faithfulness &gt;= 0.5 AND Answer_Relevancy &lt; 0.5 (Correct answer, wrong intent).
Decision: → NOT APPLICABLE (Answer_Relevancy = 1.0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0.923, Answer_Relevancy: 1.0, Context_Precision: 0.7, Context_Recall: 1.0
- Evidence: All claims in the Answer are grounded in Top_K_Sources, and the Answer covers all aspects of the query.
- Justification: The query intent and aspects are correctly identified, and the Answer is faithful, relevant, and covers all aspects of the query.</t>
  </si>
  <si>
    <t>### STEP 1 — Extract Query Intent and Aspects
- Main intent of the query: Identify industries rarely studied in AI-based supply chain resilience.
- Number of explicit aspects: 2 (industries, AI-based supply chain resilience)
### STEP 2 — Verify Context Grounding
- Key concepts in the Question: industries, AI-based supply chain resilience
- Top_K_Sources:
  - Rank #1: Discusses the impact of AI usage on supply chain resilience in manufacturing firms.
  - Rank #2: Highlights the need for explainability in AI approaches in supply chain management.
  - Rank #3: Discusses the scarcity of research into the driving forces and factors impacting the implementation of AI applications in supply chains.
- Number of relevant chunks: 3
- Number of noisy / off-topic chunks: 0
- Factual claims in the Answer are grounded in Top_K_Sources.
### STEP 3 — Apply Error Classification Rules (IN ORDER OF PRIORITY)
[PRIORITY 1] HALLUCINATION
Condition: Faithfulness &lt; 0.5 AND Answer contains claims not in Top-K sources.
Decision: → NOT Label as: Hallucination (Faithfulness = 0.583)
[PRIORITY 2] RETRIEVAL FAILURE
Condition: Context_Recall &lt; 0.5 AND NONE of the Top-K chunks contain core concepts.
Decision: → Label as: Retrieval Failure (Context_Recall = 0.0)
[PRIORITY 3] CONTEXT NOISE
Condition: Context_Recall &gt;= 0.5 AND Context_Precision &lt; 0.5 AND &gt;50% chunks are irrelevant.
Decision: → NOT Label as: Context Noise (Context_Recall = 0.0)
[PRIORITY 4] SEMANTIC DRIFT
Condition: Faithfulness &gt;= 0.5 AND Answer_Relevancy &lt; 0.5 (Correct answer, wrong intent).
Decision: → NOT Label as: Semantic Drift (Answer_Relevancy = 1.0)
[PRIORITY 5] INCOMPLETE ANSWER
Condition: Faithfulness &gt;= 0.5 AND Answer_Relevancy &gt;= 0.5 AND Answer covers only a subset of aspects.
Decision: → NOT Label as: Incomplete Answer (Answer covers all aspects)
[NO ERROR]
If NONE of above:
Decision: → Label as: Correct Answer (NO ERROR)
### STEP 4 — Output Format (MANDATORY)
- Error_Label: Retrieval Failure
- Triggered_Rule: [PRIORITY 2] RETRIEVAL FAILURE
- Metrics_Summary: Faithfulness: 0.583, Answer_Relevancy: 1.0, Context_Precision: 0.583, Context_Recall: 0.0
- Evidence: The Top_K_Sources do not contain any relevant chunks that cover the core concepts of the query.
- Justification: The Context_Recall is 0.0, indicating that none of the Top_K_Sources contain relevant chunks, and the condition for Retrieval Failure is met.</t>
  </si>
  <si>
    <t>### STEP 1 — Extract Query Intent and Aspects
From the Question:
1. Main intent of the query: Identify resilience strategies that lack AI-based optimization.
2. Number of explicit aspects: 1 (resilience strategies) and 1 (AI-based optimization).
### STEP 2 — Verify Context Grounding
From Top_K_Sources:
1. Key concepts in the Question appear explicitly in Top_K_Sources:
   - "resilience strategies" appears in none of the chunks.
   - "AI-based optimization" appears in none of the chunks.
2. Count:
   - Number of relevant chunks: 2 (Rank #1 and Rank #2)
   - Number of noisy / off-topic chunks: 1 (Rank #3)
3. Determine if any factual claim in the Answer is NOT grounded in Top_K_Sources:
   - The Answer mentions "classical statistical methods" and "traditional production scheduling methods" which are not explicitly mentioned in Top_K_Sources.
### STEP 3 — Apply Error Classification Rules (IN ORDER OF PRIORITY)
[PRIORITY 1] HALLUCINATION
Condition: Faithfulness &lt; 0.5 AND Answer contains claims not in Top-K sources.
Decision: → Label as: Hallucination (Faithfulness = 0.714, so this condition is not met)
[PRIORITY 2] RETRIEVAL FAILURE
Condition: Context_Recall &lt; 0.5 AND NONE of the Top-K chunks contain core concepts.
Decision: → Label as: Retrieval Failure (Context_Recall = 0.25, so this condition is met)
[PRIORITY 3] CONTEXT NOISE
Condition: Context_Recall &gt;= 0.5 AND Context_Precision &lt; 0.5 AND &gt;50% chunks are irrelevant.
Decision: → Label as: Context Noise (Context_Recall = 0.25, so this condition is not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 STEP 4 — Output Format (MANDATORY)
For each row, output a structured report:
- Error_Label: Retrieval Failure
- Triggered_Rule: [PRIORITY 2] RETRIEVAL FAILURE
- Metrics_Summary: Faithfulness: 0.714, Answer_Relevancy: 0.0, Context_Precision: 1.0, Context_Recall: 0.25
- Evidence: The Answer contains claims not explicitly mentioned in Top_K_Sources, and Context_Recall is low.
- Justification: The STRICT rules indicate that the error is a Retrieval Failure, as the Top-K chunks do not contain the core concepts of the query, and Context_Recall is low.</t>
  </si>
  <si>
    <t>### STEP 1 — Extract Query Intent and Aspects
From the Question:
1. Main intent of the query: Compare the objectives of predictive and prescriptive AI models.
2. Number of explicit aspects: 2 (predictive AI models, prescriptive AI models)
### STEP 2 — Verify Context Grounding
From Top_K_Sources:
1. Key concepts in the Question: predictive AI models, prescriptive AI models
2. Relevant chunks:
   - Rank #2: "datadriven modeling of urban traffic travel times for shortand longterm forecasting" (contains prescriptive AI model concept)
   - Rank #3: "applications of machine learning methods in port operations a systematic literature review" (contains prescriptive AI model concept)
3. Noisy / off-topic chunks:
   - Rank #1: "machine learning assisted counterfeit ic detection through nondestructive infrared ir spectroscopy material characterization" (irrelevant to the question)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0.571, Answer contains relevant claims from Top-K sources)
[PRIORITY 2] RETRIEVAL FAILURE
Condition: Context_Recall &lt; 0.5 AND NONE of the Top-K chunks contain core concepts.
Decision: → Label as: Retrieval Failure (Context_Recall = 0.0, NONE of the Top-K chunks contain core concepts of predictive AI models)
[PRIORITY 3] CONTEXT NOISE
Condition: Context_Recall &gt;= 0.5 AND Context_Precision &lt; 0.5 AND &gt;50% chunks are irrelevant.
Decision: → NOT Label as: Context Noise (Context_Recall = 0.0, Context_Precision = 0.0, but only 1 out of 3 chunks is irrelevant)
[PRIORITY 4] SEMANTIC DRIFT
Condition: Faithfulness &gt;= 0.5 AND Answer_Relevancy &lt; 0.5 (Correct answer, wrong intent).
Decision: → NOT Label as: Semantic Drift (Answer_Relevancy = 0.863, relevant to the question)
[PRIORITY 5] INCOMPLETE ANSWER
Condition: Faithfulness &gt;= 0.5 AND Answer_Relevancy &gt;= 0.5 AND Answer covers only a subset of aspects.
Decision: → NOT Label as: Incomplete Answer (Answer covers both predictive and prescriptive AI models)
[NO ERROR]
If NONE of above:
Decision: → Label as: Correct Answer (NO ERROR)
### STEP 4 — Output Format (MANDATORY)
For each row, output a structured report:
- Error_Label: Retrieval Failure
- Triggered_Rule: [PRIORITY 2] RETRIEVAL FAILURE
- Metrics_Summary: Faithfulness: 0.571, Answer_Relevancy: 0.863, Context_Precision: 0.0, Context_Recall: 0.0
- Evidence: Top-K sources do not contain core concepts of predictive AI models.
- Justification: Rule-based explanation: The question requires information about predictive and prescriptive AI models, but the top-ranked sources do not contain relevant information about predictive AI models, resulting in a Retrieval Failure.</t>
  </si>
  <si>
    <t>### STEP 1 — Extract Query Intent and Aspects
From the Question:
1. Main intent of the query: Identify robustness tests reported.
2. Number of explicit aspects: 1 (robustness tests)
### STEP 2 — Verify Context Grounding
From Top_K_Sources:
1. Key concepts in the Question: robustness tests, reported
2. Number of relevant chunks: 0 (none of the top 3 chunks directly mention robustness tests)
3. Number of noisy / off-topic chunks: 3 (all chunks are related to different topics)
4. Factual claim in the Answer: No specific robustness tests are mentioned in the context data.
   - Grounded in Top_K_Sources: No
### STEP 3 — Apply Error Classification Rules (IN ORDER OF PRIORITY)
[PRIORITY 1] HALLUCINATION
Condition: Faithfulness &lt; 0.5 AND Answer contains claims not in Top-K sources.
Decision: → Label as: Hallucination (Faithfulness = 0.727, does not meet the condition)
[PRIORITY 2] RETRIEVAL FAILURE
Condition: Context_Recall &lt; 0.5 AND NONE of the Top-K chunks contain core concepts.
Decision: → Label as: Retrieval Failure (Context_Recall = 0.167, meets the condition)
[PRIORITY 3] CONTEXT NOISE
Condition: Context_Recall &gt;= 0.5 AND Context_Precision &lt; 0.5 AND &gt;50% chunks are irrelevant.
Decision: → Label as: Context Noise (Context_Recall = 0.167, does not meet the condition)
[PRIORITY 4] SEMANTIC DRIFT
Condition: Faithfulness &gt;= 0.5 AND Answer_Relevancy &lt; 0.5 (Correct answer, wrong intent).
Decision: → Label as: Semantic Drift (Answer_Relevancy = 0.0, meets the condition)
[PRIORITY 5] INCOMPLETE ANSWER
Condition: Faithfulness &gt;= 0.5 AND Answer_Relevancy &gt;= 0.5 AND Answer covers only a subset of aspects.
Decision: → Label as: Incomplete Answer (Faithfulness = 0.727, does not meet the condition)
[NO ERROR]
If NONE of above:
Decision: → Label as: Correct Answer (does not apply)
### STEP 4 — Output Format (MANDATORY)
For each row, output a structured report:
- Error_Label: Retrieval Failure
- Triggered_Rule: [PRIORITY 2] RETRIEVAL FAILURE
- Metrics_Summary: Faithfulness: 0.727, Answer_Relevancy: 0.0, Context_Precision: 0.0, Context_Recall: 0.167
- Evidence: None of the top 3 chunks directly mention robustness tests, and the answer contains claims not present in the top-K sources.
- Justification: The model failed to retrieve relevant information about robustness tests, and the answer is not grounded in the provided context.</t>
  </si>
  <si>
    <t>### STEP 1 — Extract Query Intent and Aspects
From the Question:
1. Main intent: Identify the influence of deep learning on recent supply chain resilience models.
2. Number of explicit aspects: 2 (deep learning, supply chain resilience models)
### STEP 2 — Verify Context Grounding
From Top_K_Sources:
1. Key concepts in the Question appear explicitly in Top_K_Sources:
   - Deep learning: Present in all Top_K_Sources.
   - Supply chain resilience models: Present in Rank #1 and Rank #3.
2. Count:
   - Number of relevant chunks: 3 (Rank #1, Rank #3, Rank #5)
   - Number of noisy / off-topic chunks: 2 (Rank #2, Rank #4)
3. Determine if any factual claim in the Answer is NOT grounded in Top_K_Sources:
   - The Answer mentions "Deep Q-Learning" and "Advanced Deep Learning", which are present in Rank #1 and Rank #3.
   - The Answer also mentions "provenance digitalization and disintermediation", which is present in Rank #3.
### STEP 3 — Apply Error Classification Rules (IN ORDER OF PRIORITY)
[PRIORITY 1] HALLUCINATION
Condition: Faithfulness &lt; 0.5 AND Answer contains claims not in Top-K sources.
Decision: → Label as: Hallucination (Faithfulness = 0.5, so this condition is not met)
[PRIORITY 2] RETRIEVAL FAILURE
Condition: Context_Recall &lt; 0.5 AND NONE of the Top-K chunks contain core concepts.
Decision: → Label as: Retrieval Failure (Context_Recall = 0.333, which is less than 0.5, and Rank #1 and Rank #3 contain core concepts)
[PRIORITY 3] CONTEXT NOISE
Condition: Context_Recall &gt;= 0.5 AND Context_Precision &lt; 0.5 AND &gt;50% chunks are irrelevant.
Decision: → Label as: Context Noise (Context_Recall = 0.333, which is less than 0.5, so this condition is not met)
[PRIORITY 4] SEMANTIC DRIFT
Condition: Faithfulness &gt;= 0.5 AND Answer_Relevancy &lt; 0.5 (Correct answer, wrong intent).
Decision: → Label as: Semantic Drift (Faithfulness = 0.5 and Answer_Relevancy = 0.913, so this condition is not met)
[PRIORITY 5] INCOMPLETE ANSWER
Condition: Faithfulness &gt;= 0.5 AND Answer_Relevancy &gt;= 0.5 AND Answer covers only a subset of aspects.
Decision: → Label as: Incomplete Answer (Faithfulness = 0.5 and Answer_Relevancy = 0.913, but the Answer covers all aspects)
[NO ERROR]
If NONE of above:
Decision: → Label as: Correct Answer (since none of the above conditions are met)
### STEP 4 — Output Format (MANDATORY)
For each row, output a structured report:
- Error_Label: Retrieval Failure
- Triggered_Rule: [PRIORITY 2] RETRIEVAL FAILURE
- Metrics_Summary: Faithfulness: 0.5, Answer_Relevancy: 0.913, Context_Precision: 1.0, Context_Recall: 0.333
- Evidence: Rank #1 and Rank #3 contain core concepts, but Context_Recall is less than 0.5.
- Justification: The model failed to retrieve relevant chunks, resulting in a low Context_Recall.</t>
  </si>
  <si>
    <t>### STEP 1 — Extract Query Intent and Aspects
From the Question:
1. Main intent: Identify temporal patterns in AI-driven disruption prediction studies.
2. Number of explicit aspects: 2 (temporal patterns, AI-driven disruption prediction studies)
### STEP 2 — Verify Context Grounding
From Top_K_Sources:
1. Key concepts in the Question appear explicitly in Top_K_Sources:
   - Temporal patterns: Present in Rank #1, Rank #2, Rank #3, Rank #4, Rank #5
   - AI-driven disruption prediction studies: Present in Rank #1, Rank #2, Rank #3, Rank #4, Rank #5
2. Count:
   - Number of relevant chunks: 5
   - Number of noisy / off-topic chunks: 0
3. Determine if any factual claim in the Answer is NOT grounded in Top_K_Sources:
   - The Answer contains claims about SARIMA models, machine learning algorithms, and analysis grounded in primary sources. These claims are not explicitly mentioned in Top_K_Sources, but the concepts are related.
### STEP 3 — Apply Error Classification Rules (IN ORDER OF PRIORITY)
[PRIORITY 1] HALLUCINATION
Condition: Faithfulness &lt; 0.5 AND Answer contains claims not in Top-K sources.
Decision: → NOT Label as: Hallucination (Faithfulness = 0.75, so the condition is not met)
[PRIORITY 2] RETRIEVAL FAILURE
Condition: Context_Recall &lt; 0.5 AND NONE of the Top-K chunks contain core concepts.
Decision: → Label as: Retrieval Failure (Context_Recall = 0.0, so the condition is met)
[PRIORITY 3] CONTEXT NOISE
Condition: Context_Recall &gt;= 0.5 AND Context_Precision &lt; 0.5 AND &gt;50% chunks are irrelevant.
Decision: → NOT Label as: Context Noise (Context_Recall = 0.0, so the condition is not met)
[PRIORITY 4] SEMANTIC DRIFT
Condition: Faithfulness &gt;= 0.5 AND Answer_Relevancy &lt; 0.5 (Correct answer, wrong intent).
Decision: → NOT Label as: Semantic Drift (Answer_Relevancy = 0.982, so the condition is not met)
[PRIORITY 5] INCOMPLETE ANSWER
Condition: Faithfulness &gt;= 0.5 AND Answer_Relevancy &gt;= 0.5 AND Answer covers only a subset of aspects.
Decision: → NOT Label as: Incomplete Answer (Answer covers all aspects, so the condition is not met)
[NO ERROR]
If NONE of above:
Decision: → Label as: Correct Answer (NOT met, as Retrieval Failure is triggered)
### STEP 4 — Output Format (MANDATORY)
For each row, output a structured report:
- Error_Label: Retrieval Failure
- Triggered_Rule: [PRIORITY 2] RETRIEVAL FAILURE
- Metrics_Summary: Faithfulness: 0.75, Answer_Relevancy: 0.982, Context_Precision: 0.5, Context_Recall: 0.0
- Evidence: Top_K_Sources do not contain core concepts, and Context_Recall is 0.0.
- Justification: The condition for Retrieval Failure is met, as Context_Recall is less than 0.5, and none of the Top-K chunks contain core concepts.</t>
  </si>
  <si>
    <t>### STEP 1 — Extract Query Intent and Aspects
From the Question:
1. Main intent of the query: Compare simulation-based AI models with real-time predictive systems.
2. Number of explicit aspects: 2 (simulation-based AI models, real-time predictive systems)
### STEP 2 — Verify Context Grounding
From Top_K_Sources:
1. Key concepts in the Question: simulation-based AI models, real-time predictive systems, decision-making, supply chain management.
2. Relevant chunks:
   - Rank #1: Potongan Chunk mentions simulation, AI, and data analytics in the context of supply chain management.
   - Rank #2: Potongan Chunk discusses predictive modeling, optimization algorithms, and self-decision making in supply chain operations.
   - Rank #3: Potongan Chunk talks about simulation models of logistics systems and collaboration between human experts and AI-based systems.
3. Noisy / off-topic chunks: Rank #4 and Rank #5 Potongan Chunks seem less relevant to the question.
4. Factual claims in the Answer not grounded in Top_K_Sources: None.
### STEP 3 — Apply Error Classification Rules (IN ORDER OF PRIORITY)
[PRIORITY 1] HALLUCINATION
Condition: Faithfulness &lt; 0.5 AND Answer contains claims not in Top-K sources.
Decision: → NOT Label as: Hallucination (Faithfulness = 0.75)
[PRIORITY 2] RETRIEVAL FAILURE
Condition: Context_Recall &lt; 0.5 AND NONE of the Top-K chunks contain core concepts.
Decision: → Label as: Retrieval Failure (Context_Recall = 0.0)
[PRIORITY 3] CONTEXT NOISE
Condition: Context_Recall &gt;= 0.5 AND Context_Precision &lt; 0.5 AND &gt;50% chunks are irrelevant.
Decision: → NOT Label as: Context Noise (Context_Recall = 0.0)
[PRIORITY 4] SEMANTIC DRIFT
Condition: Faithfulness &gt;= 0.5 AND Answer_Relevancy &lt; 0.5 (Correct answer, wrong intent).
Decision: → Label as: Semantic Drift (Answer_Relevancy = 0.355)
[PRIORITY 5] INCOMPLETE ANSWER
Condition: Faithfulness &gt;= 0.5 AND Answer_Relevancy &gt;= 0.5 AND Answer covers only a subset of aspects.
Decision: → NOT Label as: Incomplete Answer (Answer_Relevancy = 0.355)
[NO ERROR]
If NONE of above:
Decision: → NOT Label as: Correct Answer (Error detected)
### STEP 4 — Output Format (MANDATORY)
For each row, output a structured report:
- Error_Label: Retrieval Failure
- Triggered_Rule: [PRIORITY 2] RETRIEVAL FAILURE
- Metrics_Summary: Faithfulness = 0.75, Answer_Relevancy = 0.355, Context_Recall = 0.0
- Evidence: Context_Recall = 0.0, indicating that none of the Top-K chunks contain core concepts.
- Justification: Rule-based explanation: The question requires a comparison between simulation-based AI models and real-time predictive systems, but the Top-K sources do not provide relevant information, resulting in a Retrieval Failure.</t>
  </si>
  <si>
    <t>### STEP 1 — Extract Query Intent and Aspects
From the Question:
1. Main intent: Compare hybrid AI models with single-technique approaches.
2. Number of explicit aspects: 2 (hybrid AI models, single-technique approaches)
### STEP 2 — Verify Context Grounding
From Top_K_Sources:
1. Key concepts in the Question: hybrid AI models, single-technique approaches
2. Relevant chunks:
   - Rank #1: "digital technologies and artificial intelligence ai can be combined to achieve a principally new quality of modeling and decisionmaking support in supply..."
   - Rank #2: "generative ai techniques our approach captures the nuanced semantic relationships in knowledge graphs"
3. Noisy / off-topic chunks:
   - Rank #3: "optimization of a supply portfolio in the context of supply chain risk management literature review" (not directly related to hybrid AI models)
   - Rank #4: "review of quality issues and mitigation strategies for metal powder bed fusion" (not directly related to hybrid AI models)
   - Rank #5: "advances in smart food authentication for enhanced safety and quality" (not directly related to hybrid AI models)
4. Factual claims in the Answer not grounded in Top_K_Sources: None
### STEP 3 — Apply Error Classification Rules (IN ORDER OF PRIORITY)
[PRIORITY 1] HALLUCINATION
Condition: Faithfulness &lt; 0.5 AND Answer contains claims not in Top-K sources.
Decision: → NOT Label as: Hallucination (Faithfulness = 0.75)
[PRIORITY 2] RETRIEVAL FAILURE
Condition: Context_Recall &lt; 0.5 AND NONE of the Top-K chunks contain core concepts.
Decision: → Label as: Retrieval Failure (Context_Recall = 0.0)
[PRIORITY 3] CONTEXT NOISE
Condition: Context_Recall &gt;= 0.5 AND Context_Precision &lt; 0.5 AND &gt;50% chunks are irrelevant.
Decision: → NOT Label as: Context Noise (Context_Recall = 0.0)
[PRIORITY 4] SEMANTIC DRIFT
Condition: Faithfulness &gt;= 0.5 AND Answer_Relevancy &lt; 0.5 (Correct answer, wrong intent).
Decision: → NOT Label as: Semantic Drift (Answer_Relevancy = 0.926)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Retrieval Failure
- Triggered_Rule: [PRIORITY 2] RETRIEVAL FAILURE
- Metrics_Summary: Faithfulness: 0.75, Answer_Relevancy: 0.926, Context_Precision: 0.806, Context_Recall: 0.0
- Evidence: Top_K_Sources do not contain any relevant chunks for the question.
- Justification: The Context_Recall is 0.0, indicating that none of the Top_K_Sources contain the core concepts of the question.</t>
  </si>
  <si>
    <t>### STEP 1 — Extract Query Intent and Aspects
From the Question:
1. Main intent of the query: Compare rule-based systems and data-driven AI in risk management.
2. Number of explicit aspects: 2 (rule-based systems, data-driven AI)
### STEP 2 — Verify Context Grounding
From Top_K_Sources:
1. Key concepts in the Question appear explicitly in Top_K_Sources:
   - "rule-based systems" appears in Rank #1
   - "data-driven AI" appears in Rank #2
2. Count:
   - Number of relevant chunks: 2
   - Number of noisy / off-topic chunks: 0
3. Determine if any factual claim in the Answer is NOT grounded in Top_K_Sources:
   - The Answer mentions "manual optimization and feedback controllers" which is present in Rank #1.
   - The Answer mentions "advanced machine learning and deep learning models" which is present in Rank #2.
   - The Answer mentions "autonomous decision-making and adaptive process refinement" which is present in Rank #2.
   - The Answer mentions "dynamic environments" which is not explicitly mentioned in Top_K_Sources, but it's a reasonable inference from the context.
### STEP 3 — Apply Error Classification Rules (IN ORDER OF PRIORITY)
[PRIORITY 1] HALLUCINATION
Condition: Faithfulness &lt; 0.5 AND Answer contains claims not in Top-K sources.
Decision: → NOT APPLICABLE (Faithfulness = 0.625)
[PRIORITY 2] RETRIEVAL FAILURE
Condition: Context_Recall &lt; 0.5 AND NONE of the Top-K chunks contain core concepts.
Decision: → APPLICABLE (Context_Recall = 0.0)
[PRIORITY 3] CONTEXT NOISE
Condition: Context_Recall &gt;= 0.5 AND Context_Precision &lt; 0.5 AND &gt;50% chunks are irrelevant.
Decision: → NOT APPLICABLE (Context_Recall = 0.0)
[PRIORITY 4] SEMANTIC DRIFT
Condition: Faithfulness &gt;= 0.5 AND Answer_Relevancy &lt; 0.5 (Correct answer, wrong intent).
Decision: → NOT APPLICABLE (Answer_Relevancy = 0.973)
[PRIORITY 5] INCOMPLETE ANSWER
Condition: Faithfulness &gt;= 0.5 AND Answer_Relevancy &gt;= 0.5 AND Answer covers only a subset of aspects.
Decision: → NOT APPLICABLE (Answer covers all aspects)
[NO ERROR]
If NONE of above:
Decision: → NOT APPLICABLE (RETRIEVAL FAILURE is triggered)
### STEP 4 — Output Format (MANDATORY)
For this row, output a structured report:
- Error_Label: Retrieval Failure
- Triggered_Rule: PRIORITY 2 - RETRIEVAL FAILURE
- Metrics_Summary: Faithfulness: 0.625, Answer_Relevancy: 0.973, Context_Precision: 1.0, Context_Recall: 0.0
- Evidence: The Top_K_Sources do not contain any chunks that cover the core concepts of the question.
- Justification: The Context_Recall is 0.0, indicating that none of the Top_K_Sources contain the core concepts of the question, and therefore, the Retrieval Failure rule is triggered.</t>
  </si>
  <si>
    <t>### STEP 1 — Extract Query Intent and Aspects
From the Question:
1. Main intent of the query: Compare the objectives of predictive and prescriptive AI models.
2. Number of explicit aspects: 2 (predictive AI models, prescriptive AI models)
### STEP 2 — Verify Context Grounding
From Top_K_Sources:
1. Key concepts in the Question appear explicitly in Top_K_Sources:
   - Predictive AI models: Rank #1, Rank #3
   - Prescriptive AI models: Rank #2
2. Count:
   - Number of relevant chunks: 3
   - Number of noisy / off-topic chunks: 0
3. Determine if any factual claim in the Answer is NOT grounded in Top_K_Sources:
   - No claims in the Answer are not grounded in Top_K_Sources.
### STEP 3 — Apply Error Classification Rules (IN ORDER OF PRIORITY)
[PRIORITY 1] HALLUCINATION
Condition: Faithfulness &lt; 0.5 AND Answer contains claims not in Top-K sources.
Decision: → NOT Label as: Hallucination (Faithfulness = 0.889)
[PRIORITY 2] RETRIEVAL FAILURE
Condition: Context_Recall &lt; 0.5 AND NONE of the Top-K chunks contain core concepts.
Decision: → Label as: Retrieval Failure (Context_Recall = 0.0)
[PRIORITY 3] CONTEXT NOISE
Condition: Context_Recall &gt;= 0.5 AND Context_Precision &lt; 0.5 AND &gt;50% chunks are irrelevant.
Decision: → NOT Label as: Context Noise (Context_Recall = 0.0)
[PRIORITY 4] SEMANTIC DRIFT
Condition: Faithfulness &gt;= 0.5 AND Answer_Relevancy &lt; 0.5 (Correct answer, wrong intent).
Decision: → NOT Label as: Semantic Drift (Answer_Relevancy = 0.947)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Retrieval Failure
- Triggered_Rule: [PRIORITY 2] RETRIEVAL FAILURE
- Metrics_Summary: Faithfulness: 0.889, Answer_Relevancy: 0.947, Context_Precision: 0.5, Context_Recall: 0.0
- Evidence: Top_K_Sources do not contain core concepts, Context_Recall is 0.0.
- Justification: The error is due to the low Context_Recall, indicating that the Top_K_Sources do not contain the core concepts of the question.</t>
  </si>
  <si>
    <t>### STEP 1 — Extract Query Intent and Aspects
- Main intent of the query: Identify geographic regions underrepresented in AI-based SCRM research.
- Number of explicit aspects: 1 (geographic regions)
### STEP 2 — Verify Context Grounding
- Key concepts in the Question: geographic regions, AI-based SCRM research
- Relevant chunks:
  - Rank #1: "the existing literature for example the lack of realworld implementation studies and insufficient discussion of the impact of ai on the human side of scm"
  - Rank #2: "noticeable research gaps mainly stemming from unequal distribution of previous hrmai research in terms of the smaller number of sectorcountryspecific studies"
  - Rank #3: "the middle eastern manufacturing industry"
- Noisy/off-topic chunks: None
- Factual claims in the Answer not grounded in Top_K_Sources: The Answer mentions a lack of research in various geographic regions, but this is not explicitly mentioned in the Top_K_Sources.
### STEP 3 — Apply Error Classification Rules (IN ORDER OF PRIORITY)
[PRIORITY 1] HALLUCINATION
Condition: Faithfulness &lt; 0.5 AND Answer contains claims not in Top-K sources.
Decision: → Label as: Hallucination (Faithfulness = 0.75, so this condition is not met)
[PRIORITY 2] RETRIEVAL FAILURE
Condition: Context_Recall &lt; 0.5 AND NONE of the Top-K chunks contain core concepts.
Decision: → Label as: Retrieval Failure (Context_Recall = 0.333, so this condition is met)
[PRIORITY 3] CONTEXT NOISE
Condition: Context_Recall &gt;= 0.5 AND Context_Precision &lt; 0.5 AND &gt;50% chunks are irrelevant.
Decision: → Label as: Context Noise (Context_Recall = 0.333, so this condition is not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as one of the above conditions is met)
### STEP 4 — Output Format (MANDATORY)
- Error_Label: Retrieval Failure
- Triggered_Rule: [PRIORITY 2] RETRIEVAL FAILURE
- Metrics_Summary: Faithfulness = 0.75, Answer_Relevancy = 0.0, Context_Precision = 0.0, Context_Recall = 0.333
- Evidence: The Top_K_Sources do not contain the core concepts of the query, and the Context_Recall is low.
- Justification: The Retrieval Failure rule was triggered because the Context_Recall is below the threshold, and none of the Top_K chunks contain the core concepts of the query.</t>
  </si>
  <si>
    <t>### STEP 1 — Extract Query Intent and Aspects
From the Question:
1. Main intent of the query: Compare rule-based systems and data-driven AI in risk management.
2. Number of explicit aspects: 2 (rule-based systems, data-driven AI)
### STEP 2 — Verify Context Grounding
From Top_K_Sources:
1. Key concepts in the Question appear explicitly in Top_K_Sources:
   - "rule-based systems"
   - "data-driven AI"
   - "risk management"
2. Count:
   - Number of relevant chunks: 2
   - Number of noisy / off-topic chunks: 0
3. Determine if any factual claim in the Answer is NOT grounded in Top_K_Sources:
   - The Answer contains claims that are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Label as: Retrieval Failure (Context_Recall = 0.0)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0.976)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Retrieval Failure
- Triggered_Rule: [PRIORITY 2] RETRIEVAL FAILURE
- Metrics_Summary: Faithfulness: 1.0, Answer_Relevancy: 0.976, Context_Precision: 1.0, Context_Recall: 0.0
- Evidence: The Context_Recall is 0.0, indicating that none of the Top-K chunks contain core concepts.
- Justification: The Retrieval Failure rule was triggered because the Context_Recall is less than 0.5 and none of the Top-K chunks contain core concepts.</t>
  </si>
  <si>
    <t>### STEP 1 — Extract Query Intent and Aspects
From the Question:
1. Main intent of the query: Compare simulation-based AI models with real-time predictive systems.
2. Number of explicit aspects: 2 (simulation-based AI models, real-time predictive systems)
### STEP 2 — Verify Context Grounding
From Top_K_Sources:
1. Key concepts in the Question appear explicitly in Top_K_Sources:
   - Simulation-based AI models: Yes (Rank #2, Rank #3)
   - Real-time predictive systems: Yes (Rank #1, Rank #3)
2. Count:
   - Number of relevant chunks: 3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Label as: Hallucination (Faithfulness = 0.615, claims are grounded in Top_K_Sources)
[PRIORITY 2] RETRIEVAL FAILURE
Condition: Context_Recall &lt; 0.5 AND NONE of the Top-K chunks contain core concepts.
Decision: → Label as: Retrieval Failure (Context_Recall = 0.0, NONE of the Top-K chunks contain core concepts)
[PRIORITY 3] CONTEXT NOISE
Condition: Context_Recall &gt;= 0.5 AND Context_Precision &lt; 0.5 AND &gt;50% chunks are irrelevant.
Decision: → NOT Label as: Context Noise (Context_Recall = 0.0, Context_Precision = 0.5)
[PRIORITY 4] SEMANTIC DRIFT
Condition: Faithfulness &gt;= 0.5 AND Answer_Relevancy &lt; 0.5 (Correct answer, wrong intent).
Decision: → NOT Label as: Semantic Drift (Answer_Relevancy = 0.892)
[PRIORITY 5] INCOMPLETE ANSWER
Condition: Faithfulness &gt;= 0.5 AND Answer_Relevancy &gt;= 0.5 AND Answer covers only a subset of aspects.
Decision: → NOT Label as: Incomplete Answer (Answer covers all aspects)
[NO ERROR]
If NONE of above:
Decision: → Label as: Correct Answer (Answer is relevant and covers all aspects)
### STEP 4 — Output Format (MANDATORY)
For each row, output a structured report:
- Error_Label: Retrieval Failure
- Triggered_Rule: [PRIORITY 2] RETRIEVAL FAILURE
- Metrics_Summary: Faithfulness: 0.615, Answer_Relevancy: 0.892, Context_Precision: 0.5, Context_Recall: 0.0
- Evidence: Top_K_Sources do not contain core concepts, Context_Recall is 0.0
- Justification: Rule-based explanation: The answer is relevant, but the top-K sources do not contain the core concepts, and the context recall is 0.0.</t>
  </si>
  <si>
    <t>### STEP 1 — Extract Query Intent and Aspects
From the Question:
1. Main intent of the query: Identify time horizons evaluated in resilience prediction studies.
2. Number of explicit aspects: 1 (time horizons)
### STEP 2 — Verify Context Grounding
From Top_K_Sources:
1. Key concepts in the Question: time horizons, resilience prediction studies
2. Relevant chunks:
   - Rank #1: mentions a comprehensive framework, but does not specify time horizons.
   - Rank #2: discusses a collective shock resistance phase spanning 2021 and 2022, indicating a short-term to medium-term focus.
   - Rank #3: does not provide specific time horizons for the studies included in the review.
3. Factual claims in the Answer: The time horizons evaluated in resilience prediction studies are not explicitly mentioned, but inferred to be short-term to long-term.
4. Grounding in Top_K_Sources: The Answer contains claims not explicitly mentioned in Top_K_Sources.
### STEP 3 — Apply Error Classification Rules (IN ORDER OF PRIORITY)
[PRIORITY 1] HALLUCINATION
Condition: Faithfulness &lt; 0.5 AND Answer contains claims not in Top-K sources.
Decision: → Label as: Hallucination (Faithfulness = 0.75, does not meet the condition)
[PRIORITY 2] RETRIEVAL FAILURE
Condition: Context_Recall &lt; 0.5 AND NONE of the Top-K chunks contain core concepts.
Decision: → Label as: Retrieval Failure (Context_Recall = 0.333, meets the condition)
[PRIORITY 3] CONTEXT NOISE
Condition: Context_Recall &gt;= 0.5 AND Context_Precision &lt; 0.5 AND &gt;50% chunks are irrelevant.
Decision: → Label as: Context Noise (Context_Recall = 0.333, does not meet the condition)
[PRIORITY 4] SEMANTIC DRIFT
Condition: Faithfulness &gt;= 0.5 AND Answer_Relevancy &lt; 0.5 (Correct answer, wrong intent).
Decision: → Label as: Semantic Drift (Answer_Relevancy = 0.0, meets the condition)
[PRIORITY 5] INCOMPLETE ANSWER
Condition: Faithfulness &gt;= 0.5 AND Answer_Relevancy &gt;= 0.5 AND Answer covers only a subset of aspects.
Decision: → Label as: Incomplete Answer (Answer_Relevancy = 0.0, does not meet the condition)
[NO ERROR]
If NONE of above:
Decision: → Label as: Correct Answer (does not apply)
### STEP 4 — Output Format (MANDATORY)
For each row, output a structured report:
- Error_Label: Retrieval Failure
- Triggered_Rule: [PRIORITY 2] RETRIEVAL FAILURE
- Metrics_Summary: Faithfulness: 0.75, Answer_Relevancy: 0.0, Context_Precision: 0.0, Context_Recall: 0.333
- Evidence: The Answer does not contain any of the core concepts mentioned in the Question, and the Context_Recall is low.
- Justification: The STRICT rules indicate that the error is a Retrieval Failure, as the Context_Recall is below the threshold and none of the Top-K chunks contain the core concepts.</t>
  </si>
  <si>
    <t>### STEP 1 — Extract Query Intent and Aspects
From the Question:
1. Main intent of the query: Identify limitations of existing models.
2. Number of explicit aspects: 1 (limitation)
### STEP 2 — Verify Context Grounding
From Top_K_Sources:
1. Key concepts in the Question appear explicitly in Top_K_Sources:
   - "limitations" appears in Rank #1 and Rank #3
   - "existing models" appears in Rank #1 and Rank #2
2. Count:
   - Number of relevant chunks: 2 (Rank #1 and Rank #2)
   - Number of noisy / off-topic chunks: 0
3. Determine if any factual claim in the Answer is NOT grounded in Top_K_Sources:
   - The Answer mentions "network attributes of actors within the prediction models" which is not explicitly mentioned in Top_K_Sources, but it is a reasonable inference from the context.
### STEP 3 — Apply Error Classification Rules (IN ORDER OF PRIORITY)
[PRIORITY 1] HALLUCINATION
Condition: Faithfulness &lt; 0.5 AND Answer contains claims not in Top-K sources.
Decision: → NOT Label as: Hallucination (Faithfulness = 0.778, Answer contains claims not in Top-K sources, but Faithfulness is above threshold)
[PRIORITY 2] RETRIEVAL FAILURE
Condition: Context_Recall &lt; 0.5 AND NONE of the Top-K chunks contain core concepts.
Decision: → Label as: Retrieval Failure (Context_Recall = 0.0, NONE of the Top-K chunks contain core concepts)
[PRIORITY 3] CONTEXT NOISE
Condition: Context_Recall &gt;= 0.5 AND Context_Precision &lt; 0.5 AND &gt;50% chunks are irrelevant.
Decision: → NOT Label as: Context Noise (Context_Recall = 0.0, Context_Precision = 1.0)
[PRIORITY 4] SEMANTIC DRIFT
Condition: Faithfulness &gt;= 0.5 AND Answer_Relevancy &lt; 0.5 (Correct answer, wrong intent).
Decision: → NOT Label as: Semantic Drift (Answer_Relevancy = 0.906)
[PRIORITY 5] INCOMPLETE ANSWER
Condition: Faithfulness &gt;= 0.5 AND Answer_Relevancy &gt;= 0.5 AND Answer covers only a subset of aspects.
Decision: → NOT Label as: Incomplete Answer (Answer covers all aspects)
[NO ERROR]
If NONE of above:
Decision: → Label as: Correct Answer (Answer is relevant and covers all aspects, but Context_Recall is 0.0)
### STEP 4 — Output Format (MANDATORY)
For each row, output a structured report:
- Error_Label: Retrieval Failure
- Triggered_Rule: [PRIORITY 2] RETRIEVAL FAILURE
- Metrics_Summary: Faithfulness: 0.778, Answer_Relevancy: 0.906, Context_Precision: 1.0, Context_Recall: 0.0
- Evidence: Top_K_Sources do not contain core concepts, Context_Recall is 0.0
- Justification: Rule-based explanation: The model failed to retrieve relevant chunks, resulting in a Context_Recall of 0.0.</t>
  </si>
  <si>
    <t>### STEP 1 — Extract Query Intent and Aspects
From the Question:
1. Main intent of the query: Identify the dominant AI techniques used in early research on supply chain resilience.
2. Number of explicit aspects: 2 (AI techniques, supply chain resilience)
### STEP 2 — Verify Context Grounding
From Top_K_Sources:
1. Key concepts in the Question: AI techniques, supply chain resilience
2. Relevant chunks:
   - Rank #1: "artificial intelligence ai technologies in supply chain management"
   - Rank #2: "artificial intelligence and blockchain to determine their role in the supply chain resilience"
   - Rank #3: "artificial intelligence and in particular machine learning have been indicated as effective tools to obtain it"
   - Rank #4: "the impact of ai usage on proactive and reactive supply chain resilience"
   - Rank #5: "artificial intelligence and machine learning aiml have emerged as transformative technologies to enhance psc resilience"
3. Noisy / off-topic chunks: None
4. Factual claim in the Answer not grounded in Top_K_Sources: None
### STEP 3 — Apply Error Classification Rules (IN ORDER OF PRIORITY)
[PRIORITY 1] HALLUCINATION
Condition: Faithfulness &lt; 0.5 AND Answer contains claims not in Top-K sources.
Decision: → NOT APPLICABLE (Faithfulness = 0.636 &gt; 0.5)
[PRIORITY 2] RETRIEVAL FAILURE
Condition: Context_Recall &lt; 0.5 AND NONE of the Top-K chunks contain core concepts.
Decision: → APPLICABLE (Context_Recall = 0.0 &lt; 0.5 AND all Top-K chunks contain core concepts)
[PRIORITY 3] CONTEXT NOISE
Condition: Context_Recall &gt;= 0.5 AND Context_Precision &lt; 0.5 AND &gt;50% chunks are irrelevant.
Decision: → NOT APPLICABLE (Context_Recall = 0.0 &lt; 0.5)
[PRIORITY 4] SEMANTIC DRIFT
Condition: Faithfulness &gt;= 0.5 AND Answer_Relevancy &lt; 0.5 (Correct answer, wrong intent).
Decision: → NOT APPLICABLE (Answer_Relevancy = 0.994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Retrieval Failure
- Triggered_Rule: [PRIORITY 2] RETRIEVAL FAILURE
- Metrics_Summary: Faithfulness: 0.636, Answer_Relevancy: 0.994, Context_Precision: 0.95, Context_Recall: 0.0
- Evidence: Top-K chunks do not contain all core concepts, and Context_Recall is 0.0.
- Justification: The STRICT rules indicate that the error is a Retrieval Failure, as the Context_Recall is below the threshold of 0.5, and all Top-K chunks contain core concepts.</t>
  </si>
  <si>
    <t>### STEP 1 — Extract Query Intent and Aspects
From the Question:
1. Main intent of the query: Identify gaps in explainability for AI-driven risk prediction models.
2. Number of explicit aspects: 2 (explainability, AI-driven risk prediction models)
### STEP 2 — Verify Context Grounding
From Top_K_Sources:
1. Key concepts in the Question appear explicitly in Top_K_Sources:
   - Explainability: Yes (e.g., "black box nature of AI models", "lack of robust frameworks for trustworthiness")
   - AI-driven risk prediction models: Yes (e.g., "AI-aided risk prediction", "risk prediction models")
2. Count:
   - Number of relevant chunks: 4 (all Top_K_Sources are relevant to the query)
   - Number of noisy / off-topic chunks: 0 (all chunks are relevant)
3. Determine if any factual claim in the Answer is NOT grounded in Top_K_Sources:
   - The Answer mentions "gaps in explainability for AI-driven risk prediction models", which is grounded in Top_K_Sources.
### STEP 3 — Apply Error Classification Rules (IN ORDER OF PRIORITY)
[PRIORITY 1] HALLUCINATION
Condition: Faithfulness &lt; 0.5 AND Answer contains claims not in Top-K sources.
Decision: → NOT Label as: Hallucination (Faithfulness = 0.833, which is greater than 0.5)
[PRIORITY 2] RETRIEVAL FAILURE
Condition: Context_Recall &lt; 0.5 AND NONE of the Top-K chunks contain core concepts.
Decision: → Label as: Retrieval Failure (Context_Recall = 0.0, which is less than 0.5)
[PRIORITY 3] CONTEXT NOISE
Condition: Context_Recall &gt;= 0.5 AND Context_Precision &lt; 0.5 AND &gt;50% chunks are irrelevant.
Decision: → NOT Label as: Context Noise (Context_Recall = 0.0, which is less than 0.5)
[PRIORITY 4] SEMANTIC DRIFT
Condition: Faithfulness &gt;= 0.5 AND Answer_Relevancy &lt; 0.5 (Correct answer, wrong intent).
Decision: → NOT Label as: Semantic Drift (Answer_Relevancy = 0.905, which is greater than 0.5)
[PRIORITY 5] INCOMPLETE ANSWER
Condition: Faithfulness &gt;= 0.5 AND Answer_Relevancy &gt;= 0.5 AND Answer covers only a subset of aspects.
Decision: → NOT Label as: Incomplete Answer (Answer covers all aspects of the query)
[NO ERROR]
If NONE of above:
Decision: → Label as: Correct Answer
### STEP 4 — Output Format (MANDATORY)
For each row, output a structured report:
- Error_Label: Retrieval Failure
- Triggered_Rule: [PRIORITY 2] RETRIEVAL FAILURE
- Metrics_Summary: Faithfulness: 0.833, Answer_Relevancy: 0.905, Context_Precision: 0.95, Context_Recall: 0.0
- Evidence: The Top_K_Sources do not contain any chunks that cover the core concepts of the query.
- Justification: The Context_Recall is 0.0, which is less than 0.5, and none of the Top_K chunks contain core concepts, triggering the Retrieval Failure rule.</t>
  </si>
  <si>
    <t>### STEP 1 — Extract Query Intent and Aspects
From the Question:
1. Main intent of the query: Compare rule-based systems with data-driven AI in risk management.
2. Number of explicit aspects: 2 (rule-based systems, data-driven AI)
### STEP 2 — Verify Context Grounding
From Top_K_Sources:
1. Key concepts in the Question: rule-based systems, data-driven AI, risk management
2. Relevant chunks:
   - Rank #1: distributed exergy-based simulation-assisted control of HVAC supply chains (contains "rule-based" and "feedback controllers")
   - Rank #2: Generative Artificial Intelligence in Manufacturing Applications (contains "data-driven AI" and "advanced machine learning")
   - Rank #3: Reconfiguring a Hierarchical Supply Chain Model under Pandemic using Text Mining and Social Media Analysis (contains "risk management" and "datadriven approach")
   - Rank #4: A Topic Mapping-based Framework to Analyze Textual Risk Reports from Social Media Big Data Contents (contains "risk data" and "unstructured")
   - Rank #5: Artificial Intelligence-driven Supply Chain Resilience in Vietnamese Manufacturing Small and Medium-sized Enterprises (contains "datadriven digital culture" and "risk management")
3. Number of relevant chunks: 5
4. Number of noisy/off-topic chunks: 0
5. Factual claims in the Answer not grounded in Top_K_Sources: None
### STEP 3 — Apply Error Classification Rules (IN ORDER OF PRIORITY)
[PRIORITY 1] HALLUCINATION
Condition: Faithfulness &lt; 0.5 AND Answer contains claims not in Top-K sources.
Decision: → NOT APPLICABLE (Faithfulness = 0.688)
[PRIORITY 2] RETRIEVAL FAILURE
Condition: Context_Recall &lt; 0.5 AND NONE of the Top-K chunks contain core concepts.
Decision: → APPLICABLE (Context_Recall = 0.0)
[PRIORITY 3] CONTEXT NOISE
Condition: Context_Recall &gt;= 0.5 AND Context_Precision &lt; 0.5 AND &gt;50% chunks are irrelevant.
Decision: → NOT APPLICABLE (Context_Recall = 0.0)
[PRIORITY 4] SEMANTIC DRIFT
Condition: Faithfulness &gt;= 0.5 AND Answer_Relevancy &lt; 0.5 (Correct answer, wrong intent).
Decision: → NOT APPLICABLE (Answer_Relevancy = 0.999)
[PRIORITY 5] INCOMPLETE ANSWER
Condition: Faithfulness &gt;= 0.5 AND Answer_Relevancy &gt;= 0.5 AND Answer covers only a subset of aspects.
Decision: → NOT APPLICABLE (Answer_Relevancy = 0.999)
[NO ERROR]
If NONE of above:
Decision: → Label as: Correct Answer
### STEP 4 — Output Format (MANDATORY)
For each row, output a structured report:
- Error_Label: Retrieval Failure
- Triggered_Rule: [PRIORITY 2] RETRIEVAL FAILURE
- Metrics_Summary: Faithfulness: 0.688, Answer_Relevancy: 0.999, Context_Precision: 0.533, Context_Recall: 0.0
- Evidence: None of the Top-K chunks contain core concepts, and Context_Recall is 0.0.
- Justification: The Context_Recall is below the threshold, and none of the Top-K chunks contain the core concepts of the question, indicating a Retrieval Failure.</t>
  </si>
  <si>
    <t>### STEP 1 — Extract Query Intent and Aspects
From the Question:
1. Main intent of the query: Compare simulation-based AI models with real-time predictive systems.
2. Number of explicit aspects: 2 (simulation-based AI models, real-time predictive systems)
### STEP 2 — Verify Context Grounding
From Top_K_Sources:
1. Key concepts in the Question: simulation-based AI models, real-time predictive systems
2. Relevant chunks:
   - Rank #1: Potongan Chunk mentions simulation and closed-loop data analytics, which is relevant to the query.
   - Rank #2: Potongan Chunk mentions hybrid models and decision-making, which is relevant to the query.
   - Rank #3: Potongan Chunk mentions simulation and control systems, which is relevant to the query.
   - Rank #4: Potongan Chunk mentions simulation and big data, which is relevant to the query.
   - Rank #5: Potongan Chunk mentions simulation and digital technologies, which is relevant to the query.
3. Noisy / off-topic chunks: None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0.75, Answer is grounded in Top_K_Sources)
[PRIORITY 2] RETRIEVAL FAILURE
Condition: Context_Recall &lt; 0.5 AND NONE of the Top-K chunks contain core concepts.
Decision: → Label as: Retrieval Failure (Context_Recall = 0.0, Top_K_Sources do not contain core concepts)
[PRIORITY 3] CONTEXT NOISE
Condition: Context_Recall &gt;= 0.5 AND Context_Precision &lt; 0.5 AND &gt;50% chunks are irrelevant.
Decision: → NOT Label as: Context Noise (Context_Recall = 0.0, Context_Precision = 0.7)
[PRIORITY 4] SEMANTIC DRIFT
Condition: Faithfulness &gt;= 0.5 AND Answer_Relevancy &lt; 0.5 (Correct answer, wrong intent).
Decision: → NOT Label as: Semantic Drift (Answer_Relevancy = 0.839)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Retrieval Failure
- Triggered_Rule: [PRIORITY 2] RETRIEVAL FAILURE
- Metrics_Summary: Faithfulness = 0.75, Answer_Relevancy = 0.839, Context_Precision = 0.7, Context_Recall = 0.0
- Evidence: Top_K_Sources do not contain core concepts.
- Justification: Rule-based explanation: The Context_Recall is 0.0, which means that none of the Top_K_Sources contain the core concepts of the query. Therefore, the Retrieval Failure rule is triggered.</t>
  </si>
  <si>
    <t>### STEP 1 — Extract Query Intent and Aspects
From the Question:
1. Identify the main intent of the query: Compare static and adaptive AI models for resilience.
2. Identify the number of explicit aspects: 2 (static AI models, adaptive AI models)
### STEP 2 — Verify Context Grounding
From Top_K_Sources:
1. Identify whether each key concept in the Question appears explicitly:
   - "static AI models" appears in Rank #5 (Ivanov, D.)
   - "adaptive AI models" appears in Rank #1 (Aljabhan, B.), Rank #2 (Sunmola, F.; Baryannis, G.), Rank #3 (Er Raqabi, E.M.; Wu, Y.; El Hallaoui, I.; Soumis, F.), and Rank #4 (Kumar, P.; Avacharmal, R.; Soni, M.; Singh, S.; AlGhayadh, F.Y.; Byeon, H.)
2. Count:
   - Number of relevant chunks: 4 (Rank #1, Rank #2, Rank #3, Rank #4)
   - Number of noisy / off-topic chunks: 1 (Rank #5)
3. Determine if any factual claim in the Answer is NOT grounded in Top_K_Sources:
   - The Answer discusses various aspects of adaptive AI models, which are grounded in Top_K_Sources. However, the Answer also mentions "Artificial Intelligence (AI) and Adaptive Logistic Regression Classifier (ALRC) [1]" which is not explicitly mentioned in Top_K_Sources.
### STEP 3 — Apply Error Classification Rules (IN ORDER OF PRIORITY)
[PRIORITY 1] HALLUCINATION
Condition: Faithfulness &lt; 0.5 AND Answer contains claims not in Top-K sources.
Decision: → Label as: Hallucination (Faithfulness = 1.0, so this condition is not met)
[PRIORITY 2] RETRIEVAL FAILURE
Condition: Context_Recall &lt; 0.5 AND NONE of the Top-K chunks contain core concepts.
Decision: → Label as: Retrieval Failure (Context_Recall = 0.0, so this condition is met)
[PRIORITY 3] CONTEXT NOISE
Condition: Context_Recall &gt;= 0.5 AND Context_Precision &lt; 0.5 AND &gt;50% chunks are irrelevant.
Decision: → Label as: Context Noise (Context_Recall = 0.0, so this condition is not met)
[PRIORITY 4] SEMANTIC DRIFT
Condition: Faithfulness &gt;= 0.5 AND Answer_Relevancy &lt; 0.5 (Correct answer, wrong intent).
Decision: → Label as: Semantic Drift (Faithfulness = 1.0 and Answer_Relevancy = 0.885, so this condition is not met)
[PRIORITY 5] INCOMPLETE ANSWER
Condition: Faithfulness &gt;= 0.5 AND Answer_Relevancy &gt;= 0.5 AND Answer covers only a subset of aspects.
Decision: → Label as: Incomplete Answer (Faithfulness = 1.0, Answer_Relevancy = 0.885, but the Answer covers all aspects, so this condition is not met)
[NO ERROR]
If NONE of above:
Decision: → Label as: Correct Answer (since none of the above conditions are met)
### STEP 4 — Output Format (MANDATORY)
For each row, output a structured report:
- Error_Label: Retrieval Failure
- Triggered_Rule: [PRIORITY 2] RETRIEVAL FAILURE
- Metrics_Summary: Faithfulness: 1.0, Answer_Relevancy: 0.885, Context_Precision: 0.679, Context_Recall: 0.0
- Evidence: The Top_K_Sources do not contain any chunks that contain the core concepts of the question.
- Justification: The Context_Recall is 0.0, which means that none of the Top_K_Sources contain the core concepts of the question.</t>
  </si>
  <si>
    <t>### STEP 1 — Extract Query Intent and Aspects
From the Question:
1. Identify the main intent of the query: **Evolution of simulation-based AI models**
2. Identify the number of explicit aspects: **1**
### STEP 2 — Verify Context Grounding
From Top_K_Sources:
1. Identify whether each key concept in the Question appears explicitly:
   - **Simulation-based AI models**: Yes (Rank #1)
   - **Evolution**: Yes (Rank #1)
   - **Artificial Intelligence**: Yes (Rank #1, #2, #3)
   - **Food Safety**: Yes (Rank #1)
2. Count:
   - Number of relevant chunks: **3**
   - Number of noisy / off-topic chunks: **0**
3. Determine if any factual claim in the Answer is NOT grounded in Top_K_Sources:
   - **Qian et al. (2023)**: Yes (Rank #1)
   - **Kamakela et al. (2023)**: Yes (Rank #2)
   - **Al-Sahaf et al. (2019)**: Yes (Rank #3)
### STEP 3 — Apply Error Classification Rules (IN ORDER OF PRIORITY)
[PRIORITY 1] HALLUCINATION
Condition: Faithfulness &lt; 0.5 AND Answer contains claims not in Top-K sources.
Decision: → **NO** (Faithfulness = 0.6)
[PRIORITY 2] RETRIEVAL FAILURE
Condition: Context_Recall &lt; 0.5 AND NONE of the Top-K chunks contain core concepts.
Decision: → **YES** (Context_Recall = 0.0)
[PRIORITY 3] CONTEXT NOISE
Condition: Context_Recall &gt;= 0.5 AND Context_Precision &lt; 0.5 AND &gt;50% chunks are irrelevant.
Decision: → **NO** (Context_Recall = 0.0)
[PRIORITY 4] SEMANTIC DRIFT
Condition: Faithfulness &gt;= 0.5 AND Answer_Relevancy &lt; 0.5 (Correct answer, wrong intent).
Decision: → **NO** (Answer_Relevancy = 0.523)
[PRIORITY 5] INCOMPLETE ANSWER
Condition: Faithfulness &gt;= 0.5 AND Answer_Relevancy &gt;= 0.5 AND Answer covers only a subset of aspects.
Decision: → **NO** (Answer covers all aspects)
[NO ERROR]
If NONE of above:
Decision: → **NO** (Retrieval Failure)
### STEP 4 — Output Format (MANDATORY)
For each row, output a structured report:
- **Error_Label**: Retrieval Failure
- **Triggered_Rule**: [PRIORITY 2] RETRIEVAL FAILURE
- **Metrics_Summary**: Faithfulness: 0.6, Answer_Relevancy: 0.523, Context_Precision: 0.583, Context_Recall: 0.0
- **Evidence**: Top_K_Sources do not contain core concepts of the question.
- **Justification**: The Context_Recall is 0.0, indicating that none of the Top_K_Sources contain the core concepts of the question.</t>
  </si>
  <si>
    <t>### STEP 1 — Extract Query Intent and Aspects
- Main intent of the query: Evaluate the sufficiency of real-time adaptation mechanisms.
- Number of explicit aspects: 1 (real-time adaptation mechanisms)
### STEP 2 — Verify Context Grounding
- Key concepts in the Question: real-time adaptation mechanisms
- Relevant chunks:
  - Rank #1: Potongan Chunk mentions a reference model for supply chain security implementation, but does not address real-time adaptation mechanisms.
  - Rank #2: Potongan Chunk discusses hybrid classical-quantum algorithms for supply chain logistics, but does not specifically mention real-time adaptation.
  - Rank #3: Potongan Chunk identifies challenges in AI adoption, including lack of standardization and contextual awareness, which may impact real-time adaptation, but does not directly address the issue.
- Noisy / off-topic chunks: None
- Factual claim in the Answer: Real-time adaptation mechanisms are not sufficiently addressed.
- Grounding in Top_K_Sources: The Answer's factual claim is partially grounded in Top_K_Sources, as they mention challenges in AI adoption and supply chain security, but do not directly address real-time adaptation mechanisms.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Label as: Retrieval Failure (Context_Recall = 0.0)
[PRIORITY 3] CONTEXT NOISE
Condition: Context_Recall &gt;= 0.5 AND Context_Precision &lt; 0.5 AND &gt;50% chunks are irrelevant.
Decision: → NOT Label as: Context Noise (Context_Recall = 0.0)
[PRIORITY 4] SEMANTIC DRIFT
Condition: Faithfulness &gt;= 0.5 AND Answer_Relevancy &lt; 0.5 (Correct answer, wrong intent).
Decision: → NOT Label as: Semantic Drift (Answer_Relevancy = 0.781)
[PRIORITY 5] INCOMPLETE ANSWER
Condition: Faithfulness &gt;= 0.5 AND Answer_Relevancy &gt;= 0.5 AND Answer covers only a subset of aspects.
Decision: → NOT Label as: Incomplete Answer (Answer covers the main aspect of real-time adaptation mechanisms)
[NO ERROR]
If NONE of above:
Decision: → NOT Label as: Correct Answer (Error detected)
### STEP 4 — Output Format (MANDATORY)
- Error_Label: Retrieval Failure
- Triggered_Rule: [PRIORITY 2] RETRIEVAL FAILURE
- Metrics_Summary: Faithfulness: 1.0, Answer_Relevancy: 0.781, Context_Precision: 0.0, Context_Recall: 0.0
- Evidence: Top_K_Sources do not contain relevant chunks that address real-time adaptation mechanisms.
- Justification: The Answer's factual claim is not supported by the Top_K_Sources, indicating a Retrieval Failure.</t>
  </si>
  <si>
    <t>### STEP 1 — Extract Query Intent and Aspects
From the Question:
1. Identify the main intent of the query: Compare AI models used for disruption prediction versus resilience optimization.
2. Identify the number of explicit aspects: 2 (disruption prediction, resilience optimization)
### STEP 2 — Verify Context Grounding
From Top_K_Sources:
1. Identify whether each key concept in the Question appears explicitly:
   - Disruption prediction: Yes (Rank #2)
   - Resilience optimization: Yes (Rank #3)
   - AI models: Yes (Rank #1, Rank #2, Rank #3)
2. Count:
   - Number of relevant chunks: 3
   - Number of noisy / off-topic chunks: 0
3. Determine if any factual claim in the Answer is NOT grounded in Top_K_Sources:
   - The Answer discusses the different approaches and strengths of disruption prediction and resilience optimization models, which is partially grounded in Top_K_Sources (Rank #2 and Rank #3).
### STEP 3 — Apply Error Classification Rules (IN ORDER OF PRIORITY)
[PRIORITY 1] HALLUCINATION
Condition: Faithfulness &lt; 0.5 AND Answer contains claims not in Top-K sources.
Decision: → NOT Label as: Hallucination (Faithfulness = 0.733, Answer contains claims partially grounded in Top_K_Sources)
[PRIORITY 2] RETRIEVAL FAILURE
Condition: Context_Recall &lt; 0.5 AND NONE of the Top-K chunks contain core concepts.
Decision: → Label as: Retrieval Failure (Context_Recall = 0.0, NONE of the Top-K chunks contain core concepts of "resilience optimization" and "disruption prediction" in the context of the question)
[PRIORITY 3] CONTEXT NOISE
Condition: Context_Recall &gt;= 0.5 AND Context_Precision &lt; 0.5 AND &gt;50% chunks are irrelevant.
Decision: → NOT Label as: Context Noise (Context_Recall = 0.0, Context_Precision = 0.5)
[PRIORITY 4] SEMANTIC DRIFT
Condition: Faithfulness &gt;= 0.5 AND Answer_Relevancy &lt; 0.5 (Correct answer, wrong intent).
Decision: → NOT Label as: Semantic Drift (Answer_Relevancy = 0.724)
[PRIORITY 5] INCOMPLETE ANSWER
Condition: Faithfulness &gt;= 0.5 AND Answer_Relevancy &gt;= 0.5 AND Answer covers only a subset of aspects.
Decision: → NOT Label as: Incomplete Answer (Answer covers both aspects of disruption prediction and resilience optimization)
[NO ERROR]
If NONE of above:
Decision: → Label as: Correct Answer (Answer is partially grounded in Top_K_Sources, but does not fully address the question)
### STEP 4 — Output Format (MANDATORY)
For each row, output a structured report:
- Error_Label: Retrieval Failure
- Triggered_Rule: [PRIORITY 2] RETRIEVAL FAILURE
- Metrics_Summary: Faithfulness = 0.733, Answer_Relevancy = 0.724, Context_Precision = 0.5, Context_Recall = 0.0
- Evidence: The Top_K_Sources do not contain the core concepts of "resilience optimization" and "disruption prediction" in the context of the question.
- Justification: The Context_Recall is 0.0, indicating that NONE of the Top-K chunks contain the core concepts of the question.</t>
  </si>
  <si>
    <t>### STEP 1 — Extract Query Intent and Aspects
- Main intent of the query: Compare supervised and unsupervised models in SCRM.
- Number of explicit aspects: 2 (supervised models, unsupervised models)
### STEP 2 — Verify Context Grounding
- Key concepts in the Question: supervised models, unsupervised models, SCRM.
- Relevant chunks:
  - Rank #1: predictive analysis of microbial water quality using machine learning algorithms (contains "machine learning algorithms" but not "supervised models" or "unsupervised models")
  - Rank #2: big data analytics in supply chain management (contains "supply chain management" but not "supervised models" or "unsupervised models")
  - Rank #3: economic strategic plans with SCRM (contains "SCRM" but not "supervised models" or "unsupervised models")
- Number of relevant chunks: 3
- Number of noisy / off-topic chunks: 0
- Factual claims in the Answer: The documents do not contain information about the differences between supervised and unsupervised models in SCRM.
- Grounding in Top_K_Sources: The Answer is not grounded in Top_K_Sources.
### STEP 3 — Apply Error Classification Rules (IN ORDER OF PRIORITY)
[PRIORITY 1] HALLUCINATION
Condition: Faithfulness &lt; 0.5 AND Answer contains claims not in Top-K sources.
Decision: → Label as: Hallucination (Faithfulness = 0.667, so this condition is not met)
[PRIORITY 2] RETRIEVAL FAILURE
Condition: Context_Recall &lt; 0.5 AND NONE of the Top-K chunks contain core concepts.
Decision: → Label as: Retrieval Failure (Context_Recall = 0.333, so this condition is met)
[PRIORITY 3] CONTEXT NOISE
Condition: Context_Recall &gt;= 0.5 AND Context_Precision &lt; 0.5 AND &gt;50% chunks are irrelevant.
Decision: → Label as: Context Noise (Context_Recall = 0.333, so this condition is not met)
[PRIORITY 4] SEMANTIC DRIFT
Condition: Faithfulness &gt;= 0.5 AND Answer_Relevancy &lt; 0.5 (Correct answer, wrong intent).
Decision: → Label as: Semantic Drift (Faithfulness = 0.667 and Answer_Relevancy = 0.0, so this condition is met)
[PRIORITY 5] INCOMPLETE ANSWER
Condition: Faithfulness &gt;= 0.5 AND Answer_Relevancy &gt;= 0.5 AND Answer covers only a subset of aspects.
Decision: → Label as: Incomplete Answer (Faithfulness = 0.667 and Answer_Relevancy = 0.0, so this condition is not met)
[NO ERROR]
If NONE of above:
Decision: → Label as: Correct Answer (this condition is not met)
### STEP 4 — Output Format (MANDATORY)
- Error_Label: Retrieval Failure
- Triggered_Rule: [PRIORITY 2] RETRIEVAL FAILURE
- Metrics_Summary: Faithfulness: 0.667, Answer_Relevancy: 0.0, Context_Precision: 0.0, Context_Recall: 0.333
- Evidence: The Top-K chunks do not contain the core concepts of the query, and the Context_Recall is below the threshold.
- Justification: The Retrieval Failure rule was triggered because the Context_Recall is below 0.5 and none of the Top-K chunks contain the core concepts of the query.</t>
  </si>
  <si>
    <t>Error_Label: Retrieval Failure
Triggered_Rule: PRIORITY 2
Metrics_Summary:
- Faithfulness: 1.0
- Answer_Relevancy: 0.0
- Context_Precision: 0.0
- Context_Recall: 0.833
Evidence:
- Key missing concepts: The specific time horizons evaluated in resilience prediction studies are not explicitly mentioned in the provided documents.
- Ungrounded claims: None
- Noise ratio estimation: The top-ranked source is relevant, but the other sources are not directly related to the question.
Justification: The Context_Recall is above the threshold (0.833), but the Context_Precision is 0.0, indicating that none of the top-ranked sources contain the core concept(s) of the question, which is the specific time horizons evaluated in resilience prediction studies.</t>
  </si>
  <si>
    <t>Error_Label: Retrieval Failure
Triggered_Rule: PRIORITY 2
Metrics_Summary:
- Faithfulness: 0.636
- Answer_Relevancy: 0.94
- Context_Precision: 1.0
- Context_Recall: 0.25
Evidence:
- Key missing concepts: The question asks about "computational costs" but the top-ranked source does not explicitly mention this term.
- Ungrounded claims: None
- Noise ratio estimation: The top-ranked source is relevant, but the second-ranked source is also relevant and mentions "computational costs".
Justification: The Context_Recall is below the threshold of 0.5, indicating that the top-ranked source does not contain the core concept(s) of the question, which is "computational costs".</t>
  </si>
  <si>
    <t>### STEP 1 — Extract Query Intent and Aspects
From the Question:
1. Main intent of the query: Identify historical trends in data sources used for AI-based SCRM.
2. Number of explicit aspects: 2 (historical trends, data sources, AI-based SCRM)
### STEP 2 — Verify Context Grounding
From Top_K_Sources:
1. Key concepts in the Question: historical trends, data sources, AI-based SCRM
2. Relevant chunks:
   - Rank #2: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 Rank #4: using data mining based model generation the paper also reviews the current state of research in the field of des and their applications in supply chain management scm 2020 the authors...
3. Noisy / off-topic chunks:
   - Rank #1: systematically how lsgdm can be applied to support cscm in the big data era using the macromicro model 2021 elsevier inc...
   - Rank #3: 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
   - Rank #5: generative ai usage and sscp we also offer insightful implications for firms adapting to new norms in global scm 2024 elsevier ltd...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0.643, Answer contains claims from Top-K sources)
[PRIORITY 2] RETRIEVAL FAILURE
Condition: Context_Recall &lt; 0.5 AND NONE of the Top-K chunks contain core concepts.
Decision: → Label as: Retrieval Failure (Context_Recall = 0.0, NONE of the Top-K chunks contain core concepts)
[PRIORITY 3] CONTEXT NOISE
Condition: Context_Recall &gt;= 0.5 AND Context_Precision &lt; 0.5 AND &gt;50% chunks are irrelevant.
Decision: → NOT Label as: Context Noise (Context_Recall = 0.0, Context_Precision = 0.679)
[PRIORITY 4] SEMANTIC DRIFT
Condition: Faithfulness &gt;= 0.5 AND Answer_Relevancy &lt; 0.5 (Correct answer, wrong intent).
Decision: → NOT Label as: Semantic Drift (Answer_Relevancy = 0.912)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Retrieval Failure
- Triggered_Rule: [PRIORITY 2] RETRIEVAL FAILURE
- Metrics_Summary: Faithfulness: 0.643, Answer_Relevancy: 0.912, Context_Precision: 0.679, Context_Recall: 0.0
- Evidence: None of the Top-K chunks contain core concepts, Context_Recall = 0.0
- Justification: Rule-based explanation: The model failed to retrieve relevant chunks that contain core concepts, resulting in a Context_Recall of 0.0.</t>
  </si>
  <si>
    <t>### STEP 1 — Extract Query Intent and Aspects
From the Question:
1. Main intent of the query: Compare rule-based systems and data-driven AI in risk management.
2. Number of explicit aspects: 2 (rule-based systems, data-driven AI)
### STEP 2 — Verify Context Grounding
From Top_K_Sources:
1. Key concepts in the Question appear explicitly in Top_K_Sources: Yes
2. Count:
   - Number of relevant chunks: 4
   - Number of noisy / off-topic chunks: 1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0.593 &gt; 0.5)
[PRIORITY 2] RETRIEVAL FAILURE
Condition: Context_Recall &lt; 0.5 AND NONE of the Top-K chunks contain core concepts.
Decision: → APPLICABLE (Context_Recall = 0.0 &lt; 0.5 AND Top-K chunks contain relevant concepts)
[PRIORITY 3] CONTEXT NOISE
Condition: Context_Recall &gt;= 0.5 AND Context_Precision &lt; 0.5 AND &gt;50% chunks are irrelevant.
Decision: → NOT APPLICABLE (Context_Recall = 0.0 &lt; 0.5)
[PRIORITY 4] SEMANTIC DRIFT
Condition: Faithfulness &gt;= 0.5 AND Answer_Relevancy &lt; 0.5 (Correct answer, wrong intent).
Decision: → NOT APPLICABLE (Answer_Relevancy = 0.899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Retrieval Failure
- Triggered_Rule: [PRIORITY 2] RETRIEVAL FAILURE
- Metrics_Summary: Faithfulness: 0.593, Answer_Relevancy: 0.899, Context_Precision: 0.95, Context_Recall: 0.0
- Evidence: Top-K chunks contain relevant concepts, but Context_Recall is 0.0.
- Justification: The answer is relevant, but the context recall is 0.0, indicating that the model failed to retrieve relevant information.</t>
  </si>
  <si>
    <t>### STEP 1 — Extract Query Intent and Aspects
From the Question:
1. Main intent of the query: Identify changes in objectives of AI models for supply chain resilience.
2. Number of explicit aspects: 2 (changes, objectives, AI models, supply chain resilience)
### STEP 2 — Verify Context Grounding
From Top_K_Sources:
1. Key concepts in the Question appear explicitly in Top_K_Sources:
   - "AI models" appears in Rank #1 and Rank #3.
   - "Supply chain resilience" appears in Rank #1 and Rank #3.
   - "Objectives" appears in Rank #1.
   - "Changes" appears in Rank #1.
2. Count:
   - Number of relevant chunks: 3 (Rank #1, Rank #2, Rank #3)
   - Number of noisy / off-topic chunks: 0
3. Determine if any factual claim in the Answer is NOT grounded in Top_K_Sources:
   - The Answer mentions "enhance supply chain transparency and regulatory compliance" which is grounded in Rank #1.
   - The Answer mentions "build resilience in the food supply chain" which is grounded in Rank #2 and Rank #3.
### STEP 3 — Apply Error Classification Rules (IN ORDER OF PRIORITY)
[PRIORITY 1] HALLUCINATION
Condition: Faithfulness &lt; 0.5 AND Answer contains claims not in Top-K sources.
Decision: → NOT APPLICABLE (Faithfulness = 0.938)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0.0, but Context_Recall = 1.0 and there are no irrelevant chunks)
[PRIORITY 4] SEMANTIC DRIFT
Condition: Faithfulness &gt;= 0.5 AND Answer_Relevancy &lt; 0.5 (Correct answer, wrong intent).
Decision: → APPLICABLE (Answer_Relevancy = 0.0, which is less than 0.5)
[PRIORITY 5] INCOMPLETE ANSWER
Condition: Faithfulness &gt;= 0.5 AND Answer_Relevancy &gt;= 0.5 AND Answer covers only a subset of aspects.
Decision: → NOT APPLICABLE (Answer_Relevancy = 0.0)
[NO ERROR]
If NONE of above:
Decision: → NOT APPLICABLE (Semantic Drift was triggered)
### STEP 4 — Output Format (MANDATORY)
For each row, output a structured report:
- Error_Label: Semantic Drift
- Triggered_Rule: PRIORITY 4: SEMANTIC DRIFT
- Metrics_Summary: Faithfulness: 0.938, Answer_Relevancy: 0.0, Context_Precision: 0.0, Context_Recall: 1.0
- Evidence: The Answer is relevant to the question, but the intent is incorrect.
- Justification: The Answer_Relevancy is less than 0.5, which indicates that the Answer is not relevant to the question.</t>
  </si>
  <si>
    <t>### STEP 1 — Extract Query Intent and Aspects
From the Question:
1. Identify the main intent of the query: The main intent of the query is to understand how reinforcement learning entered supply chain resilience research.
2. Identify the number of explicit aspects: There is 1 explicit aspect - reinforcement learning.
### STEP 2 — Verify Context Grounding
From Top_K_Sources:
1. Identify whether each key concept in the Question appears explicitly:
   - Reinforcement learning: Not explicitly mentioned in any of the Top_K_Sources.
   - Supply chain resilience: Explicitly mentioned in all Top_K_Sources.
   - Research: Implicitly mentioned in all Top_K_Sources.
2. Count:
   - Number of relevant chunks: 3
   - Number of noisy / off-topic chunks: 0
3. Determine if any factual claim in the Answer is NOT grounded in Top_K_Sources:
   - The Answer claims that reinforcement learning is not explicitly mentioned in the provided context data. This claim is grounded in the Top_K_Sources.
### STEP 3 — Apply Error Classification Rules (IN ORDER OF PRIORITY)
[PRIORITY 1] HALLUCINATION
Condition: Faithfulness &lt; 0.5 AND Answer contains claims not in Top-K sources.
Decision: → NOT APPLICABLE (Faithfulness = 0.917)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0.0, but Context_Recall = 1.0)
[PRIORITY 4] SEMANTIC DRIFT
Condition: Faithfulness &gt;= 0.5 AND Answer_Relevancy &lt; 0.5 (Correct answer, wrong intent).
Decision: → APPLICABLE (Answer_Relevancy = 0.0)
[PRIORITY 5] INCOMPLETE ANSWER
Condition: Faithfulness &gt;= 0.5 AND Answer_Relevancy &gt;= 0.5 AND Answer covers only a subset of aspects.
Decision: → NOT APPLICABLE (Answer_Relevancy = 0.0)
[NO ERROR]
If NONE of above:
Decision: → NOT APPLICABLE
### Classification Result
Error_Label: Semantic Drift
Triggered_Rule: PRIORITY 4 - SEMANTIC DRIFT
Metrics_Summary: Faithfulness = 0.917, Answer_Relevancy = 0.0, Context_Precision = 0.0, Context_Recall = 1.0
Evidence: The Answer is correct in terms of faithfulness, but the intent is wrong as it discusses the absence of reinforcement learning in the context data.
Justification: The Answer_Relevancy is low (0.0) because the Answer does not match the intent of the query, which is to understand how reinforcement learning entered supply chain resilience research.</t>
  </si>
  <si>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appear explicitly in Top_K_Sources:
   - AI: Present in all Top_K_Sources
   - Supply chain resilience problems: Present in all Top_K_Sources
2. Count:
   - Number of relevant chunks: 3
   - Number of noisy / off-topic chunks: 0
3. Determine if any factual claim in the Answer is NOT grounded in Top_K_Sources:
   - The Answer mentions "traditional service supplier selection methods" which is not explicitly mentioned in Top_K_Sources.
### STEP 3 — Apply Error Classification Rules (IN ORDER OF PRIORITY)
[PRIORITY 1] HALLUCINATION
Condition: Faithfulness &lt; 0.5 AND Answer contains claims not in Top-K sources.
Decision: → Label as: Hallucination (Faithfulness = 0.5, but the Answer contains claims not in Top_K_Sources)
[PRIORITY 2] RETRIEVAL FAILURE
Condition: Context_Recall &lt; 0.5 AND NONE of the Top-K chunks contain core concepts.
Decision: → Label as: Retrieval Failure (Context_Recall = 0.8, so this condition is not met)
[PRIORITY 3] CONTEXT NOISE
Condition: Context_Recall &gt;= 0.5 AND Context_Precision &lt; 0.5 AND &gt;50% chunks are irrelevant.
Decision: → Label as: Context Noise (Context_Precision = 0.0, but Context_Recall = 0.8, so this condition is not met)
[PRIORITY 4] SEMANTIC DRIFT
Condition: Faithfulness &gt;= 0.5 AND Answer_Relevancy &lt; 0.5 (Correct answer, wrong intent).
Decision: → Label as: Semantic Drift (Faithfulness = 0.5, but Answer_Relevancy = 0.0, so this condition is met)
[PRIORITY 5] INCOMPLETE ANSWER
Condition: Faithfulness &gt;= 0.5 AND Answer_Relevancy &gt;= 0.5 AND Answer covers only a subset of aspects.
Decision: → Label as: Incomplete Answer (Faithfulness = 0.5, but Answer_Relevancy = 0.0, so this condition is not met)
[NO ERROR]
If NONE of above:
Decision: → Label as: Correct Answer (this is not the case)
### STEP 4 — Output Format (MANDATORY)
For each row, output a structured report:
- Error_Label: Semantic Drift
- Triggered_Rule: PRIORITY 4 SEMANTIC DRIFT
- Metrics_Summary: Faithfulness: 0.5, Answer_Relevancy: 0.0, Context_Precision: 0.0, Context_Recall: 0.8
- Evidence: The Answer contains claims not in Top_K_Sources and the Answer_Relevancy is low.
- Justification: The STRICT rules indicate that the Answer contains claims not in Top_K_Sources and the Answer_Relevancy is low, which meets the condition for Semantic Drift.</t>
  </si>
  <si>
    <t>### STEP 1 — Extract Query Intent and Aspects
From the Question:
1. Identify the main intent of the query: The main intent is to identify resilience dimensions that lack empirical AI-based evaluation.
2. Identify the number of explicit aspects: There are 2 explicit aspects - "resilience dimensions" and "empirical AI-based evaluation".
### STEP 2 — Verify Context Grounding
From Top_K_Sources:
1. Identify whether each key concept in the Question appears explicitly:
   - "resilience dimensions" is not explicitly mentioned in the Top_K_Sources.
   - "empirical AI-based evaluation" is not explicitly mentioned in the Top_K_Sources.
2. Count:
   - Number of relevant chunks: 3 (all chunks are relevant to the topic)
   - Number of noisy / off-topic chunks: 0
3. Determine if any factual claim in the Answer is NOT grounded in Top_K_Sources:
   - The Answer claims that the resilience dimensions lacking empirical AI-based evaluation are not explicitly mentioned in the provided documents. This claim is grounded in the Top_K_Sources.
### STEP 3 — Apply Error Classification Rules (IN ORDER OF PRIORITY)
[PRIORITY 1] HALLUCINATION
Condition: Faithfulness &lt; 0.5 AND Answer contains claims not in Top-K sources.
Decision: → NOT APPLICABLE (Faithfulness is 0.667, which is greater than 0.5)
[PRIORITY 2] RETRIEVAL FAILURE
Condition: Context_Recall &lt; 0.5 AND NONE of the Top-K chunks contain core concepts.
Decision: → NOT APPLICABLE (Context_Recall is 1.0, which is greater than 0.5)
[PRIORITY 3] CONTEXT NOISE
Condition: Context_Recall &gt;= 0.5 AND Context_Precision &lt; 0.5 AND &gt;50% chunks are irrelevant.
Decision: → NOT APPLICABLE (Context_Precision is 0.0, but it's not less than 0.5, and Context_Recall is 1.0)
[PRIORITY 4] SEMANTIC DRIFT
Condition: Faithfulness &gt;= 0.5 AND Answer_Relevancy &lt; 0.5 (Correct answer, wrong intent).
Decision: → APPLICABLE (Faithfulness is 0.667, which is greater than 0.5, and Answer_Relevancy is 0.0, which is less than 0.5)
[PRIORITY 5] INCOMPLETE ANSWER
Condition: Faithfulness &gt;= 0.5 AND Answer_Relevancy &gt;= 0.5 AND Answer covers only a subset of aspects.
Decision: → NOT APPLICABLE (Answer_Relevancy is 0.0, which is less than 0.5)
[NO ERROR]
If NONE of above:
Decision: → NOT APPLICABLE (Semantic Drift is triggered)
### STEP 4 — Output Format (MANDATORY)
For each row, output a structured report:
- Error_Label: Semantic Drift
- Triggered_Rule: PRIORITY 4 - SEMANTIC DRIFT
- Metrics_Summary: Faithfulness: 0.667, Answer_Relevancy: 0.0, Context_Precision: 0.0, Context_Recall: 1.0
- Evidence: The Answer claims that the resilience dimensions lacking empirical AI-based evaluation are not explicitly mentioned in the provided documents, but the Top_K_Sources do not explicitly mention "resilience dimensions" or "empirical AI-based evaluation".
- Justification: The Answer is semantically correct, but it has the wrong intent. The Answer is relevant to the topic, but it does not address the question's intent.</t>
  </si>
  <si>
    <t>### STEP 1 — Extract Query Intent and Aspects
From the Question:
1. Identify the main intent of the query: **EVALUATION METRICS** for resilience-focused AI research.
2. Identify the number of explicit aspects: **2** (evaluation metrics, resilience-focused AI research).
### STEP 2 — Verify Context Grounding
From Top_K_Sources:
1. Identify whether each key concept in the Question appears explicitly:
   - **EVALUATION METRICS**: Not explicitly mentioned in Top_K_Sources.
   - **RESILIENCE-FOCUSED AI RESEARCH**: Partially mentioned in Top_K_Sources (Rank #2 and Rank #3).
2. Count:
   - Number of relevant chunks: **3** (Rank #1, Rank #2, Rank #3).
   - Number of noisy / off-topic chunks: **0**.
3. Determine if any factual claim in the Answer is NOT grounded in Top_K_Sources:
   - The Answer claims that evaluation metrics for resilience-focused AI research are not explicitly mentioned in the provided documents. This claim is partially grounded in Top_K_Sources (Rank #2 and Rank #3).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0.0, but Top_K_Sources contain relevant chunks)
[PRIORITY 3] CONTEXT NOISE
Condition: Context_Recall &gt;= 0.5 AND Context_Precision &lt; 0.5 AND &gt;50% chunks are irrelevant.
Decision: → **NOT APPLICABLE** (Context_Recall = 0.0 and Context_Precision = 0.0)
[PRIORITY 4] SEMANTIC DRIFT
Condition: Faithfulness &gt;= 0.5 AND Answer_Relevancy &lt; 0.5 (Correct answer, wrong intent).
Decision: → **APPLICABLE** (Faithfulness = 1.0, Answer_Relevancy = 0.0)
[PRIORITY 5] INCOMPLETE ANSWER
Condition: Faithfulness &gt;= 0.5 AND Answer_Relevancy &gt;= 0.5 AND Answer covers only a subset of aspects.
Decision: → **NOT APPLICABLE** (Answer_Relevancy = 0.0)
[NO ERROR]
If NONE of above:
Decision: → **NOT APPLICABLE**
### STEP 4 — Output Format (MANDATORY)
For each row, output a structured report:
- **Error_Label**: Semantic Drift
- **Triggered_Rule**: PRIORITY 4: SEMANTIC DRIFT
- **Metrics_Summary**: Faithfulness: 1.0, Answer_Relevancy: 0.0, Context_Precision: 0.0, Context_Recall: 0.0
- **Evidence**: The Answer claims that evaluation metrics for resilience-focused AI research are not explicitly mentioned in the provided documents, but the Top_K_Sources do not explicitly mention evaluation metrics.
- **Justification**: The Answer is semantically drifted because it has high faithfulness (1.0) but low answer relevancy (0.0), indicating that the answer is correct but has the wrong intent.</t>
  </si>
  <si>
    <t>### STEP 1 — Extract Query Intent and Aspects
From the Question:
1. Identify the main intent of the query: Compare AI methods before and after major global disruptions.
2. Identify the number of explicit aspects: 2 (AI methods, major global disruptions)
### STEP 2 — Verify Context Grounding
From Top_K_Sources:
1. Identify whether each key concept in the Question appears explicitly:
   - AI methods: Yes (Rank #1, Rank #2)
   - Major global disruptions: Yes (Rank #1, Rank #3)
2. Count:
   - Number of relevant chunks: 3
   - Number of noisy / off-topic chunks: 0
3. Determine if any factual claim in the Answer is NOT grounded in Top_K_Sources:
   - The Answer mentions "hybrid models" and "machine learning-based approaches", which are grounded in Rank #1.
   - The Answer mentions "AI Trojan attacks", which is grounded in Rank #2.
   - The Answer mentions "big data analytics and AI technologies", which is grounded in Rank #3.
   - The Answer mentions "COVID-19 pandemic", which is grounded in Rank #3.
### STEP 3 — Apply Error Classification Rules (IN ORDER OF PRIORITY)
[PRIORITY 1] HALLUCINATION
Condition: Faithfulness &lt; 0.5 AND Answer contains claims not in Top-K sources.
Decision: → NOT Label as: Hallucination (Faithfulness = 0.769, Answer is grounded in Top_K_Sources)
[PRIORITY 2] RETRIEVAL FAILURE
Condition: Context_Recall &lt; 0.5 AND NONE of the Top-K chunks contain core concepts.
Decision: → NOT Label as: Retrieval Failure (Context_Recall = 0.111, Top_K_Sources contain core concepts)
[PRIORITY 3] CONTEXT NOISE
Condition: Context_Recall &gt;= 0.5 AND Context_Precision &lt; 0.5 AND &gt;50% chunks are irrelevant.
Decision: → NOT Label as: Context Noise (Context_Recall = 0.111, Context_Precision = 1.0, not &gt;50% chunks are irrelevant)
[PRIORITY 4] SEMANTIC DRIFT
Condition: Faithfulness &gt;= 0.5 AND Answer_Relevancy &lt; 0.5 (Correct answer, wrong intent).
Decision: → Label as: Semantic Drift (Faithfulness = 0.769, Answer_Relevancy = 0.358)
[PRIORITY 5] INCOMPLETE ANSWER
Condition: Faithfulness &gt;= 0.5 AND Answer_Relevancy &gt;= 0.5 AND Answer covers only a subset of aspects.
Decision: → NOT Label as: Incomplete Answer (Answer covers multiple aspects, but Answer_Relevancy is low)
[NO ERROR]
If NONE of above:
Decision: → NOT Label as: Correct Answer (Semantic Drift is triggered)
### STEP 4 — Output Format (MANDATORY)
For each row, output a structured report:
- Error_Label: Semantic Drift
- Triggered_Rule: PRIORITY 4 SEMANTIC DRIFT
- Metrics_Summary: Faithfulness: 0.769, Answer_Relevancy: 0.358, Context_Precision: 1.0, Context_Recall: 0.111
- Evidence: The Answer is relevant but has a low Answer_Relevancy score, indicating a semantic drift.
- Justification: The Answer is grounded in Top_K_Sources, but the intent of the Answer is different from the intent of the Question, triggering the Semantic Drift rule.</t>
  </si>
  <si>
    <t>### STEP 1 — Extract Query Intent and Aspects
- Main intent of the query: Identify accuracy levels of AI models in supply chain disruption prediction.
- Number of explicit aspects: 2 (accuracy levels, AI models in supply chain disruption prediction)
### STEP 2 — Verify Context Grounding
- Key concepts in the Question appear explicitly in Top_K_Sources: Yes
- Number of relevant chunks: 3
- Number of noisy / off-topic chunks: 0
- Factual claim in the Answer is NOT grounded in Top_K_Sources: No
### STEP 3 — Apply Error Classification Rules (IN ORDER OF PRIORITY)
[PRIORITY 1] HALLUCINATION
Condition: Faithfulness &lt; 0.5 AND Answer contains claims not in Top-K sources.
Decision: → Not triggered (Faithfulness = 0.778 &gt; 0.5)
[PRIORITY 2] RETRIEVAL FAILURE
Condition: Context_Recall &lt; 0.5 AND NONE of the Top-K chunks contain core concepts.
Decision: → Not triggered (Context_Recall = 0.6 &gt; 0.5)
[PRIORITY 3] CONTEXT NOISE
Condition: Context_Recall &gt;= 0.5 AND Context_Precision &lt; 0.5 AND &gt;50% chunks are irrelevant.
Decision: → Not triggered (Context_Precision = 0.0, but only 1 chunk is irrelevant out of 3)
[PRIORITY 4] SEMANTIC DRIFT
Condition: Faithfulness &gt;= 0.5 AND Answer_Relevancy &lt; 0.5 (Correct answer, wrong intent).
Decision: → Triggered (Answer_Relevancy = 0.0 &lt; 0.5)
[PRIORITY 5] INCOMPLETE ANSWER
Condition: Faithfulness &gt;= 0.5 AND Answer_Relevancy &gt;= 0.5 AND Answer covers only a subset of aspects.
Decision: → Not triggered (Answer_Relevancy = 0.0 &lt; 0.5)
[NO ERROR]
If NONE of above:
Decision: → Not triggered (Semantic Drift triggered)
### STEP 4 — Output Format (MANDATORY)
- Error_Label: Semantic Drift
- Triggered_Rule: PRIORITY 4 - SEMANTIC DRIFT
- Metrics_Summary: Faithfulness = 0.778, Answer_Relevancy = 0.0, Context_Precision = 0.0, Context_Recall = 0.6
- Evidence: The Answer is relevant to the topic of AI and supply chain, but the accuracy levels for AI models in supply chain disruption prediction are not explicitly reported, highlighting a mismatch between the intent of the query and the content of the Answer.
- Justification: The Answer_Relevancy is low (0.0), indicating that the Answer does not address the main intent of the query, and the Faithfulness is high (0.778), indicating that the Answer is grounded in the Top_K_Sources. Therefore, the error is classified as Semantic Drift.</t>
  </si>
  <si>
    <t>### STEP 1 — Extract Query Intent and Aspects
From the Question:
1. Main intent of the query: Identify the reduction in disruption impact reported using AI models.
2. Number of explicit aspects: 2 (reduction in disruption impact, AI models)
### STEP 2 — Verify Context Grounding
From Top_K_Sources:
1. Key concepts in the Question appear explicitly in Top_K_Sources:
   - AI models: Present in all Top_K_Sources.
   - Disruption impact: Present in Rank #1 and implied in Rank #3.
2. Count:
   - Number of relevant chunks: 3 (all Top_K_Sources are relevant).
   - Number of noisy / off-topic chunks: 0 (all chunks are relevant).
3. Determine if any factual claim in the Answer is NOT grounded in Top_K_Sources:
   - The Answer claims that there is no specific information on the reduction in disruption impact reported using AI models, which is consistent with the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0.0, but Top_K_Sources contain relevant chunks)
[PRIORITY 3] CONTEXT NOISE
Condition: Context_Recall &gt;= 0.5 AND Context_Precision &lt; 0.5 AND &gt;50% chunks are irrelevant.
Decision: → NOT APPLICABLE (Context_Recall = 0.0 and Context_Precision = 0.0)
[PRIORITY 4] SEMANTIC DRIFT
Condition: Faithfulness &gt;= 0.5 AND Answer_Relevancy &lt; 0.5 (Correct answer, wrong intent).
Decision: → APPLICABLE (Faithfulness = 1.0, Answer_Relevancy = 0.0)
[PRIORITY 5] INCOMPLETE ANSWER
Condition: Faithfulness &gt;= 0.5 AND Answer_Relevancy &gt;= 0.5 AND Answer covers only a subset of aspects.
Decision: → NOT APPLICABLE (Answer_Relevancy = 0.0)
[NO ERROR]
If NONE of above:
Decision: → NOT APPLICABLE (Semantic Drift is triggered)
### STEP 4 — Output Format (MANDATORY)
For each row, output a structured report:
- Error_Label: Semantic Drift
- Triggered_Rule: PRIORITY 4: SEMANTIC DRIFT
- Metrics_Summary: Faithfulness: 1.0, Answer_Relevancy: 0.0, Context_Precision: 0.0, Context_Recall: 0.0
- Evidence: The Answer claims that there is no specific information on the reduction in disruption impact reported using AI models, which is consistent with the Top_K_Sources, but the Answer_Relevancy is 0.0, indicating that the Answer does not address the query intent.
- Justification: The Faithfulness is 1.0, indicating that the Answer is faithful to the Top_K_Sources, but the Answer_Relevancy is 0.0, indicating that the Answer does not address the query intent, which is a characteristic of Semantic Drift.</t>
  </si>
  <si>
    <t>### STEP 1 — Extract Query Intent and Aspects
From the Question:
1. Identify the main intent of the query: **Validation methods**
2. Identify the number of explicit aspects: **1**
### STEP 2 — Verify Context Grounding
From Top_K_Sources:
1. Identify whether each key concept in the Question appears explicitly:
   - **Validation methods**: Yes (appears in Rank #3)
   - **Commonly applied**: Yes (implied in Rank #3)
2. Count:
   - Number of relevant chunks: **3**
   - Number of noisy / off-topic chunks: **0**
3. Determine if any factual claim in the Answer is NOT grounded in Top_K_Sources:
   - **Validation methods commonly applied are not explicitly mentioned in the provided documents**: No (grounded in Rank #3)
   - **However, the concept of AI assurance is discussed in Doc [3]**: Yes (grounded in Rank #3)
### STEP 3 — Apply Error Classification Rules (IN ORDER OF PRIORITY)
[PRIORITY 1] HALLUCINATION
Condition: Faithfulness &lt; 0.5 AND Answer contains claims not in Top-K sources.
Decision: → **NO** (Faithfulness = 0.625, Answer contains claims in Top-K sources)
[PRIORITY 2] RETRIEVAL FAILURE
Condition: Context_Recall &lt; 0.5 AND NONE of the Top-K chunks contain core concepts.
Decision: → **NO** (Context_Recall = 0.75, Rank #3 contains core concept "Validation methods")
[PRIORITY 3] CONTEXT NOISE
Condition: Context_Recall &gt;= 0.5 AND Context_Precision &lt; 0.5 AND &gt;50% chunks are irrelevant.
Decision: → **NO** (Context_Precision = 0.333, but not &gt;50% chunks are irrelevant)
[PRIORITY 4] SEMANTIC DRIFT
Condition: Faithfulness &gt;= 0.5 AND Answer_Relevancy &lt; 0.5 (Correct answer, wrong intent).
Decision: → **YES** (Faithfulness = 0.625, Answer_Relevancy = 0.0)
[PRIORITY 5] INCOMPLETE ANSWER
Condition: Faithfulness &gt;= 0.5 AND Answer_Relevancy &gt;= 0.5 AND Answer covers only a subset of aspects.
Decision: → **NO** (Answer_Relevancy = 0.0)
[NO ERROR]
If NONE of above:
Decision: → **NO** (Semantic Drift triggered)
### STEP 4 — Output Format (MANDATORY)
For each row, output a structured report:
- **Error_Label**: Semantic Drift
- **Triggered_Rule**: PRIORITY 4 &amp; SEMANTIC DRIFT
- **Metrics_Summary**: Faithfulness: 0.625, Answer_Relevancy: 0.0, Context_Precision: 0.333, Context_Recall: 0.75
- **Evidence**: Answer contains claims not in Top-K sources, but Faithfulness is high.
- **Justification**: Semantic Drift triggered because Faithfulness is high, but Answer_Relevancy is low, indicating a correct answer with a wrong intent.</t>
  </si>
  <si>
    <t>### STEP 1 — Extract Query Intent and Aspects
From the Question:
1. Main intent of the query: Identify resilience metrics that are quantitatively evaluated.
2. Number of explicit aspects: 1 (resilience metrics)
### STEP 2 — Verify Context Grounding
From Top_K_Sources:
1. Key concepts in the Question appear explicitly in Top_K_Sources:
   - "resilience metrics" appears in Rank #2
   - "quantitatively evaluated" appears in Rank #2
2. Count:
   - Number of relevant chunks: 2 (Rank #1 and Rank #2)
   - Number of noisy / off-topic chunks: 1 (Rank #3)
3. Determine if any factual claim in the Answer is NOT grounded in Top_K_Sources:
   - The Answer mentions "Monostori (2016)" which is not explicitly mentioned in Top_K_Sources.
### STEP 3 — Apply Error Classification Rules (IN ORDER OF PRIORITY)
[PRIORITY 1] HALLUCINATION
Condition: Faithfulness &lt; 0.5 AND Answer contains claims not in Top-K sources.
Decision: → Label as: Hallucination (Faithfulness = 0.625, so this condition is not met)
[PRIORITY 2] RETRIEVAL FAILURE
Condition: Context_Recall &lt; 0.5 AND NONE of the Top-K chunks contain core concepts.
Decision: → Label as: Retrieval Failure (Context_Recall = 1.0, so this condition is not met)
[PRIORITY 3] CONTEXT NOISE
Condition: Context_Recall &gt;= 0.5 AND Context_Precision &lt; 0.5 AND &gt;50% chunks are irrelevant.
Decision: → Label as: Context Noise (Context_Precision = 0.5, so this condition is not met)
[PRIORITY 4] SEMANTIC DRIFT
Condition: Faithfulness &gt;= 0.5 AND Answer_Relevancy &lt; 0.5 (Correct answer, wrong intent).
Decision: → Label as: Semantic Drift (Faithfulness = 0.625 and Answer_Relevancy = 0.388, so this condition is met)
[PRIORITY 5] INCOMPLETE ANSWER
Condition: Faithfulness &gt;= 0.5 AND Answer_Relevancy &gt;= 0.5 AND Answer covers only a subset of aspects.
Decision: → Label as: Incomplete Answer (Faithfulness = 0.625 and Answer_Relevancy = 0.388, so this condition is not met)
[NO ERROR]
If NONE of above:
Decision: → Label as: Correct Answer (Semantic Drift was triggered)
### STEP 4 — Output Format (MANDATORY)
For each row, output a structured report:
- Error_Label: Semantic Drift
- Triggered_Rule: PRIORITY 4: SEMANTIC DRIFT
- Metrics_Summary: Faithfulness: 0.625, Answer_Relevancy: 0.388, Context_Precision: 0.5, Context_Recall: 1.0
- Evidence: The Answer mentions "Monostori (2016)" which is not explicitly mentioned in Top_K_Sources.
- Justification: The Answer is semantically correct but has a wrong intent, as it focuses on a specific study rather than providing a general overview of resilience metrics.</t>
  </si>
  <si>
    <t>### STEP 1 — Extract Query Intent and Aspects
From the Question:
1. Main intent of the query: Identify the dominant AI techniques used in early research on supply chain resilience.
2. Number of explicit aspects: 2 (AI techniques, supply chain resilience)
### STEP 2 — Verify Context Grounding
From Top_K_Sources:
1. Key concepts in the Question: AI techniques, supply chain resilience
2. Relevant chunks:
   - Rank #1: "artificial intelligence ai has emerged as a complementary technology in supply chain research"
   - Rank #2: "exploring the power of artificial intelligence in supply chain management"
   - Rank #3: "machine learning techniques and their applicability in supply chain risk management"
   - Rank #4: "artificial intelligence ai is fundamentally reshaping supply chain operation modes"
   - Rank #5: "literature on the use of artificial intelligence ai in supply chain management"
3. Number of relevant chunks: 5
4. Number of noisy / off-topic chunks: 0
5. Factual claim in the Answer: "The dominant AI techniques used in early research on supply chain resilience were not explicitly mentioned in the provided documents."
6. Grounding in Top_K_Sources: The Answer is partially grounded in Top_K_Sources, as it mentions the relevance of AI techniques in supply chain research.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
[PRIORITY 3] CONTEXT NOISE
Condition: Context_Recall &gt;= 0.5 AND Context_Precision &lt; 0.5 AND &gt;50% chunks are irrelevant.
Decision: → NOT Label as: Context Noise (Context_Precision = 0.333, which is less than 0.5, but the condition for &gt;50% chunks being irrelevant is not met)
[PRIORITY 4] SEMANTIC DRIFT
Condition: Faithfulness &gt;= 0.5 AND Answer_Relevancy &lt; 0.5 (Correct answer, wrong intent).
Decision: → Label as: Semantic Drift (Faithfulness = 1.0, Answer_Relevancy = 0.0)
[PRIORITY 5] INCOMPLETE ANSWER
Condition: Faithfulness &gt;= 0.5 AND Answer_Relevancy &gt;= 0.5 AND Answer covers only a subset of aspects.
Decision: → NOT Label as: Incomplete Answer (Answer_Relevancy = 0.0)
[NO ERROR]
If NONE of above:
Decision: → NOT Label as: Correct Answer (Semantic Drift is triggered)
### STEP 4 — Output Format (MANDATORY)
For each row, output a structured report:
- Error_Label: Semantic Drift
- Triggered_Rule: PRIORITY 4 &amp; Semantic Drift
- Metrics_Summary: Faithfulness = 1.0, Answer_Relevancy = 0.0, Context_Precision = 0.333, Context_Recall = 0.8
- Evidence: The Answer is partially grounded in Top_K_Sources, but the Answer_Relevancy is 0.0, indicating that the Answer does not accurately capture the intent of the query.
- Justification: The STRICT rules indicate that the Answer is a Semantic Drift, as it has high Faithfulness but low Answer_Relevancy.</t>
  </si>
  <si>
    <t>### STEP 1 — Extract Query Intent and Aspects
From the Question:
1. Identify the main intent of the query: Historical trends in data sources used for AI-based SCRM.
2. Identify the number of explicit aspects: 2 (Historical trends, Data sources, AI-based SCRM)
### STEP 2 — Verify Context Grounding
From Top_K_Sources:
1. Identify whether each key concept in the Question appears explicitly:
   - Historical trends: Not explicitly mentioned in Top_K_Sources.
   - Data sources: Not explicitly mentioned in Top_K_Sources.
   - AI-based SCRM: Not explicitly mentioned in Top_K_Sources.
2. Count:
   - Number of relevant chunks: 5
   - Number of noisy / off-topic chunks: 0
3. Determine if any factual claim in the Answer is NOT grounded in Top_K_Sources:
   - The Answer claims that historical trends in data sources used for AI-based SCRM are not explicitly mentioned in the provided documents. This is consistent with the Top_K_Sources.
### STEP 3 — Apply Error Classification Rules (IN ORDER OF PRIORITY)
[PRIORITY 1] HALLUCINATION
Condition: Faithfulness &lt; 0.5 AND Answer contains claims not in Top-K sources.
Decision: → Label as: Hallucination (Faithfulness = 0.571, so this condition is not met)
[PRIORITY 2] RETRIEVAL FAILURE
Condition: Context_Recall &lt; 0.5 AND NONE of the Top-K chunks contain core concepts.
Decision: → Label as: Retrieval Failure (Context_Recall = 1.0, so this condition is not met)
[PRIORITY 3] CONTEXT NOISE
Condition: Context_Recall &gt;= 0.5 AND Context_Precision &lt; 0.5 AND &gt;50% chunks are irrelevant.
Decision: → Label as: Context Noise (Context_Precision = 0.0, but Context_Recall = 1.0, so this condition is not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(Semantic Drift is triggered)
### STEP 4 — Output Format (MANDATORY)
For each row, output a structured report:
- Error_Label: Semantic Drift
- Triggered_Rule: PRIORITY 4 &amp; Semantic Drift
- Metrics_Summary: Faithfulness = 0.571, Answer_Relevancy = 0.0, Context_Precision = 0.0, Context_Recall = 1.0
- Evidence: The Answer claims that historical trends in data sources used for AI-based SCRM are not explicitly mentioned in the provided documents, which is consistent with the Top_K_Sources.
- Justification: The Answer is semantically correct but has a low relevancy score, indicating that it does not fully address the query intent.</t>
  </si>
  <si>
    <t>### STEP 1 — Extract Query Intent and Aspects
From the Question:
1. Main intent of the query: Identify how reinforcement learning entered supply chain resilience research.
2. Number of explicit aspects: 2 (reinforcement learning, supply chain resilience research)
### STEP 2 — Verify Context Grounding
From Top_K_Sources:
1. Key concepts in the Question appear explicitly in Top_K_Sources: Yes (supply chain resilience, research)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0.0, but Context_Recall = 1.0)
[PRIORITY 4] SEMANTIC DRIFT
Condition: Faithfulness &gt;= 0.5 AND Answer_Relevancy &lt; 0.5 (Correct answer, wrong intent).
Decision: → Applicable (Answer_Relevancy = 0.0, Faithfulness = 0.875)
[PRIORITY 5] INCOMPLETE ANSWER
Condition: Faithfulness &gt;= 0.5 AND Answer_Relevancy &gt;= 0.5 AND Answer covers only a subset of aspects.
Decision: → Not applicable (Answer_Relevancy = 0.0)
[NO ERROR]
If NONE of above:
Decision: → Not applicable (Semantic Drift is triggered)
### STEP 4 — Output Format (MANDATORY)
For each row, output a structured report:
- Error_Label: Semantic Drift
- Triggered_Rule: PRIORITY 4: SEMANTIC DRIFT
- Metrics_Summary: Faithfulness: 0.875, Answer_Relevancy: 0.0, Context_Precision: 0.0, Context_Recall: 1.0
- Evidence: The answer is correct in terms of faithfulness, but the answer relevancy is 0.0, indicating that the answer does not address the query intent.
- Justification: The STRICT rules indicate that the answer is a semantic drift, as it is correct in terms of faithfulness but has a low answer relevancy.</t>
  </si>
  <si>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appear explicitly in Top_K_Sources: Yes
2. Count:
   - Number of relevant chunks: 4
   - Number of noisy / off-topic chunks: 1 (Rank #4 and Rank #5 chunks are somewhat off-topic)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0.786)
[PRIORITY 2] RETRIEVAL FAILURE
Condition: Context_Recall &lt; 0.5 AND NONE of the Top-K chunks contain core concepts.
Decision: → Not applicable (Context_Recall = 0.667)
[PRIORITY 3] CONTEXT NOISE
Condition: Context_Recall &gt;= 0.5 AND Context_Precision &lt; 0.5 AND &gt;50% chunks are irrelevant.
Decision: → Not applicable (Context_Precision = 0.0, but only 1 chunk is somewhat off-topic)
[PRIORITY 4] SEMANTIC DRIFT
Condition: Faithfulness &gt;= 0.5 AND Answer_Relevancy &lt; 0.5 (Correct answer, wrong intent).
Decision: → Applicable (Answer_Relevancy = 0.0, the answer does not address the query intent)
[PRIORITY 5] INCOMPLETE ANSWER
Condition: Faithfulness &gt;= 0.5 AND Answer_Relevancy &gt;= 0.5 AND Answer covers only a subset of aspects.
Decision: → Not applicable (Answer_Relevancy = 0.0)
[NO ERROR]
If NONE of above:
Decision: → Not applicable (Semantic Drift is triggered)
### STEP 4 — Output Format (MANDATORY)
For each row, output a structured report:
- Error_Label: Semantic Drift
- Triggered_Rule: PRIORITY 4 - SEMANTIC DRIFT
- Metrics_Summary: Faithfulness = 0.786, Answer_Relevancy = 0.0, Context_Precision = 0.0, Context_Recall = 0.667
- Evidence: The answer does not address the query intent, despite having a high faithfulness score.
- Justification: The answer relevancy score is 0.0, indicating that the answer does not address the query intent, which is a characteristic of semantic drift.</t>
  </si>
  <si>
    <t>### STEP 1 — Extract Query Intent and Aspects
From the Question:
1. Main intent of the query: Evaluate metrics for resilience-focused AI research.
2. Number of explicit aspects: 1 (evaluation metrics for resilience-focused AI research)
### STEP 2 — Verify Context Grounding
From Top_K_Sources:
1. Key concepts in the Question appear explicitly in Top_K_Sources: Yes (evaluation metrics, resilience-focused AI research)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0.583 &gt; 0.5)
[PRIORITY 2] RETRIEVAL FAILURE
Condition: Context_Recall &lt; 0.5 AND NONE of the Top-K chunks contain core concepts.
Decision: → Not applicable (Context_Recall = 0.8 &gt; 0.5)
[PRIORITY 3] CONTEXT NOISE
Condition: Context_Recall &gt;= 0.5 AND Context_Precision &lt; 0.5 AND &gt;50% chunks are irrelevant.
Decision: → Not applicable (Context_Precision = 0.0 &lt; 0.5, but Context_Recall = 0.8 &gt; 0.5 and only 1 chunk is irrelevant)
[PRIORITY 4] SEMANTIC DRIFT
Condition: Faithfulness &gt;= 0.5 AND Answer_Relevancy &lt; 0.5 (Correct answer, wrong intent).
Decision: → Applicable (Faithfulness = 0.583 &gt; 0.5 and Answer_Relevancy = 0.0 &lt; 0.5)
[PRIORITY 5] INCOMPLETE ANSWER
Condition: Faithfulness &gt;= 0.5 AND Answer_Relevancy &gt;= 0.5 AND Answer covers only a subset of aspects.
Decision: → Not applicable (Answer_Relevancy = 0.0 &lt; 0.5)
[NO ERROR]
If NONE of above:
Decision: → Not applicable (Semantic Drift is applicable)
### STEP 4 — Output Format (MANDATORY)
For each row, output a structured report:
- Error_Label: Semantic Drift
- Triggered_Rule: PRIORITY 4: SEMANTIC DRIFT
- Metrics_Summary: Faithfulness: 0.583, Answer_Relevancy: 0.0, Context_Precision: 0.0, Context_Recall: 0.8
- Evidence: The answer is relevant to the context, but the answer's intent is not aligned with the question's intent.
- Justification: The faithfulness score is above 0.5, indicating that the answer is relevant to the context. However, the answer's relevancy score is 0.0, indicating that the answer does not address the question's intent.</t>
  </si>
  <si>
    <t>### STEP 1 — Extract Query Intent and Aspects
From the Question:
1. Main intent of the query: Identify accuracy levels of AI models in supply chain disruption prediction.
2. Number of explicit aspects: 2 (accuracy levels, AI models, supply chain disruption prediction)
### STEP 2 — Verify Context Grounding
From Top_K_Sources:
1. Key concepts in the Question appear explicitly in Top_K_Sources: Yes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0.688)
[PRIORITY 2] RETRIEVAL FAILURE
Condition: Context_Recall &lt; 0.5 AND NONE of the Top-K chunks contain core concepts.
Decision: → Not applicable (Context_Recall = 0.857)
[PRIORITY 3] CONTEXT NOISE
Condition: Context_Recall &gt;= 0.5 AND Context_Precision &lt; 0.5 AND &gt;50% chunks are irrelevant.
Decision: → Not applicable (Context_Precision = 0.0)
[PRIORITY 4] SEMANTIC DRIFT
Condition: Faithfulness &gt;= 0.5 AND Answer_Relevancy &lt; 0.5 (Correct answer, wrong intent).
Decision: → Applicable (Answer_Relevancy = 0.0)
[PRIORITY 5] INCOMPLETE ANSWER
Condition: Faithfulness &gt;= 0.5 AND Answer_Relevancy &gt;= 0.5 AND Answer covers only a subset of aspects.
Decision: → Not applicable (Answer_Relevancy = 0.0)
[NO ERROR]
If NONE of above:
Decision: → Not applicable (Semantic Drift is applicable)
### STEP 4 — Output Format (MANDATORY)
For each row, output a structured report:
- Error_Label: Semantic Drift
- Triggered_Rule: PRIORITY 4 &amp; Semantic Drift
- Metrics_Summary: Faithfulness = 0.688, Answer_Relevancy = 0.0, Context_Precision = 0.0, Context_Recall = 0.857
- Evidence: The answer is relevant to the topic of AI and supply chain, but it does not address the specific question of accuracy levels for AI models in supply chain disruption prediction.
- Justification: The faithfulness of the answer is high, but the answer relevancy is low, indicating a semantic drift between the correct answer and the provided answer.</t>
  </si>
  <si>
    <t>### STEP 1 — Extract Query Intent and Aspects
From the Question:
1. Main intent of the query: Identify the time horizons evaluated in resilience prediction studies.
2. Number of explicit aspects: 1 (time horizons)
### STEP 2 — Verify Context Grounding
From Top_K_Sources:
1. Key concepts in the Question: time horizons, resilience prediction studies
2. Relevant chunks:
   - Rank #1: interpretable attention weights offering insights into the relative importance of different time steps in making predictions
   - Rank #3: evaluating the robustness of time series forecast models under disruptions
   - Rank #4: unveiling time series patterns a deep learning approach for accurate forecasting
3. Noisy / off-topic chunks:
   - Rank #2: frost monitoring cyberphysical system a survey on prediction and active protection methods
   - Rank #5: deep learning for timeseries prediction in iiot progress challenges and prospects
4. Factual claim in the Answer: The time horizons evaluated in resilience prediction studies are not explicitly mentioned in the provided documents.
5. Grounding in Top_K_Sources: The Answer is partially grounded in Top_K_Sources (Rank #1, #3, and #4).
### STEP 3 — Apply Error Classification Rules (IN ORDER OF PRIORITY)
[PRIORITY 1] HALLUCINATION
Condition: Faithfulness &lt; 0.5 AND Answer contains claims not in Top-K sources.
Decision: → NOT Label as: Hallucination (Faithfulness = 0.778)
[PRIORITY 2] RETRIEVAL FAILURE
Condition: Context_Recall &lt; 0.5 AND NONE of the Top-K chunks contain core concepts.
Decision: → NOT Label as: Retrieval Failure (Context_Recall = 0.4)
[PRIORITY 3] CONTEXT NOISE
Condition: Context_Recall &gt;= 0.5 AND Context_Precision &lt; 0.5 AND &gt;50% chunks are irrelevant.
Decision: → NOT Label as: Context Noise (Context_Precision = 0.2)
[PRIORITY 4] SEMANTIC DRIFT
Condition: Faithfulness &gt;= 0.5 AND Answer_Relevancy &lt; 0.5 (Correct answer, wrong intent).
Decision: → Label as: Semantic Drift (Answer_Relevancy = 0.0)
[PRIORITY 5] INCOMPLETE ANSWER
Condition: Faithfulness &gt;= 0.5 AND Answer_Relevancy &gt;= 0.5 AND Answer covers only a subset of aspects.
Decision: → NOT Label as: Incomplete Answer (Answer_Relevancy = 0.0)
[NO ERROR]
If NONE of above:
Decision: → NOT Label as: Correct Answer (Answer_Relevancy = 0.0)
### STEP 4 — Output Format (MANDATORY)
For each row, output a structured report:
- Error_Label: Semantic Drift
- Triggered_Rule: [PRIORITY 4] SEMANTIC DRIFT
- Metrics_Summary: Faithfulness = 0.778, Answer_Relevancy = 0.0, Context_Precision = 0.2, Context_Recall = 0.4
- Evidence: The Answer is partially grounded in Top_K_Sources, but the Answer_Relevancy is 0.0, indicating a semantic drift.
- Justification: The Answer is relevant to the query intent, but the Answer_Relevancy is 0.0, indicating that the Answer does not accurately capture the time horizons evaluated in resilience prediction studies.</t>
  </si>
  <si>
    <t>### STEP 1 — Extract Query Intent and Aspects
From the Question:
1. Main intent of the query: Identify empirically validated data modalities.
2. Number of explicit aspects: 1 (data modalities)
### STEP 2 — Verify Context Grounding
From Top_K_Sources:
1. Key concepts in the Question: empirically validated data modalities, data modalities
2. Relevant chunks:
   - Rank #1: big data environment (contains "big data" which is related to data modalities)
   - Rank #2: large language models (contains "large language models" which is related to data modalities)
3. Noisy / off-topic chunks:
   - Rank #3: sustainable transition in semiconductor supply chain (not related to data modalities)
   - Rank #4: AI data governance in large language models (related to data governance, not data modalities)
   - Rank #5: big data smart supply chain and market orientation in smes (related to big data, but not empirically validated data modalities)
4. Factual claim in the Answer: The data modalities empirically validated are not explicitly mentioned in the provided documents.
### STEP 3 — Apply Error Classification Rules (IN ORDER OF PRIORITY)
[PRIORITY 1] HALLUCINATION
Condition: Faithfulness &lt; 0.5 AND Answer contains claims not in Top-K sources.
Decision: → Label as: Hallucination (Faithfulness = 0.529, but the Answer contains claims not in Top-K sources, specifically "empirically validated data modalities" which is not mentioned in any of the Top-K sources)
[PRIORITY 2] RETRIEVAL FAILURE
Condition: Context_Recall &lt; 0.5 AND NONE of the Top-K chunks contain core concepts.
Decision: → Label as: Retrieval Failure (Context_Recall = 0.857, so this condition is not met)
[PRIORITY 3] CONTEXT NOISE
Condition: Context_Recall &gt;= 0.5 AND Context_Precision &lt; 0.5 AND &gt;50% chunks are irrelevant.
Decision: → Label as: Context Noise (Context_Precision = 0.0, but only 3 out of 5 chunks are irrelevant, so this condition is not met)
[PRIORITY 4] SEMANTIC DRIFT
Condition: Faithfulness &gt;= 0.5 AND Answer_Relevancy &lt; 0.5 (Correct answer, wrong intent).
Decision: → Label as: Semantic Drift (Faithfulness = 0.529, but Answer_Relevancy = 0.0, so this condition is met)
[PRIORITY 5] INCOMPLETE ANSWER
Condition: Faithfulness &gt;= 0.5 AND Answer_Relevancy &gt;= 0.5 AND Answer covers only a subset of aspects.
Decision: → Label as: Incomplete Answer (Faithfulness = 0.529, but Answer_Relevancy = 0.0, so this condition is not met)
[NO ERROR]
If NONE of above:
Decision: → Label as: Correct Answer (this is not the case, as one of the above conditions is met)
### STEP 4 — Output Format (MANDATORY)
For each row, output a structured report:
- Error_Label: Semantic Drift
- Triggered_Rule: PRIORITY 4 SEMANTIC DRIFT
- Metrics_Summary: Faithfulness = 0.529, Answer_Relevancy = 0.0, Context_Precision = 0.0, Context_Recall = 0.857
- Evidence: The Answer contains claims not in Top-K sources, and the Answer_Relevancy is 0.0.
- Justification: The STRICT rules indicate that the error is Semantic Drift, as the Faithfulness is above 0.5, but the Answer_Relevancy is below 0.5.</t>
  </si>
  <si>
    <t>### STEP 1 — Extract Query Intent and Aspects
- Main intent of the query: Identify gaps in explainability for AI-driven risk prediction models.
- Number of explicit aspects: 2 (explainability, AI-driven risk prediction models)
### STEP 2 — Verify Context Grounding
- Key concepts in the Question appear explicitly in Top_K_Sources: Yes (explainability, AI-driven risk prediction models)
- Number of relevant chunks: 2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0.333, Top-K chunks contain core concepts)
[PRIORITY 3] CONTEXT NOISE
Condition: Context_Recall &gt;= 0.5 AND Context_Precision &lt; 0.5 AND &gt;50% chunks are irrelevant.
Decision: → NOT Label as: Context Noise (Context_Recall = 0.333, Context_Precision = 0.0, &lt;50% chunks are irrelevant)
[PRIORITY 4] SEMANTIC DRIFT
Condition: Faithfulness &gt;= 0.5 AND Answer_Relevancy &lt; 0.5 (Correct answer, wrong intent).
Decision: → Label as: Semantic Drift (Faithfulness = 1.0, Answer_Relevancy = 0.0)
[PRIORITY 5] INCOMPLETE ANSWER
Condition: Faithfulness &gt;= 0.5 AND Answer_Relevancy &gt;= 0.5 AND Answer covers only a subset of aspects.
Decision: → NOT Label as: Incomplete Answer (Answer_Relevancy = 0.0)
[NO ERROR]
If NONE of above:
Decision: → NOT Label as: Correct Answer (Error detected)
### STEP 4 — Output Format (MANDATORY)
- Error_Label: Semantic Drift
- Triggered_Rule: PRIORITY 4 &amp; Semantic Drift
- Metrics_Summary: Faithfulness = 1.0, Answer_Relevancy = 0.0, Context_Recall = 0.333, Context_Precision = 0.0
- Evidence: The Answer is relevant to the query, but the intent is incorrect, as it focuses on challenges related to AI adoption rather than gaps in explainability.
- Justification: The STRICT rules indicate that the Answer is semantically drifted, as it has high faithfulness but low answer relevancy.</t>
  </si>
  <si>
    <t>### STEP 1 — Extract Query Intent and Aspects
From the Question:
1. Main intent of the query: Identify commonly used datasets in AI-based SCRM studies.
2. Number of explicit aspects: 1 (datasets)
### STEP 2 — Verify Context Grounding
From Top_K_Sources:
1. Key concepts in the Question appear explicitly in Top_K_Sources:
   - "datasets" appears in Rank #1 chunk.
   - "AI-based SCRM studies" appears in Rank #1 and #2 chunks.
2. Count:
   - Number of relevant chunks: 3
   - Number of noisy / off-topic chunks: 0
3. Determine if any factual claim in the Answer is NOT grounded in Top_K_Sources:
   - The Answer claims that commonly used datasets are not explicitly mentioned in the provided documents, which is not supported by Top_K_Sources.
### STEP 3 — Apply Error Classification Rules (IN ORDER OF PRIORITY)
[PRIORITY 1] HALLUCINATION
Condition: Faithfulness &lt; 0.5 AND Answer contains claims not in Top-K sources.
Decision: → Label as: Hallucination
Justification: Faithfulness is 0.556, which is greater than 0.5, so this rule is not triggered. However, the Answer contains claims not supported by Top_K_Sources, but since Faithfulness is above threshold, we move to the next rule.
[PRIORITY 2] RETRIEVAL FAILURE
Condition: Context_Recall &lt; 0.5 AND NONE of the Top-K chunks contain core concepts.
Decision: → Label as: Retrieval Failure
Justification: Context_Recall is 0.6, which is greater than 0.5, so this rule is not triggered.
[PRIORITY 3] CONTEXT NOISE
Condition: Context_Recall &gt;= 0.5 AND Context_Precision &lt; 0.5 AND &gt;50% chunks are irrelevant.
Decision: → Label as: Context Noise
Justification: Context_Precision is 0.0, which is less than 0.5, and none of the chunks are irrelevant, so this rule is not triggered.
[PRIORITY 4] SEMANTIC DRIFT
Condition: Faithfulness &gt;= 0.5 AND Answer_Relevancy &lt; 0.5 (Correct answer, wrong intent).
Decision: → Label as: Semantic Drift
Justification: Faithfulness is 0.556, which is greater than 0.5, and Answer_Relevancy is 0.0, which is less than 0.5, so this rule is triggered.
[PRIORITY 5] INCOMPLETE ANSWER
Condition: Faithfulness &gt;= 0.5 AND Answer_Relevancy &gt;= 0.5 AND Answer covers only a subset of aspects.
Decision: → Label as: Incomplete Answer
Justification: Faithfulness is 0.556, which is greater than 0.5, but Answer_Relevancy is 0.0, which is less than 0.5, so this rule is not triggered.
[NO ERROR]
If NONE of above:
Decision: → Label as: Correct Answer
Justification: Since none of the above rules are triggered, the answer is classified as Correct Answer.
### STEP 4 — Output Format (MANDATORY)
For each row, output a structured report:
- Error_Label: Semantic Drift
- Triggered_Rule: PRIORITY 4 SEMANTIC DRIFT
- Metrics_Summary: Faithfulness: 0.556, Answer_Relevancy: 0.0, Context_Precision: 0.0, Context_Recall: 0.6
- Evidence: The Answer contains claims not supported by Top_K_Sources, and Answer_Relevancy is 0.0.
- Justification: The answer is classified as Semantic Drift because Faithfulness is greater than 0.5, and Answer_Relevancy is less than 0.5.</t>
  </si>
  <si>
    <t>### STEP 1 — Extract Query Intent and Aspects
- Main intent of the query: Identify sample sizes used in empirical SCRM studies.
- Number of explicit aspects: 1 (sample sizes)
### STEP 2 — Verify Context Grounding
- Key concepts in the Question: sample sizes, empirical SCRM studies
- Relevant chunks:
  - Rank #2: "more than 37 months of actual retail sales data"
- Noisy/off-topic chunks:
  - Rank #1: "adaptability and responsiveness of sc management scm systems"
  - Rank #3: "digitalization of supply chain management with industry 40 enabling technologies"
- Factual claim in the Answer not grounded in Top_K_Sources: None
### STEP 3 — Apply Error Classification Rules (IN ORDER OF PRIORITY)
[PRIORITY 1] HALLUCINATION
Condition: Faithfulness &lt; 0.5 AND Answer contains claims not in Top-K sources.
Decision: → Label as: Hallucination (Not triggered, Faithfulness is 0.875)
[PRIORITY 2] RETRIEVAL FAILURE
Condition: Context_Recall &lt; 0.5 AND NONE of the Top-K chunks contain core concepts.
Decision: → Label as: Retrieval Failure (Not triggered, Context_Recall is 0.4)
[PRIORITY 3] CONTEXT NOISE
Condition: Context_Recall &gt;= 0.5 AND Context_Precision &lt; 0.5 AND &gt;50% chunks are irrelevant.
Decision: → Label as: Context Noise (Not triggered, Context_Precision is 0.0)
[PRIORITY 4] SEMANTIC DRIFT
Condition: Faithfulness &gt;= 0.5 AND Answer_Relevancy &lt; 0.5 (Correct answer, wrong intent).
Decision: → Label as: Semantic Drift (Triggered, Answer_Relevancy is 0.0)
[PRIORITY 5] INCOMPLETE ANSWER
Condition: Faithfulness &gt;= 0.5 AND Answer_Relevancy &gt;= 0.5 AND Answer covers only a subset of aspects.
Decision: → Label as: Incomplete Answer (Not triggered, Answer_Relevancy is 0.0)
[NO ERROR]
If NONE of above:
Decision: → Label as: Correct Answer (Not triggered, Semantic Drift is triggered)
### STEP 4 — Output Format (MANDATORY)
- Error_Label: Semantic Drift
- Triggered_Rule: PRIORITY 4 &amp; Semantic Drift
- Metrics_Summary: Faithfulness: 0.875, Answer_Relevancy: 0.0, Context_Precision: 0.0, Context_Recall: 0.4
- Evidence: The answer is semantically correct but lacks relevance to the question.
- Justification: The answer is semantically correct (Faithfulness: 0.875), but it lacks relevance to the question (Answer_Relevancy: 0.0), which is a characteristic of Semantic Drift.</t>
  </si>
  <si>
    <t>### STEP 1 — Extract Query Intent and Aspects
- Main intent of the query: Identify computational costs for AI-based models.
- Number of explicit aspects: 1 (computational costs for AI-based models)
### STEP 2 — Verify Context Grounding
- Key concepts in the Question: computational costs, AI-based models
- Relevant chunks:
  - Rank #1: "developing AI models consumes time and cost"
  - Rank #2: "a mathematical model is developed based on carbon emission and economic cost"
  - Rank #3: "developed a novel cost prediction model using case-based reasoning, an artificial intelligence-based technique"
- Noisy/off-topic chunks: None
- Factual claims in the Answer not grounded in Top_K_Sources: None
### STEP 3 — Apply Error Classification Rules (IN ORDER OF PRIORITY)
[PRIORITY 1] HALLUCINATION
Condition: Faithfulness &lt; 0.5 AND Answer contains claims not in Top-K sources.
Decision: → NOT Label as: Hallucination (Faithfulness = 0.846)
[PRIORITY 2] RETRIEVAL FAILURE
Condition: Context_Recall &lt; 0.5 AND NONE of the Top-K chunks contain core concepts.
Decision: → NOT Label as: Retrieval Failure (Context_Recall = 0.143, Top-K chunks contain relevant information)
[PRIORITY 3] CONTEXT NOISE
Condition: Context_Recall &gt;= 0.5 AND Context_Precision &lt; 0.5 AND &gt;50% chunks are irrelevant.
Decision: → NOT Label as: Context Noise (Context_Recall = 0.143, Context_Precision = 0.0, but only 1 chunk is irrelevant)
[PRIORITY 4] SEMANTIC DRIFT
Condition: Faithfulness &gt;= 0.5 AND Answer_Relevancy &lt; 0.5 (Correct answer, wrong intent).
Decision: → Label as: Semantic Drift (Faithfulness = 0.846, Answer_Relevancy = 0.0)
[PRIORITY 5] INCOMPLETE ANSWER
Condition: Faithfulness &gt;= 0.5 AND Answer_Relevancy &gt;= 0.5 AND Answer covers only a subset of aspects.
Decision: → NOT Label as: Incomplete Answer (Answer_Relevancy = 0.0)
[NO ERROR]
If NONE of above:
Decision: → NOT Label as: Correct Answer (Answer_Relevancy = 0.0)
### STEP 4 — Output Format (MANDATORY)
- Error_Label: Semantic Drift
- Triggered_Rule: PRIORITY 4 SEMANTIC DRIFT
- Metrics_Summary: Faithfulness = 0.846, Answer_Relevancy = 0.0, Context_Recall = 0.143, Context_Precision = 0.0
- Evidence: The answer is relevant but the intent is incorrect, as it does not provide any information about computational costs for AI-based models.
- Justification: The STRICT rules indicate that the answer is relevant but the intent is incorrect, which is a characteristic of Semantic Drift.</t>
  </si>
  <si>
    <t>### STEP 1 — Extract Query Intent and Aspects
From the Question:
1. Identify the main intent of the query: The main intent is to understand the shift from reactive to proactive risk management in supply chains.
2. Identify the number of explicit aspects: There are 2 explicit aspects: "reactive risk management" and "proactive risk management".
### STEP 2 — Verify Context Grounding
From Top_K_Sources:
1. Identify whether each key concept in the Question appears explicitly:
   - "reactive risk management" is not explicitly mentioned in Top_K_Sources.
   - "proactive risk management" is explicitly mentioned in Top_K_Sources.
   - "supply chain" is explicitly mentioned in Top_K_Sources.
   - "risk" is explicitly mentioned in Top_K_Sources.
2. Count:
   - Number of relevant chunks: 3
   - Number of noisy / off-topic chunks: 0
3. Determine if any factual claim in the Answer is NOT grounded in Top_K_Sources:
   - The Answer mentions "predictive approaches" and "machine learning" which are not explicitly mentioned in Top_K_Sources.
### STEP 3 — Apply Error Classification Rules (IN ORDER OF PRIORITY)
[PRIORITY 1] HALLUCINATION
Condition: Faithfulness &lt; 0.5 AND Answer contains claims not in Top-K sources.
Decision: → Label as: Hallucination (Condition not met: Faithfulness = 1.0)
[PRIORITY 2] RETRIEVAL FAILURE
Condition: Context_Recall &lt; 0.5 AND NONE of the Top-K chunks contain core concepts.
Decision: → Label as: Retrieval Failure (Condition not met: Context_Recall = 0.857)
[PRIORITY 3] CONTEXT NOISE
Condition: Context_Recall &gt;= 0.5 AND Context_Precision &lt; 0.5 AND &gt;50% chunks are irrelevant.
Decision: → Label as: Context Noise (Condition not met: Context_Precision = 1.0)
[PRIORITY 4] SEMANTIC DRIFT
Condition: Faithfulness &gt;= 0.5 AND Answer_Relevancy &lt; 0.5 (Correct answer, wrong intent).
Decision: → Label as: Semantic Drift (Condition met: Faithfulness = 1.0 and Answer_Relevancy = 0.474)
[PRIORITY 5] INCOMPLETE ANSWER
Condition: Faithfulness &gt;= 0.5 AND Answer_Relevancy &gt;= 0.5 AND Answer covers only a subset of aspects.
Decision: → Label as: Incomplete Answer (Condition not met: Answer_Relevancy = 0.474)
[NO ERROR]
If NONE of above:
Decision: → Label as: Correct Answer (Condition not met: Faithfulness = 1.0 and Answer_Relevancy = 0.474)
### STEP 4 — Output Format (MANDATORY)
For each row, output a structured report:
- Error_Label: Semantic Drift
- Triggered_Rule: PRIORITY 4 SEMANTIC DRIFT
- Metrics_Summary: Faithfulness: 1.0, Answer_Relevancy: 0.474, Context_Precision: 1.0, Context_Recall: 0.857
- Evidence: The Answer contains claims not explicitly mentioned in Top_K_Sources, and the Answer_Relevancy is low.
- Justification: The STRICT rules indicate that the Answer is semantically drifted, as it contains claims not explicitly mentioned in Top_K_Sources, and the Answer_Relevancy is low.</t>
  </si>
  <si>
    <t>### STEP 1 — Extract Query Intent and Aspects
From the Question:
1. Identify the main intent of the query: The main intent is to identify datasets commonly used in AI-based SCRM studies.
2. Identify the number of explicit aspects: There is 1 explicit aspect - datasets.
### STEP 2 — Verify Context Grounding
From Top_K_Sources:
1. Identify whether each key concept in the Question appears explicitly:
   - "datasets" appears explicitly in Rank #2.
   - "AI-based SCRM studies" appears implicitly in Rank #1 and explicitly in Rank #2.
   - "SCRM" appears explicitly in Rank #1 and Rank #2.
2. Count:
   - Number of relevant chunks: 2 (Rank #1 and Rank #2)
   - Number of noisy / off-topic chunks: 1 (Rank #3)
3. Determine if any factual claim in the Answer is NOT grounded in Top_K_Sources:
   - The Answer claims that specific datasets are not mentioned in the provided documents, which is grounded in Rank #2.
   - However, the Answer also claims that machine learning experts may utilize their experience and knowledge to build initial rules and data processing algorithms, which is not directly grounded in any of the Top_K_Sources.
### STEP 3 — Apply Error Classification Rules (IN ORDER OF PRIORITY)
[PRIORITY 1] HALLUCINATION
Condition: Faithfulness &lt; 0.5 AND Answer contains claims not in Top-K sources.
Decision: → Label as: Hallucination (Faithfulness = 0.875, so this condition is not met)
[PRIORITY 2] RETRIEVAL FAILURE
Condition: Context_Recall &lt; 0.5 AND NONE of the Top-K chunks contain core concepts.
Decision: → Label as: Retrieval Failure (Context_Recall = 1.0, so this condition is not met)
[PRIORITY 3] CONTEXT NOISE
Condition: Context_Recall &gt;= 0.5 AND Context_Precision &lt; 0.5 AND &gt;50% chunks are irrelevant.
Decision: → Label as: Context Noise (Context_Precision = 0.0, but only 1 out of 3 chunks is irrelevant, so this condition is not met)
[PRIORITY 4] SEMANTIC DRIFT
Condition: Faithfulness &gt;= 0.5 AND Answer_Relevancy &lt; 0.5 (Correct answer, wrong intent).
Decision: → Label as: Semantic Drift (Faithfulness = 0.875 and Answer_Relevancy = 0.0, so this condition is met)
[PRIORITY 5] INCOMPLETE ANSWER
Condition: Faithfulness &gt;= 0.5 AND Answer_Relevancy &gt;= 0.5 AND Answer covers only a subset of aspects.
Decision: → Label as: Incomplete Answer (Faithfulness = 0.875 and Answer_Relevancy = 0.0, so this condition is not met)
[NO ERROR]
If NONE of above:
Decision: → Label as: Correct Answer (this is not the case, as Semantic Drift is triggered)
### STEP 4 — Output Format (MANDATORY)
For each row, output a structured report:
- Error_Label: Semantic Drift
- Triggered_Rule: PRIORITY 4 SEMANTIC DRIFT
- Metrics_Summary: Faithfulness: 0.875, Answer_Relevancy: 0.0, Context_Precision: 0.0, Context_Recall: 1.0
- Evidence: The Answer contains claims not directly grounded in any of the Top_K_Sources, and the Answer_Relevancy is 0.0.
- Justification: The STRICT rules indicate that the Answer contains a Semantic Drift, as it has a high Faithfulness score but a low Answer_Relevancy score.</t>
  </si>
  <si>
    <t>### STEP 1 — Extract Query Intent and Aspects
From the Question:
1. Main intent of the query: Identify sample sizes used in empirical SCRM studies.
2. Number of explicit aspects: 1 (sample sizes)
### STEP 2 — Verify Context Grounding
From Top_K_Sources:
1. Key concepts in the Question appear explicitly in Top_K_Sources:
   - "sample sizes" is not explicitly mentioned, but related concepts like "sc management" and "ml algorithms" are present.
2. Count:
   - Number of relevant chunks: 3
   - Number of noisy / off-topic chunks: 0
3. Determine if any factual claim in the Answer is NOT grounded in Top_K_Sources:
   - The Answer claims that the provided documents do not explicitly mention the sample sizes, which is supported by the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0.0, but Context_Recall is not &gt;= 0.5 for this rule)
[PRIORITY 4] SEMANTIC DRIFT
Condition: Faithfulness &gt;= 0.5 AND Answer_Relevancy &lt; 0.5 (Correct answer, wrong intent).
Decision: → Label as: Semantic Drift (Faithfulness = 1.0, Answer_Relevancy = 0.0)
[PRIORITY 5] INCOMPLETE ANSWER
Condition: Faithfulness &gt;= 0.5 AND Answer_Relevancy &gt;= 0.5 AND Answer covers only a subset of aspects.
Decision: → NOT Label as: Incomplete Answer (Answer_Relevancy = 0.0)
[NO ERROR]
If NONE of above:
Decision: → NOT Label as: Correct Answer (Semantic Drift is triggered)
### STEP 4 — Output Format (MANDATORY)
For each row, output a structured report:
- Error_Label: Semantic Drift
- Triggered_Rule: PRIORITY 4: SEMANTIC DRIFT
- Metrics_Summary: Faithfulness: 1.0, Answer_Relevancy: 0.0, Context_Precision: 0.0, Context_Recall: 0.833
- Evidence: The Answer is relevant to the query, but the intent is incorrect (it claims that the documents do not provide sample sizes, which is not the main intent of the query).
- Justification: Rule-based explanation: The Answer has high faithfulness (1.0), but low answer relevancy (0.0), indicating that the answer is correct but the intent is wrong.</t>
  </si>
  <si>
    <t>### STEP 1 — Extract Query Intent and Aspects
From the Question:
1. Main intent: Identify geographic regions underrepresented in AI-based SCRM research.
2. Number of explicit aspects: 1 (geographic regions underrepresented in AI-based SCRM research)
### STEP 2 — Verify Context Grounding
From Top_K_Sources:
1. Key concepts in the Question appear explicitly in Top_K_Sources.
2. Count:
   - Number of relevant chunks: 5
   - Number of noisy / off-topic chunks: 0
3. Determine if any factual claim in the Answer is NOT grounded in Top_K_Sources.
   - The Answer mentions that AI adoption in SMEs is most pronounced in developed economies, which is grounded in Top_K_Sources (Rank #5).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0.0)
[PRIORITY 4] SEMANTIC DRIFT
Condition: Faithfulness &gt;= 0.5 AND Answer_Relevancy &lt; 0.5 (Correct answer, wrong intent).
Decision: → Label as: Semantic Drift (Answer_Relevancy = 0.0)
[PRIORITY 5] INCOMPLETE ANSWER
Condition: Faithfulness &gt;= 0.5 AND Answer_Relevancy &gt;= 0.5 AND Answer covers only a subset of aspects.
Decision: → NOT Label as: Incomplete Answer (Answer_Relevancy = 0.0)
[NO ERROR]
If NONE of above:
Decision: → NOT Label as: Correct Answer (Semantic Drift is triggered)
### STEP 4 — Output Format (MANDATORY)
For each row, output a structured report:
- Error_Label: Semantic Drift
- Triggered_Rule: PRIORITY 4 &amp; Semantic Drift
- Metrics_Summary: Faithfulness = 1.0, Answer_Relevancy = 0.0, Context_Precision = 0.0, Context_Recall = 0.833
- Evidence: The Answer is relevant to the context, but the intent is incorrect (it discusses AI adoption in SMEs instead of underrepresented geographic regions).
- Justification: Rule-based explanation: The Answer is faithful (Faithfulness = 1.0), but the relevancy is low (Answer_Relevancy = 0.0), indicating a Semantic Drift.</t>
  </si>
  <si>
    <t>### STEP 1 — Extract Query Intent and Aspects
From the Question:
1. Main intent of the query: Identify accuracy levels of AI models in supply chain disruption prediction.
2. Number of explicit aspects: 2 (accuracy levels, AI models, supply chain disruption prediction)
### STEP 2 — Verify Context Grounding
From Top_K_Sources:
1. Key concepts in the Question appear explicitly in Top_K_Sources: Yes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0.571, which is greater than 0.5.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Context_Precision is 0.583, which is greater than 0.5. Therefore, this condition is not met.
[PRIORITY 4] SEMANTIC DRIFT
Condition: Faithfulness &gt;= 0.5 AND Answer_Relevancy &lt; 0.5 (Correct answer, wrong intent).
Decision: → Answer_Relevancy is 0.0, which is less than 0.5. Therefore, this condition is met.
[PRIORITY 5] INCOMPLETE ANSWER
Condition: Faithfulness &gt;= 0.5 AND Answer_Relevancy &gt;= 0.5 AND Answer covers only a subset of aspects.
Decision: → Answer_Relevancy is 0.0, which is less than 0.5. Therefore, this condition is not met.
[NO ERROR]
If NONE of above:
Decision: → Since Semantic Drift is triggered, this is not a Correct Answer.
### STEP 4 — Output Format (MANDATORY)
For each row, output a structured report:
- Error_Label: Semantic Drift
- Triggered_Rule: [PRIORITY 4] SEMANTIC DRIFT
- Metrics_Summary: Faithfulness: 0.571, Answer_Relevancy: 0.0, Context_Precision: 0.583, Context_Recall: 1.0
- Evidence: The Answer is relevant to the query, but the intent is incorrect.
- Justification: The Answer_Relevancy is 0.0, indicating that the Answer is not relevant to the query intent.</t>
  </si>
  <si>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appear explicitly in Top_K_Sources: Yes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0.889)
[PRIORITY 2] RETRIEVAL FAILURE
Condition: Context_Recall &lt; 0.5 AND NONE of the Top-K chunks contain core concepts.
Decision: → Not applicable (Context_Recall = 0.667)
[PRIORITY 3] CONTEXT NOISE
Condition: Context_Recall &gt;= 0.5 AND Context_Precision &lt; 0.5 AND &gt;50% chunks are irrelevant.
Decision: → Not applicable (Context_Precision = 0.0)
[PRIORITY 4] SEMANTIC DRIFT
Condition: Faithfulness &gt;= 0.5 AND Answer_Relevancy &lt; 0.5 (Correct answer, wrong intent).
Decision: → Applicable (Answer_Relevancy = 0.0)
[PRIORITY 5] INCOMPLETE ANSWER
Condition: Faithfulness &gt;= 0.5 AND Answer_Relevancy &gt;= 0.5 AND Answer covers only a subset of aspects.
Decision: → Not applicable (Answer_Relevancy = 0.0)
[NO ERROR]
If NONE of above:
Decision: → Not applicable (Semantic Drift is triggered)
### STEP 4 — Output Format (MANDATORY)
For each row, output a structured report:
- Error_Label: Semantic Drift
- Triggered_Rule: PRIORITY 4 &amp; Semantic Drift
- Metrics_Summary: Faithfulness = 0.889, Answer_Relevancy = 0.0, Context_Precision = 0.0, Context_Recall = 0.667
- Evidence: The answer is semantically correct but lacks relevance to the question.
- Justification: The faithfulness of the answer is high, but the answer relevancy is low, indicating a semantic drift.</t>
  </si>
  <si>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AI techniques, supply chain resilience problems
2. Relevant chunks:
   - Rank #1: "several functional supply chain applications based on artificial intelligence ai have emerged"
   - Rank #2: "the growing adoption of artificial intelligence ai technologies offers significant opportunities"
   - Rank #3: "artificial intelligence ai has emerged as a complementary technology in supply chain research"
3. Noisy/off-topic chunks: None
4. Factual claim in the Answer: "the specific AI techniques rarely applied to supply chain resilience problems are not explicitly mentioned"
   - Grounded in Top_K_Sources: No
### STEP 3 — Apply Error Classification Rules (IN ORDER OF PRIORITY)
[PRIORITY 1] HALLUCINATION
Condition: Faithfulness &lt; 0.5 AND Answer contains claims not in Top-K sources.
Decision: → Label as: Hallucination (Faithfulness = 0.909, so this condition is not met)
[PRIORITY 2] RETRIEVAL FAILURE
Condition: Context_Recall &lt; 0.5 AND NONE of the Top-K chunks contain core concepts.
Decision: → Label as: Retrieval Failure (Context_Recall = 0.5, so this condition is not met)
[PRIORITY 3] CONTEXT NOISE
Condition: Context_Recall &gt;= 0.5 AND Context_Precision &lt; 0.5 AND &gt;50% chunks are irrelevant.
Decision: → Label as: Context Noise (Context_Precision = 0.0, but only 2 out of 3 chunks are relevant, so this condition is not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(Answer_Relevancy = 0.0, so this is not the case)
### STEP 4 — Output Format (MANDATORY)
For each row, output a structured report:
- Error_Label: Semantic Drift
- Triggered_Rule: PRIORITY 4 SEMANTIC DRIFT
- Metrics_Summary: Faithfulness: 0.909, Answer_Relevancy: 0.0, Context_Precision: 0.0, Context_Recall: 0.5
- Evidence: The answer is relevant to the question, but the intent is wrong. The answer discusses the lack of explainability in AI approaches, but does not mention the specific AI techniques rarely applied to supply chain resilience problems.
- Justification: Rule-based explanation: The faithfulness of the answer is high, but the answer relevancy is low, indicating a semantic drift.</t>
  </si>
  <si>
    <t>### STEP 1 — Extract Query Intent and Aspects
- Main intent of the query: Identify gaps in explainability for AI-driven risk prediction models.
- Number of explicit aspects: 2 (explainability, AI-driven risk prediction models)
### STEP 2 — Verify Context Grounding
- Key concepts in the Question appear explicitly in Top_K_Sources: Yes (explainability, AI-driven risk prediction models)
- Number of relevant chunks: 2 (Rank #1, Rank #3)
- Number of noisy / off-topic chunks: 1 (Rank #2)
- Factual claim in the Answer is NOT grounded in Top_K_Sources: No
### STEP 3 — Apply Error Classification Rules (IN ORDER OF PRIORITY)
[PRIORITY 1] HALLUCINATION
Condition: Faithfulness &lt; 0.5 AND Answer contains claims not in Top-K sources.
Decision: → Not triggered (Faithfulness = 0.636 &gt; 0.5)
[PRIORITY 2] RETRIEVAL FAILURE
Condition: Context_Recall &lt; 0.5 AND NONE of the Top-K chunks contain core concepts.
Decision: → Not triggered (Context_Recall = 0.833 &gt; 0.5)
[PRIORITY 3] CONTEXT NOISE
Condition: Context_Recall &gt;= 0.5 AND Context_Precision &lt; 0.5 AND &gt;50% chunks are irrelevant.
Decision: → Not triggered (Context_Precision = 0.0, but only 1 chunk is irrelevant out of 3)
[PRIORITY 4] SEMANTIC DRIFT
Condition: Faithfulness &gt;= 0.5 AND Answer_Relevancy &lt; 0.5 (Correct answer, wrong intent).
Decision: → Triggered (Answer_Relevancy = 0.0 &lt; 0.5)
[PRIORITY 5] INCOMPLETE ANSWER
Condition: Faithfulness &gt;= 0.5 AND Answer_Relevancy &gt;= 0.5 AND Answer covers only a subset of aspects.
Decision: → Not triggered (Answer_Relevancy = 0.0 &lt; 0.5)
[NO ERROR]
If NONE of above:
Decision: → Not triggered (Semantic Drift triggered)
### STEP 4 — Output Format (MANDATORY)
- Error_Label: Semantic Drift
- Triggered_Rule: PRIORITY 4 - SEMANTIC DRIFT
- Metrics_Summary: Faithfulness = 0.636, Answer_Relevancy = 0.0, Context_Precision = 0.0, Context_Recall = 0.833
- Evidence: The Answer is relevant to the query, but the intent is incorrect (it discusses challenges in implementing AI technologies, but not specifically explainability gaps).
- Justification: The STRICT rules indicate that the Answer is semantically drifted, as it has a high faithfulness score but a low answer relevancy score.</t>
  </si>
  <si>
    <t>### STEP 1 — Extract Query Intent and Aspects
From the Question:
1. Main intent of the query: Compare AI models using structured versus unstructured data.
2. Number of explicit aspects: 2 (structured data, unstructured data)
### STEP 2 — Verify Context Grounding
From Top_K_Sources:
1. Key concepts in the Question appear explicitly:
   - Structured data: Present in Rank #1 (ISIC 2018 dataset)
   - Unstructured data: Not explicitly mentioned in Top_K_Sources, but implied in the context of comparing AI models.
2. Count:
   - Number of relevant chunks: 3 (all chunks are relevant to the query)
   - Number of noisy / off-topic chunks: 0
3. Determine if any factual claim in the Answer is NOT grounded in Top_K_Sources:
   - The Answer discusses the comparison of AI models using structured versus unstructured data, which is not directly addressed in the provided documents. However, the chunks in Top_K_Sources provide some insights.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0.571)
[PRIORITY 3] CONTEXT NOISE
Condition: Context_Recall &gt;= 0.5 AND Context_Precision &lt; 0.5 AND &gt;50% chunks are irrelevant.
Decision: → NOT APPLICABLE (Context_Precision = 0.0, but Context_Recall is not the only condition)
[PRIORITY 4] SEMANTIC DRIFT
Condition: Faithfulness &gt;= 0.5 AND Answer_Relevancy &lt; 0.5 (Correct answer, wrong intent).
Decision: → APPLICABLE (Answer_Relevancy = 0.0, which indicates a wrong intent)
[PRIORITY 5] INCOMPLETE ANSWER
Condition: Faithfulness &gt;= 0.5 AND Answer_Relevancy &gt;= 0.5 AND Answer covers only a subset of aspects.
Decision: → NOT APPLICABLE (Answer_Relevancy = 0.0)
[NO ERROR]
If NONE of above:
Decision: → NOT APPLICABLE (Semantic Drift was triggered)
### STEP 4 — Output Format (MANDATORY)
For each row, output a structured report:
- Error_Label: Semantic Drift
- Triggered_Rule: PRIORITY 4: SEMANTIC DRIFT
- Metrics_Summary: Faithfulness: 1.0, Answer_Relevancy: 0.0, Context_Precision: 0.0, Context_Recall: 0.571
- Evidence: The Answer discusses the comparison of AI models using structured versus unstructured data, but the provided documents do not address this comparison directly.
- Justification: The Answer has a high faithfulness score, but a low answer relevancy score, indicating a correct answer with a wrong intent.</t>
  </si>
  <si>
    <t>Error_Label: Semantic Drift
Triggered_Rule: PRIORITY 4
Metrics_Summary:
- Faithfulness: 0.667
- Answer_Relevancy: 0.719
- Context_Precision: 1.0
- Context_Recall: 0.5
Evidence:
- Key missing concepts: None explicitly mentioned, but the answer focuses on AI methods for predicting global supply chain disruptions, which is a subset of the main intent.
- Ungrounded claims: None
- Noise ratio estimation: Not applicable
Justification: The answer is factually correct but does not address the main intent of the question, which is to compare AI methods before and after major global disruptions. The answer focuses on the evolution of AI methods for predicting disruptions, which is a related but distinct topic.</t>
  </si>
  <si>
    <t>Error_Label: Semantic Drift
Triggered_Rule: PRIORITY 4
Metrics_Summary:
- Faithfulness: 0.917
- Answer_Relevancy: 0.0
- Context_Precision: 0.0
- Context_Recall: 0.833
Evidence:
- Key missing concepts: Sample sizes used in empirical SCRM studies
- Ungrounded claims: None
- Noise ratio estimation: The answer does not provide relevant information, but the context recall is high, indicating that the model has retrieved relevant documents.
Justification: The answer does not address the main intent of the question, which is to provide sample sizes used in empirical SCRM studies. Although the faithfulness is high, the answer relevancy is 0, indicating that the answer does not provide relevant information. This is a case of semantic drift, where the answer is factually correct but does not address the main intent of the question.</t>
  </si>
  <si>
    <t>Error_Label: Semantic Drift
Triggered_Rule: PRIORITY 4
Metrics_Summary:
- Faithfulness: 0.667
- Answer_Relevancy: 0.637
- Context_Precision: 0.0
- Context_Recall: 0.75
Evidence:
- Key missing concepts: The question asks about "AI models" but the answer focuses on "advanced machine learning models" without explicitly mentioning other types of AI models.
- Ungrounded claims: None
- Noise ratio estimation: The answer is mostly relevant, but the top-k sources do not contain the core concept of the question.
Justification: The answer is factually correct but does not address the main intent of the question, which is to identify the highest-performing AI models. The answer focuses on a specific type of model (advanced machine learning models) without considering other types of AI models, leading to a semantic drift.</t>
  </si>
  <si>
    <t>Error_Label: Semantic Drift
Triggered_Rule: PRIORITY 4
Metrics_Summary:
- Faithfulness: 0.692
- Answer_Relevancy: 0.0
- Context_Precision: 0.0
- Context_Recall: 0.857
Evidence:
- Key missing concepts: Industries that provide empirical benchmarks for AI-based SCRM
- Ungrounded claims: None
- Noise ratio estimation: Not applicable
Justification: The Answer does not address the main intent of the Question, which is to identify industries that provide empirical benchmarks for AI-based SCRM. Although the Answer is factually correct in stating that the provided context data does not explicitly mention such industries, it fails to provide relevant information on this topic. This is a case of Semantic Drift, where the Answer is factually correct but does not address the main intent of the Question.</t>
  </si>
  <si>
    <t>Error_Label: Semantic Drift
Triggered_Rule: PRIORITY 4
Metrics_Summary:
- Faithfulness: 0.909
- Answer_Relevancy: 0.551
- Context_Precision: 1.0
- Context_Recall: 0.444
Evidence:
- Key missing concepts (if any): The question asks about "improvements" but the answer focuses on the "technological strides" and "advancements" in AI integration, which are related but not exactly the same.
- Ungrounded claims (if any): None
- Noise ratio estimation: Not applicable
Justification: The answer is factually correct but does not address the main intent of the question, which is about the specific improvements reported after AI integration. The answer provides a broader overview of the advancements in AI integration, which is a related but distinct topic. This is an example of semantic drift, where the answer is related to the question but does not directly address the main intent.</t>
  </si>
  <si>
    <t>Error_Label: Semantic Drift
Triggered_Rule: PRIORITY 4
Metrics_Summary:
- Faithfulness: 0.778
- Answer_Relevancy: 0.492
- Context_Precision: 1.0
- Context_Recall: 0.75
Evidence:
- Key missing concepts: None explicitly mentioned, but the question asks about "existing models" and the answer focuses on "supply chain management and operations management".
- Ungrounded claims: None
- Noise ratio estimation: Not applicable
Justification: The answer is factually correct but does not address the main intent of the question, which is about "existing models" in general. The answer focuses on specific domains (supply chain management and operations management) and does not provide a comprehensive overview of existing models. This is a case of semantic drift, where the answer drifts away from the main intent of the question.</t>
  </si>
  <si>
    <t>### STEP 1 — Extract Query Intent and Aspects
From the Question:
1. Main intent of the query: Identify the dominant AI techniques used in early research on supply chain resilience.
2. Number of explicit aspects: 2 (AI techniques, supply chain resilience)
### STEP 2 — Verify Context Grounding
From Top_K_Sources:
1. Key concepts in the Question appear explicitly in Top_K_Sources:
   - AI
   - Supply chain resilience
2. Count:
   - Number of relevant chunks: 4
   - Number of noisy / off-topic chunks: 0
3. Determine if any factual claim in the Answer is NOT grounded in Top_K_Sources:
   - The Answer mentions "hybrid AI methodologies, such as neurosymbolic approaches" which is supported by Top_K_Sources (Rank #1).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0.667)
[PRIORITY 3] CONTEXT NOISE
Condition: Context_Recall &gt;= 0.5 AND Context_Precision &lt; 0.5 AND &gt;50% chunks are irrelevant.
Decision: → NOT Label as: Context Noise (Context_Precision = 0.75)
[PRIORITY 4] SEMANTIC DRIFT
Condition: Faithfulness &gt;= 0.5 AND Answer_Relevancy &lt; 0.5 (Correct answer, wrong intent).
Decision: → Label as: Semantic Drift (Answer_Relevancy = 0.0)
[PRIORITY 5] INCOMPLETE ANSWER
Condition: Faithfulness &gt;= 0.5 AND Answer_Relevancy &gt;= 0.5 AND Answer covers only a subset of aspects.
Decision: → NOT Label as: Incomplete Answer (Answer_Relevancy = 0.0)
[NO ERROR]
If NONE of above:
Decision: → NOT Label as: Correct Answer (Semantic Drift is triggered)
### STEP 4 — Output Format (MANDATORY)
For each row, output a structured report:
- Error_Label: Semantic Drift
- Triggered_Rule: [PRIORITY 4] SEMANTIC DRIFT
- Metrics_Summary: Faithfulness = 1.0, Answer_Relevancy = 0.0, Context_Precision = 0.75, Context_Recall = 0.667
- Evidence: The Answer is relevant but the intent is incorrect, as it discusses recent research rather than early research on supply chain resilience.
- Justification: Rule-based explanation: The Answer is faithful but has low Answer_Relevancy, indicating that the correct answer is not provided, and the intent is wrong.</t>
  </si>
  <si>
    <t>### STEP 1 — Extract Query Intent and Aspects
From the Question:
1. Main intent of the query: Identify evaluation metrics for resilience-focused AI research.
2. Number of explicit aspects: 1 (evaluation metrics for resilience-focused AI research).
### STEP 2 — Verify Context Grounding
From Top_K_Sources:
1. Key concepts in the Question appear explicitly in Top_K_Sources:
   - "evaluation metrics"
   - "resilience-focused AI research"
   - "supply chain resilience"
   - "resource utilization"
   - "technological turbulence"
2. Count:
   - Number of relevant chunks: 4 (Rank #2, Rank #3, Rank #4, Rank #5)
   - Number of noisy / off-topic chunks: 1 (Rank #1)
3. Determine if any factual claim in the Answer is NOT grounded in Top_K_Sources:
   - The Answer mentions specific evaluation metrics (Supply Chain Resilience Index, Resource Utilization Efficiency, and Technological Turbulence Impact) that are not explicitly mentioned in Top_K_Sources.
### STEP 3 — Apply Error Classification Rules (IN ORDER OF PRIORITY)
[PRIORITY 1] HALLUCINATION
Condition: Faithfulness &lt; 0.5 AND Answer contains claims not in Top-K sources.
Decision: → Label as: Hallucination (Faithfulness = 0.688, so this condition is not met)
[PRIORITY 2] RETRIEVAL FAILURE
Condition: Context_Recall &lt; 0.5 AND NONE of the Top-K chunks contain core concepts.
Decision: → Label as: Retrieval Failure (Context_Recall = 0.875, so this condition is not met)
[PRIORITY 3] CONTEXT NOISE
Condition: Context_Recall &gt;= 0.5 AND Context_Precision &lt; 0.5 AND &gt;50% chunks are irrelevant.
Decision: → Label as: Context Noise (Context_Precision = 0.533, which is not less than 0.5, so this condition is not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as Semantic Drift is triggered)
### STEP 4 — Output Format (MANDATORY)
For each row, output a structured report:
- Error_Label: Semantic Drift
- Triggered_Rule: PRIORITY 4 &amp; Semantic Drift
- Metrics_Summary: Faithfulness = 0.688, Answer_Relevancy = 0.0, Context_Precision = 0.533, Context_Recall = 0.875
- Evidence: The Answer mentions specific evaluation metrics that are not explicitly mentioned in Top_K_Sources.
- Justification: Rule-based explanation: Semantic Drift is triggered because the Answer is relevant but has a wrong intent, as it mentions specific evaluation metrics that are not explicitly mentioned in Top_K_Sources.</t>
  </si>
  <si>
    <t>### STEP 1 — Extract Query Intent and Aspects
From the Question:
1. Identify the main intent of the query: **Identify resilience strategies that lack AI-based optimization**
2. Identify the number of explicit aspects: **1**
### STEP 2 — Verify Context Grounding
From Top_K_Sources:
1. Identify whether each key concept in the Question appears explicitly:
   - **Resilience strategies**: Not explicitly mentioned in any of the top 5 sources.
   - **AI-based optimization**: Not explicitly mentioned in any of the top 5 sources.
2. Count:
   - Number of relevant chunks: **0**
   - Number of noisy / off-topic chunks: **5**
3. Determine if any factual claim in the Answer is NOT grounded in Top_K_Sources:
   - The answer claims that the documents do not explicitly mention which resilience strategies lack AI-based optimization, which is consistent with the top 5 sources.
### STEP 3 — Apply Error Classification Rules (IN ORDER OF PRIORITY)
[PRIORITY 1] HALLUCINATION
Condition: Faithfulness &lt; 0.5 AND Answer contains claims not in Top-K sources.
Decision: → Label as: Hallucination (Not applicable, Faithfulness is 0.524)
[PRIORITY 2] RETRIEVAL FAILURE
Condition: Context_Recall &lt; 0.5 AND NONE of the Top-K chunks contain core concepts.
Decision: → Label as: Retrieval Failure (Not applicable, Context_Recall is 1.0)
[PRIORITY 3] CONTEXT NOISE
Condition: Context_Recall &gt;= 0.5 AND Context_Precision &lt; 0.5 AND &gt;50% chunks are irrelevant.
Decision: → Label as: Context Noise (Not applicable, Context_Precision is 0.0, but Context_Recall is 1.0)
[PRIORITY 4] SEMANTIC DRIFT
Condition: Faithfulness &gt;= 0.5 AND Answer_Relevancy &lt; 0.5 (Correct answer, wrong intent).
Decision: → Label as: Semantic Drift (Applicable, Answer_Relevancy is 0.0)
[PRIORITY 5] INCOMPLETE ANSWER
Condition: Faithfulness &gt;= 0.5 AND Answer_Relevancy &gt;= 0.5 AND Answer covers only a subset of aspects.
Decision: → Label as: Incomplete Answer (Not applicable, Answer_Relevancy is 0.0)
[NO ERROR]
If NONE of above:
Decision: → Label as: Correct Answer (Not applicable, Semantic Drift is applicable)
### STEP 4 — Output Format (MANDATORY)
For each row, output a structured report:
- **Error_Label**: Semantic Drift
- **Triggered_Rule**: PRIORITY 4 &amp; SEMANTIC DRIFT
- **Metrics_Summary**: Faithfulness: 0.524, Answer_Relevancy: 0.0, Context_Precision: 0.0, Context_Recall: 1.0
- **Evidence**: The answer is relevant to the question, but the intent is incorrect.
- **Justification**: The answer is relevant to the question, but the intent is incorrect, which is a characteristic of Semantic Drift.</t>
  </si>
  <si>
    <t>### STEP 1 — Extract Query Intent and Aspects
From the Question:
1. Main intent: Compare AI approaches for short-term versus long-term supply chain resilience.
2. Number of explicit aspects: 2 (short-term, long-term)
### STEP 2 — Verify Context Grounding
From Top_K_Sources:
1. Key concepts in the Question appear explicitly in Top_K_Sources:
   - AI
   - Supply chain resilience
   - Short-term
   - Long-term
2. Count:
   - Number of relevant chunks: 5
   - Number of noisy / off-topic chunks: 0
3. Determine if any factual claim in the Answer is NOT grounded in Top_K_Sources:
   - The Answer discusses the comparison of AI approaches for short-term versus long-term supply chain resilience, which is not explicitly discussed in the provided documents. However, the Top_K_Sources do discuss AI and supply chain resilience, but not the comparison between short-term and long-term resilience.
### STEP 3 — Apply Error Classification Rules (IN ORDER OF PRIORITY)
[PRIORITY 1] HALLUCINATION
Condition: Faithfulness &lt; 0.5 AND Answer contains claims not in Top-K sources.
Decision: → Label as: Hallucination (Faithfulness = 1.0, so this condition is not met)
[PRIORITY 2] RETRIEVAL FAILURE
Condition: Context_Recall &lt; 0.5 AND NONE of the Top-K chunks contain core concepts.
Decision: → Label as: Retrieval Failure (Context_Recall = 0.75, so this condition is not met)
[PRIORITY 3] CONTEXT NOISE
Condition: Context_Recall &gt;= 0.5 AND Context_Precision &lt; 0.5 AND &gt;50% chunks are irrelevant.
Decision: → Label as: Context Noise (Context_Precision = 0.0, so this condition is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as one of the above conditions is met)
### STEP 4 — Output Format (MANDATORY)
For each row, output a structured report:
- Error_Label: Semantic Drift
- Triggered_Rule: [PRIORITY 4] SEMANTIC DRIFT
- Metrics_Summary: Faithfulness = 1.0, Answer_Relevancy = 0.0, Context_Precision = 0.0, Context_Recall = 0.75
- Evidence: The Answer discusses the comparison of AI approaches for short-term versus long-term supply chain resilience, which is not explicitly discussed in the provided documents, but the Top_K_Sources do discuss AI and supply chain resilience, but not the comparison between short-term and long-term resilience.
- Justification: The Answer is semantically drifted, as it discusses the comparison of AI approaches for short-term versus long-term supply chain resilience, but the Top_K_Sources do not provide information on this topic.</t>
  </si>
  <si>
    <t>### STEP 1 — Extract Query Intent and Aspects
From the Question:
1. Main intent: Identify accuracy levels of AI models in supply chain disruption prediction.
2. Number of explicit aspects: 2 (AI models, supply chain disruption prediction)
### STEP 2 — Verify Context Grounding
From Top_K_Sources:
1. Key concepts in the Question appear explicitly in Top_K_Sources:
   - AI models: Present in all Top_K_Sources.
   - Supply chain disruption prediction: Present in Rank #1 and Rank #3.
2. Count:
   - Number of relevant chunks: 4 (all Top_K_Sources are relevant).
   - Number of noisy / off-topic chunks: 0 (all chunks are relevant).
3. Determine if any factual claim in the Answer is NOT grounded in Top_K_Sources:
   - The Answer mentions that accuracy levels for AI models in supply chain disruption prediction are not explicitly reported in the provided documents. This claim is grounded in Top_K_Sources (Rank #1, Rank #3, and Rank #4 mention the potential of AI algorithms for supply chain management, but do not provide accuracy levels).
### STEP 3 — Apply Error Classification Rules (IN ORDER OF PRIORITY)
[PRIORITY 1] HALLUCINATION
Condition: Faithfulness &lt; 0.5 AND Answer contains claims not in Top-K sources.
Decision: → NOT APPLICABLE (Faithfulness = 0.632 &gt; 0.5)
[PRIORITY 2] RETRIEVAL FAILURE
Condition: Context_Recall &lt; 0.5 AND NONE of the Top-K chunks contain core concepts.
Decision: → NOT APPLICABLE (Context_Recall = 0.286 &gt; 0.5)
[PRIORITY 3] CONTEXT NOISE
Condition: Context_Recall &gt;= 0.5 AND Context_Precision &lt; 0.5 AND &gt;50% chunks are irrelevant.
Decision: → NOT APPLICABLE (Context_Precision = 0.583 &gt; 0.5)
[PRIORITY 4] SEMANTIC DRIFT
Condition: Faithfulness &gt;= 0.5 AND Answer_Relevancy &lt; 0.5 (Correct answer, wrong intent).
Decision: → APPLICABLE (Answer_Relevancy = 0.0 &lt; 0.5)
[PRIORITY 5] INCOMPLETE ANSWER
Condition: Faithfulness &gt;= 0.5 AND Answer_Relevancy &gt;= 0.5 AND Answer covers only a subset of aspects.
Decision: → NOT APPLICABLE (Answer_Relevancy = 0.0 &lt; 0.5)
[NO ERROR]
If NONE of above:
Decision: → NOT APPLICABLE (Semantic Drift is triggered)
### STEP 4 — Output Format (MANDATORY)
For each row, output a structured report:
- Error_Label: Semantic Drift
- Triggered_Rule: PRIORITY 4 &amp; Semantic Drift
- Metrics_Summary: Faithfulness = 0.632, Answer_Relevancy = 0.0, Context_Precision = 0.583, Context_Recall = 0.286
- Evidence: The Answer is relevant but the intent is incorrect, as it does not provide accuracy levels for AI models in supply chain disruption prediction.
- Justification: Rule-based explanation: Semantic Drift is triggered because the Answer is faithful (Faithfulness = 0.632 &gt; 0.5) but the Answer_Relevancy is low (Answer_Relevancy = 0.0 &lt; 0.5), indicating that the correct answer is provided but with the wrong intent.</t>
  </si>
  <si>
    <t>### STEP 1 — Extract Query Intent and Aspects
From the Question:
1. Main intent of the query: Identify datasets used in AI-based SCRM studies.
2. Number of explicit aspects: 1 (datasets)
### STEP 2 — Verify Context Grounding
From Top_K_Sources:
1. Key concepts in the Question: datasets, AI-based SCRM studies
2. Relevant chunks:
   - Rank #1: construction supply chain risk management (contains "supply chain risk management" and "artificial intelligence")
   - Rank #2: building supplychain resilience an artificial intelligencebased technique and decisionmaking framework (contains "artificial intelligence" and "supply chain resilience")
   - Rank #3: impact of machine learning on management healthcare and agriculture (contains "machine learning" and "real-world applications")
   - Rank #4: the impact on the employees through the use of ai tools in accountancy (contains "ai tools" and "accountancy")
   - Rank #5: big data analytics in business process insights and implications (contains "big data analytics" and "business process")
3. Number of relevant chunks: 4
4. Number of noisy / off-topic chunks: 1 (Rank #4 and Rank #5 are somewhat off-topic)
5. Factual claims in the Answer:
   - The use of AI in SCRM has expanded over time to include various applications.
   - Specific datasets used in these studies are not explicitly mentioned in the provided documents.
   - Future research should focus on identifying and developing standardized datasets for AI-based SCRM studies.
6. Grounding in Top_K_Sources:
   - The use of AI in SCRM is mentioned in Rank #1 and Rank #2.
   - Specific datasets used in these studies are not explicitly mentioned in the provided documents, which is consistent with the Answer.
   - Future research should focus on identifying and developing standardized datasets for AI-based SCRM studies, which is not explicitly mentioned in the Top_K_Sources.
### STEP 3 — Apply Error Classification Rules (IN ORDER OF PRIORITY)
[PRIORITY 1] HALLUCINATION
Condition: Faithfulness &lt; 0.5 AND Answer contains claims not in Top-K sources.
Decision: → NOT Label as: Hallucination (Faithfulness = 0.65, Answer contains claims in Top-K sources)
[PRIORITY 2] RETRIEVAL FAILURE
Condition: Context_Recall &lt; 0.5 AND NONE of the Top-K chunks contain core concepts.
Decision: → NOT Label as: Retrieval Failure (Context_Recall = 0.6, Top-K chunks contain core concepts)
[PRIORITY 3] CONTEXT NOISE
Condition: Context_Recall &gt;= 0.5 AND Context_Precision &lt; 0.5 AND &gt;50% chunks are irrelevant.
Decision: → NOT Label as: Context Noise (Context_Precision = 0.0, but only 1 chunk is off-topic)
[PRIORITY 4] SEMANTIC DRIFT
Condition: Faithfulness &gt;= 0.5 AND Answer_Relevancy &lt; 0.5 (Correct answer, wrong intent).
Decision: → Label as: Semantic Drift (Faithfulness = 0.65, Answer_Relevancy = 0.0, Answer contains claims not explicitly mentioned in the provided documents)
[PRIORITY 5] INCOMPLETE ANSWER
Condition: Faithfulness &gt;= 0.5 AND Answer_Relevancy &gt;= 0.5 AND Answer covers only a subset of aspects.
Decision: → NOT Label as: Incomplete Answer (Answer_Relevancy = 0.0)
[NO ERROR]
If NONE of above:
Decision: → NOT Label as: Correct Answer (Answer_Relevancy = 0.0)
### STEP 4 — Output Format (MANDATORY)
For each row, output a structured report:
- Error_Label: Semantic Drift
- Triggered_Rule: [PRIORITY 4] SEMANTIC DRIFT
- Metrics_Summary: Faithfulness = 0.65, Answer_Relevancy = 0.0, Context_Recall = 0.6
- Evidence: The Answer contains claims not explicitly mentioned in the provided documents.
- Justification: The Answer is relevant to the query intent, but the Answer_Relevancy is low because the Answer contains claims not explicitly mentioned in the provided documents.</t>
  </si>
  <si>
    <t>### STEP 1 — Extract Query Intent and Aspects
From the Question:
1. Main intent of the query: Identify industries providing empirical benchmarks for AI-based SCRM.
2. Number of explicit aspects: 2 (industries, empirical benchmarks, AI-based SCRM).
### STEP 2 — Verify Context Grounding
From Top_K_Sources:
1. Key concepts in the Question appear explicitly in Top_K_Sources:
   - "industries" appears in Rank #3 (openperf a data science benchmark system for open source ecosystem sustainable development)
   - "empirical benchmarks" appears in Rank #3 (openperf a data science benchmark system for open source ecosystem sustainable development)
   - "AI-based SCRM" appears in Rank #1 (generative ai usage and sustainable supply chain performance a practicebased view) and Rank #5 (supply chain management with generative artificial intelligence and internet of behaviors)
2. Count:
   - Number of relevant chunks: 3 (Rank #1, Rank #3, Rank #5)
   - Number of noisy / off-topic chunks: 2 (Rank #2, Rank #4)
3. Determine if any factual claim in the Answer is NOT grounded in Top_K_Sources:
   - The Answer claims that the industries providing empirical benchmarks for AI-based SCRM are not explicitly mentioned in the provided documents. However, the Top_K_Sources do mention industries and empirical benchmarks, but not specifically for AI-based SCRM.
### STEP 3 — Apply Error Classification Rules (IN ORDER OF PRIORITY)
[PRIORITY 1] HALLUCINATION
Condition: Faithfulness &lt; 0.5 AND Answer contains claims not in Top-K sources.
Decision: → Label as: Hallucination (Faithfulness = 0.583, so this condition is not met)
[PRIORITY 2] RETRIEVAL FAILURE
Condition: Context_Recall &lt; 0.5 AND NONE of the Top-K chunks contain core concepts.
Decision: → Label as: Retrieval Failure (Context_Recall = 0.5, so this condition is not met)
[PRIORITY 3] CONTEXT NOISE
Condition: Context_Recall &gt;= 0.5 AND Context_Precision &lt; 0.5 AND &gt;50% chunks are irrelevant.
Decision: → Label as: Context Noise (Context_Precision = 0.0, which is less than 0.5, but we need to check if &gt;50% chunks are irrelevant. Since there are 5 chunks, &gt;50% would be 3 chunks. However, only 2 chunks are noisy/off-topic, so this condition is not met)
[PRIORITY 4] SEMANTIC DRIFT
Condition: Faithfulness &gt;= 0.5 AND Answer_Relevancy &lt; 0.5 (Correct answer, wrong intent).
Decision: → Label as: Semantic Drift (Faithfulness = 0.583, which is greater than or equal to 0.5, and Answer_Relevancy = 0.0, which is less than 0.5)
[PRIORITY 5] INCOMPLETE ANSWER
Condition: Faithfulness &gt;= 0.5 AND Answer_Relevancy &gt;= 0.5 AND Answer covers only a subset of aspects.
Decision: → Label as: Incomplete Answer (Faithfulness = 0.583, which is greater than or equal to 0.5, and Answer_Relevancy = 0.0, which is less than 0.5, so this condition is not met)
[NO ERROR]
If NONE of above:
Decision: → Label as: Correct Answer (this is not the case, as we have identified an error)
### STEP 4 — Output Format (MANDATORY)
For each row, output a structured report:
- Error_Label: Semantic Drift
- Triggered_Rule: [PRIORITY 4] SEMANTIC DRIFT
- Metrics_Summary: Faithfulness = 0.583, Answer_Relevancy = 0.0, Context_Precision = 0.0, Context_Recall = 0.5
- Evidence: The Answer claims that the industries providing empirical benchmarks for AI-based SCRM are not explicitly mentioned in the provided documents, but the Top_K_Sources do mention industries and empirical benchmarks.
- Justification: The Answer is semantically drifted, as it has a high faithfulness score but a low answer relevancy score, indicating that the answer is correct but has the wrong intent.</t>
  </si>
  <si>
    <t>### STEP 1 — Extract Query Intent and Aspects
From the Question:
1. Main intent of the query: Identify real-world case studies supporting AI-driven resilience.
2. Number of explicit aspects: 2 (AI-driven resilience, case studies)
### STEP 2 — Verify Context Grounding
From Top_K_Sources:
1. Key concepts in the Question appear explicitly in Top_K_Sources: Yes
2. Count:
   - Number of relevant chunks: 3 (Rank #3, Rank #1, Rank #5)
   - Number of noisy / off-topic chunks: 2 (Rank #2, Rank #4)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0.889)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0.804)
[PRIORITY 4] SEMANTIC DRIFT
Condition: Faithfulness &gt;= 0.5 AND Answer_Relevancy &lt; 0.5 (Correct answer, wrong intent).
Decision: → Label as: Semantic Drift (Answer_Relevancy = 0.431)
[PRIORITY 5] INCOMPLETE ANSWER
Condition: Faithfulness &gt;= 0.5 AND Answer_Relevancy &gt;= 0.5 AND Answer covers only a subset of aspects.
Decision: → NOT Label as: Incomplete Answer (Answer_Relevancy = 0.431)
[NO ERROR]
If NONE of above:
Decision: → Label as: Correct Answer → NOT Label as: Correct Answer (Semantic Drift)
### STEP 4 — Output Format (MANDATORY)
For each row, output a structured report:
- Error_Label: Semantic Drift
- Triggered_Rule: PRIORITY 4 &amp; Semantic Drift
- Metrics_Summary: Faithfulness = 0.889, Answer_Relevancy = 0.431, Context_Precision = 0.804, Context_Recall = 1.0
- Evidence: The Answer is relevant but the intent is not fully aligned with the Question.
- Justification: Rule-based explanation: Semantic Drift is triggered when the Answer is faithful but the Answer_Relevancy is low, indicating a mismatch in intent.</t>
  </si>
  <si>
    <t>### STEP 1 — Extract Query Intent and Aspects
From the Question:
1. Main intent of the query: Identify computational costs for AI-based models.
2. Number of explicit aspects: 1 (computational costs for AI-based models).
### STEP 2 — Verify Context Grounding
From Top_K_Sources:
1. Key concepts in the Question: computational costs, AI-based models.
2. Relevant chunks:
   - Rank #1: Discusses cost estimation methods, including artificial neural networks and support vector machines.
   - Rank #2: Discusses cost estimation and methods for interpretation of intelligent cost analytics.
3. Noisy / off-topic chunks:
   - Rank #3: Discusses explainable artificial intelligence models for energy consumption prediction.
   - Rank #4: Discusses a hybrid machine learning solution for redesigning sustainable circular energy supply chains.
   - Rank #5: Discusses a critical review on applications of artificial intelligence in manufacturing.
4. Factual claim in the Answer: The computational costs for AI-based models are not explicitly reported in the provided documents.
5. Grounding in Top_K_Sources: The Answer is partially grounded in Top_K_Sources, as it mentions cost estimation methods and intelligent cost analytics, which are discussed in Rank #1 and Rank #2.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0.875)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Label as: Semantic Drift (Answer_Relevancy = 0.0)
[PRIORITY 5] INCOMPLETE ANSWER
Condition: Faithfulness &gt;= 0.5 AND Answer_Relevancy &gt;= 0.5 AND Answer covers only a subset of aspects.
Decision: → NOT Label as: Incomplete Answer (Answer_Relevancy = 0.0)
[NO ERROR]
If NONE of above:
Decision: → NOT Label as: Correct Answer (Answer_Relevancy = 0.0)
### STEP 4 — Output Format (MANDATORY)
For each row, output a structured report:
- Error_Label: Semantic Drift
- Triggered_Rule: [PRIORITY 4] SEMANTIC DRIFT
- Metrics_Summary: Faithfulness = 1.0, Answer_Relevancy = 0.0, Context_Precision = 1.0, Context_Recall = 0.875
- Evidence: The Answer is partially grounded in Top_K_Sources, but the Answer_Relevancy is 0.0, indicating that the Answer does not match the intent of the query.
- Justification: The Answer is a correct answer, but with a wrong intent, as it does not provide information on computational costs for AI-based models, which is the main intent of the query.</t>
  </si>
  <si>
    <t>### STEP 1 — Extract Query Intent and Aspects
From the Question:
1. Main intent of the query: Identify changes in evaluation metrics across decades.
2. Number of explicit aspects: 1 (evaluation metrics)
### STEP 2 — Verify Context Grounding
From Top_K_Sources:
1. Key concepts in the Question appear explicitly in Top_K_Sources:
   - "evaluation metrics" appears in Rank #2
   - "decades" appears in Rank #1 and #2
2. Count:
   - Number of relevant chunks: 2 (Rank #1 and #2)
   - Number of noisy / off-topic chunks: 1 (Rank #3)
3. Determine if any factual claim in the Answer is NOT grounded in Top_K_Sources:
   - The Answer mentions "big data in supply chain practices" which is not explicitly mentioned in Top_K_Sources.
### STEP 3 — Apply Error Classification Rules (IN ORDER OF PRIORITY)
[PRIORITY 1] HALLUCINATION
Condition: Faithfulness &lt; 0.5 AND Answer contains claims not in Top-K sources.
Decision: → Label as: Hallucination (Faithfulness = 0.583, so this condition is not met)
[PRIORITY 2] RETRIEVAL FAILURE
Condition: Context_Recall &lt; 0.5 AND NONE of the Top-K chunks contain core concepts.
Decision: → Label as: Retrieval Failure (Context_Recall = 1.0, so this condition is not met)
[PRIORITY 3] CONTEXT NOISE
Condition: Context_Recall &gt;= 0.5 AND Context_Precision &lt; 0.5 AND &gt;50% chunks are irrelevant.
Decision: → Label as: Context Noise (Context_Precision = 0.5, which is not less than 0.5, so this condition is not met)
[PRIORITY 4] SEMANTIC DRIFT
Condition: Faithfulness &gt;= 0.5 AND Answer_Relevancy &lt; 0.5 (Correct answer, wrong intent).
Decision: → Label as: Semantic Drift (Answer_Relevancy = 0.78, which is greater than 0.5, so this condition is not met)
[PRIORITY 5] INCOMPLETE ANSWER
Condition: Faithfulness &gt;= 0.5 AND Answer_Relevancy &gt;= 0.5 AND Answer covers only a subset of aspects.
Decision: → Label as: Incomplete Answer (Answer covers the main intent, but the Answer contains claims not explicitly mentioned in Top_K_Sources)
[NO ERROR]
If NONE of above:
Decision: → Label as: Correct Answer (this is not the case)
### STEP 4 — Output Format (MANDATORY)
For each row, output a structured report:
- Error_Label: Incomplete Answer
- Triggered_Rule: PRIORITY 5: INCOMPLETE ANSWER
- Metrics_Summary: Faithfulness: 0.583, Answer_Relevancy: 0.78, Context_Precision: 0.5, Context_Recall: 1.0
- Evidence: The Answer contains claims not explicitly mentioned in Top_K_Sources, and the Answer covers the main intent but not all aspects.
- Justification: Rule-based explanation: The Answer is relevant but incomplete, as it contains claims not explicitly mentioned in Top_K_Sources and does not cover all aspects of the question.</t>
  </si>
  <si>
    <t>### STEP 1 — Extract Query Intent and Aspects
- Main intent of the query: Identify missing aspects in existing studies on supply chain disruptions.
- Number of explicit aspects: 2 (types of supply chain disruptions, existing studies)
### STEP 2 — Verify Context Grounding
- Key concepts in the Question appear explicitly in Top_K_Sources: Yes
- Number of relevant chunks: 2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0.727, Answer contains claims from Top-K sources)
[PRIORITY 2] RETRIEVAL FAILURE
Condition: Context_Recall &lt; 0.5 AND NONE of the Top-K chunks contain core concepts.
Decision: → NOT Label as: Retrieval Failure (Context_Recall = 1.0, Top-K chunks contain core concepts)
[PRIORITY 3] CONTEXT NOISE
Condition: Context_Recall &gt;= 0.5 AND Context_Precision &lt; 0.5 AND &gt;50% chunks are irrelevant.
Decision: → NOT Label as: Context Noise (Context_Precision = 1.0, Context_Recall = 1.0, no irrelevant chunks)
[PRIORITY 4] SEMANTIC DRIFT
Condition: Faithfulness &gt;= 0.5 AND Answer_Relevancy &lt; 0.5 (Correct answer, wrong intent).
Decision: → NOT Label as: Semantic Drift (Answer_Relevancy = 0.589, above threshold)
[PRIORITY 5] INCOMPLETE ANSWER
Condition: Faithfulness &gt;= 0.5 AND Answer_Relevancy &gt;= 0.5 AND Answer covers only a subset of aspects.
Decision: → Label as: Incomplete Answer (Faithfulness = 0.727, Answer_Relevancy = 0.589, Answer covers only 2 out of 2 aspects)
[NO ERROR]
If NONE of above:
Decision: → NOT Label as: Correct Answer (Incomplete Answer was triggered)
### STEP 4 — Output Format (MANDATORY)
- Error_Label: Incomplete Answer
- Triggered_Rule: [PRIORITY 5] INCOMPLETE ANSWER
- Metrics_Summary: Faithfulness = 0.727, Answer_Relevancy = 0.589, Context_Precision = 1.0, Context_Recall = 1.0
- Evidence: Answer covers only 2 out of 2 aspects, which is not a subset.
- Justification: Rule-based explanation: The answer is incomplete because it covers only a subset of aspects, which is not the case here.</t>
  </si>
  <si>
    <t>### STEP 1 — Extract Query Intent and Aspects
- Main intent of the query: Identify AI models that fail to generalize across supply chain contexts.
- Number of explicit aspects: 2 (AI models, supply chain contexts)
### STEP 2 — Verify Context Grounding
- Key concepts in the Question appear explicitly in Top_K_Sources: Yes
- Number of relevant chunks: 2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0.625, Answer is grounded in Top_K_Sources)
[PRIORITY 2] RETRIEVAL FAILURE
Condition: Context_Recall &lt; 0.5 AND NONE of the Top-K chunks contain core concepts.
Decision: → NOT Label as: Retrieval Failure (Context_Recall = 0.429, Top_K_Sources contain core concepts)
[PRIORITY 3] CONTEXT NOISE
Condition: Context_Recall &gt;= 0.5 AND Context_Precision &lt; 0.5 AND &gt;50% chunks are irrelevant.
Decision: → NOT Label as: Context Noise (Context_Precision = 1.0, Context_Recall = 0.429)
[PRIORITY 4] SEMANTIC DRIFT
Condition: Faithfulness &gt;= 0.5 AND Answer_Relevancy &lt; 0.5 (Correct answer, wrong intent).
Decision: → NOT Label as: Semantic Drift (Answer_Relevancy = 0.774, Answer is relevant)
[PRIORITY 5] INCOMPLETE ANSWER
Condition: Faithfulness &gt;= 0.5 AND Answer_Relevancy &gt;= 0.5 AND Answer covers only a subset of aspects.
Decision: → Label as: Incomplete Answer (Faithfulness = 0.625, Answer_Relevancy = 0.774, Answer covers only a subset of aspects related to explainability)
[NO ERROR]
If NONE of above:
Decision: → NOT Label as: Correct Answer (Answer covers only a subset of aspects)
### STEP 4 — Output Format (MANDATORY)
- Error_Label: Incomplete Answer
- Triggered_Rule: PRIORITY 5 &amp; Incomplete Answer
- Metrics_Summary: Faithfulness = 0.625, Answer_Relevancy = 0.774, Context_Precision = 1.0, Context_Recall = 0.429
- Evidence: Answer covers only a subset of aspects related to explainability.
- Justification: Rule-based explanation: The answer is relevant and faithful, but it covers only a subset of aspects related to explainability, which is a crucial aspect of AI models.</t>
  </si>
  <si>
    <t>### STEP 1 — Extract Query Intent and Aspects
From the Question:
1. Main intent of the query: Identify future research opportunities.
2. Number of explicit aspects: 1 (digital vaccine supply chain support technology, malware attack trends, and defense mechanisms, and supply chains facing disruptions).
### STEP 2 — Verify Context Grounding
From Top_K_Sources:
1. Key concepts in the Question appear explicitly in Top_K_Sources:
   - "digital vaccine supply chain support technology" (Rank #1)
   - "malware attack trends" (Rank #2)
   - "supply chains facing disruptions" (Rank #3)
2. Count:
   - Number of relevant chunks: 3
   - Number of noisy / off-topic chunks: 0
3. Determine if any factual claim in the Answer is NOT grounded in Top_K_Sources:
   - The Answer mentions "digital strategies" and "simulation methods" which are not explicitly mentioned in Top_K_Sources, but they are related to the main concepts.
### STEP 3 — Apply Error Classification Rules (IN ORDER OF PRIORITY)
[PRIORITY 1] HALLUCINATION
Condition: Faithfulness &lt; 0.5 AND Answer contains claims not in Top-K sources.
Decision: → NOT Label as: Hallucination (Faithfulness = 0.571, Answer contains related but not identical claims)
[PRIORITY 2] RETRIEVAL FAILURE
Condition: Context_Recall &lt; 0.5 AND NONE of the Top-K chunks contain core concepts.
Decision: → NOT Label as: Retrieval Failure (Context_Recall = 0.857, Top_K_Sources contain relevant chunks)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0.535, Answer is relevant but not perfect)
[PRIORITY 5] INCOMPLETE ANSWER
Condition: Faithfulness &gt;= 0.5 AND Answer_Relevancy &gt;= 0.5 AND Answer covers only a subset of aspects.
Decision: → Label as: Incomplete Answer (Faithfulness = 0.571, Answer_Relevancy = 0.535, Answer covers some but not all aspects)
[NO ERROR]
If NONE of above:
Decision: → NOT Label as: Correct Answer (some errors detected)
### STEP 4 — Output Format (MANDATORY)
For each row, output a structured report:
- Error_Label: Incomplete Answer
- Triggered_Rule: PRIORITY 5: INCOMPLETE ANSWER
- Metrics_Summary: Faithfulness: 0.571, Answer_Relevancy: 0.535, Context_Precision: 1.0, Context_Recall: 0.857
- Evidence: The Answer covers some but not all aspects of the query.
- Justification: Rule-based explanation: The Answer is relevant but does not cover all aspects of the query, therefore it is classified as an Incomplete Answer.</t>
  </si>
  <si>
    <t>### STEP 1 — Extract Query Intent and Aspects
From the Question:
1. Main intent of the query: Compare data requirements across AI models for SCRM.
2. Number of explicit aspects: 2 (data requirements, AI models, SCRM)
### STEP 2 — Verify Context Grounding
From Top_K_Sources:
1. Key concepts in the Question appear explicitly in Top_K_Sources:
   - "AI models"
   - "SCRM"
   - "data requirements"
2. Count:
   - Number of relevant chunks: 2 (Rank #2, Rank #1)
   - Number of noisy / off-topic chunks: 1 (Rank #3)
3. Determine if any factual claim in the Answer is NOT grounded in Top_K_Sources:
   - The Answer discusses the diversity in how Simulation and Machine Learning (ML) models are used to address supply chain challenges, which is supported by Rank #2.
   - The Answer also mentions the use of hybrid models combining discrete-continuous simulation techniques with reinforcement learning (RL) approaches, which is not explicitly mentioned in Top_K_Sources. However, this is a minor point and does not significantly impact the overall grounding of the Answer.
### STEP 3 — Apply Error Classification Rules (IN ORDER OF PRIORITY)
[PRIORITY 1] HALLUCINATION
Condition: Faithfulness &lt; 0.5 AND Answer contains claims not in Top-K sources.
Decision: → NOT Label as: Hallucination (Faithfulness = 0.75, Answer contains some claims not in Top-K sources, but they are minor)
[PRIORITY 2] RETRIEVAL FAILURE
Condition: Context_Recall &lt; 0.5 AND NONE of the Top-K chunks contain core concepts.
Decision: → NOT Label as: Retrieval Failure (Context_Recall = 0.889, Top-K chunks contain core concepts)
[PRIORITY 3] CONTEXT NOISE
Condition: Context_Recall &gt;= 0.5 AND Context_Precision &lt; 0.5 AND &gt;50% chunks are irrelevant.
Decision: → NOT Label as: Context Noise (Context_Precision = 1.0, &lt; 50% chunks are irrelevant)
[PRIORITY 4] SEMANTIC DRIFT
Condition: Faithfulness &gt;= 0.5 AND Answer_Relevancy &lt; 0.5 (Correct answer, wrong intent).
Decision: → NOT Label as: Semantic Drift (Answer_Relevancy = 0.872, correct answer with relevant intent)
[PRIORITY 5] INCOMPLETE ANSWER
Condition: Faithfulness &gt;= 0.5 AND Answer_Relevancy &gt;= 0.5 AND Answer covers only a subset of aspects.
Decision: → Label as: Incomplete Answer (Faithfulness = 0.75, Answer_Relevancy = 0.872, Answer covers some aspects but not all)
[NO ERROR]
If NONE of above:
Decision: → Label as: Correct Answer
### STEP 4 — Output Format (MANDATORY)
For each row, output a structured report:
- Error_Label: Incomplete Answer
- Triggered_Rule: [PRIORITY 5] INCOMPLETE ANSWER
- Metrics_Summary: Faithfulness = 0.75, Answer_Relevancy = 0.872, Context_Precision = 1.0, Context_Recall = 0.889
- Evidence: The Answer covers some aspects but not all, as it does not discuss the study objectives and literature classification framework in detail.
- Justification: Rule-based explanation: The Answer is considered incomplete because it does not cover all aspects of the query, despite having a high faithfulness and answer relevancy score.</t>
  </si>
  <si>
    <t>### STEP 1 — Extract Query Intent and Aspects
From the Question:
1. Identify the main intent of the query: Compare AI models using structured versus unstructured data.
2. Identify the number of explicit aspects: 2 (structured data, unstructured data)
### STEP 2 — Verify Context Grounding
From Top_K_Sources:
1. Identify whether each key concept in the Question appears explicitly:
   - Structured data: Yes (Rank #1, Rank #2)
   - Unstructured data: Yes (Rank #1, Rank #2)
   - AI models: Yes (Rank #1, Rank #2)
   - Comparison: Yes (Rank #1)
2. Count:
   - Number of relevant chunks: 3
   - Number of noisy / off-topic chunks: 0
3. Determine if any factual claim in the Answer is NOT grounded in Top_K_Sources:
   - The Answer claims that AI models using structured data outperform those using unstructured data. This is supported by Rank #1, which discusses the capacity of AI techniques to deal with low-quality data in medical supply chain environments.
### STEP 3 — Apply Error Classification Rules (IN ORDER OF PRIORITY)
[PRIORITY 1] HALLUCINATION
Condition: Faithfulness &lt; 0.5 AND Answer contains claims not in Top-K sources.
Decision: → NOT Label as: Hallucination (Faithfulness = 0.571, Answer is grounded in Top_K_Sources)
[PRIORITY 2] RETRIEVAL FAILURE
Condition: Context_Recall &lt; 0.5 AND NONE of the Top-K chunks contain core concepts.
Decision: → NOT Label as: Retrieval Failure (Context_Recall = 0.333, Top_K_Sources contain relevant chunks)
[PRIORITY 3] CONTEXT NOISE
Condition: Context_Recall &gt;= 0.5 AND Context_Precision &lt; 0.5 AND &gt;50% chunks are irrelevant.
Decision: → NOT Label as: Context Noise (Context_Precision = 1.0, Context_Recall = 0.333)
[PRIORITY 4] SEMANTIC DRIFT
Condition: Faithfulness &gt;= 0.5 AND Answer_Relevancy &lt; 0.5 (Correct answer, wrong intent).
Decision: → NOT Label as: Semantic Drift (Answer_Relevancy = 0.775, Answer is relevant)
[PRIORITY 5] INCOMPLETE ANSWER
Condition: Faithfulness &gt;= 0.5 AND Answer_Relevancy &gt;= 0.5 AND Answer covers only a subset of aspects.
Decision: → Label as: Incomplete Answer (Faithfulness = 0.571, Answer_Relevancy = 0.775, Answer covers the comparison between structured and unstructured data, but does not provide a comprehensive analysis)
[NO ERROR]
If NONE of above:
Decision: → Label as: Correct Answer
### STEP 4 — Output Format (MANDATORY)
For each row, output a structured report:
- Error_Label: Incomplete Answer
- Triggered_Rule: [PRIORITY 5] INCOMPLETE ANSWER
- Metrics_Summary: Faithfulness = 0.571, Answer_Relevancy = 0.775, Context_Precision = 1.0, Context_Recall = 0.333
- Evidence: The Answer covers the comparison between structured and unstructured data, but does not provide a comprehensive analysis.
- Justification: Rule-based explanation: The Answer is relevant and faithful, but it does not cover all aspects of the query, making it an incomplete answer.</t>
  </si>
  <si>
    <t>### STEP 1 — Extract Query Intent and Aspects
- Main intent of the query: Compare evaluation metrics across AI-driven resilience studies.
- Number of explicit aspects: 2 (evaluation metrics, AI-driven resilience studies)
### STEP 2 — Verify Context Grounding
- Key concepts in the Question: evaluation metrics, AI-driven resilience studies
- Relevant chunks:
  - Rank #1: Potongan Chunk (contains relevant information about AI applications in supply chain management)
  - Rank #2: Potongan Chunk (contains relevant information about AI benchmarking datasets)
  - Rank #3: Potongan Chunk (contains relevant information about AI and prescriptive analytics in supply chain resilience)
- Noisy/off-topic chunks: None
- Factual claims in the Answer: The evaluation metrics differ across AI-driven resilience studies due to various factors.
- Grounding in Top_K_Sources: The Answer is grounded in the Top_K_Sources, as it mentions specific studies and authors.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0.6)
[PRIORITY 3] CONTEXT NOISE
Condition: Context_Recall &gt;= 0.5 AND Context_Precision &lt; 0.5 AND &gt;50% chunks are irrelevant.
Decision: → NOT Label as: Context Noise (Context_Precision = 0.833)
[PRIORITY 4] SEMANTIC DRIFT
Condition: Faithfulness &gt;= 0.5 AND Answer_Relevancy &lt; 0.5 (Correct answer, wrong intent).
Decision: → NOT Label as: Semantic Drift (Answer_Relevancy = 0.966)
[PRIORITY 5] INCOMPLETE ANSWER
Condition: Faithfulness &gt;= 0.5 AND Answer_Relevancy &gt;= 0.5 AND Answer covers only a subset of aspects.
Decision: → Label as: Incomplete Answer (Answer covers the main intent but might not be exhaustive)
[NO ERROR]
If NONE of above:
Decision: → Label as: Correct Answer
### STEP 4 — Output Format (MANDATORY)
- Error_Label: Incomplete Answer
- Triggered_Rule: [PRIORITY 5] INCOMPLETE ANSWER
- Metrics_Summary: Faithfulness: 1.0, Answer_Relevancy: 0.966, Context_Precision: 0.833, Context_Recall: 0.6
- Evidence: The Answer covers the main intent but might not be exhaustive, as it does not provide a comprehensive comparison of evaluation metrics across AI-driven resilience studies.
- Justification: Rule-based explanation: The Answer has high faithfulness and relevancy, but it might not cover all aspects of the query, making it an incomplete answer.</t>
  </si>
  <si>
    <t>### STEP 1 — Extract Query Intent and Aspects
From the Question:
1. Identify the main intent of the query: The main intent of the query is to identify the improvements reported after AI integration.
2. Identify the number of explicit aspects: There are 2 explicit aspects: "improvements" and "AI integration".
### STEP 2 — Verify Context Grounding
From Top_K_Sources:
1. Identify whether each key concept in the Question appears explicitly:
   - "improvements" appears in Rank #1 and Rank #3
   - "AI integration" appears in Rank #1 and Rank #3
   - "supply chain performance" appears in Rank #1 and Rank #3
   - "advertisement industry" appears in Rank #1 and Rank #3
2. Count:
   - Number of relevant chunks: 3 (Rank #1, Rank #2, and Rank #3)
   - Number of noisy / off-topic chunks: 0
3. Determine if any factual claim in the Answer is NOT grounded in Top_K_Sources:
   - The Answer contains claims that are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and Context_Recall = 1.0)
[PRIORITY 4] SEMANTIC DRIFT
Condition: Faithfulness &gt;= 0.5 AND Answer_Relevancy &lt; 0.5 (Correct answer, wrong intent).
Decision: → NOT Label as: Semantic Drift (Answer_Relevancy = 0.531, which is greater than 0.5)
[PRIORITY 5] INCOMPLETE ANSWER
Condition: Faithfulness &gt;= 0.5 AND Answer_Relevancy &gt;= 0.5 AND Answer covers only a subset of aspects.
Decision: → Label as: Incomplete Answer (Faithfulness = 1.0, Answer_Relevancy = 0.531, and the Answer covers multiple aspects, but it does not cover all the aspects mentioned in the question)
[NO ERROR]
If NONE of above:
Decision: → NOT Label as: Correct Answer (since Incomplete Answer was triggered)
### STEP 4 — Output Format (MANDATORY)
For each row, output a structured report:
- Error_Label: Incomplete Answer
- Triggered_Rule: [PRIORITY 5] INCOMPLETE ANSWER
- Metrics_Summary: Faithfulness = 1.0, Answer_Relevancy = 0.531, Context_Precision = 1.0, Context_Recall = 1.0
- Evidence: The Answer covers multiple aspects, but it does not cover all the aspects mentioned in the question.
- Justification: Rule-based explanation: The Answer is incomplete because it does not cover all the aspects mentioned in the question, despite having high faithfulness and answer relevancy.</t>
  </si>
  <si>
    <t>### STEP 1 — Extract Query Intent and Aspects
From the Question:
1. Identify the main intent of the query.
   - Main intent: Identify limitations in existing models.
2. Identify the number of explicit aspects.
   - Number of explicit aspects: 1 (models)
### STEP 2 — Verify Context Grounding
From Top_K_Sources:
1. Identify whether each key concept in the Question appears explicitly.
   - Key concepts: limitations, existing models
   - Explicit appearance: Yes (in Top_K_Sources)
2. Count:
   - Number of relevant chunks: 3
   - Number of noisy / off-topic chunks: 0
3. Determine if any factual claim in the Answer is NOT grounded in Top_K_Sources.
   - Grounded: Yes (all claims are supported by Top_K_Sources)
### STEP 3 — Apply Error Classification Rules (IN ORDER OF PRIORITY)
[PRIORITY 1] HALLUCINATION
Condition: Faithfulness &lt; 0.5 AND Answer contains claims not in Top-K sources.
Decision: → NOT Label as: Hallucination (Faithfulness = 0.786, claims are grounded)
[PRIORITY 2] RETRIEVAL FAILURE
Condition: Context_Recall &lt; 0.5 AND NONE of the Top-K chunks contain core concepts.
Decision: → NOT Label as: Retrieval Failure (Context_Recall = 1.0, core concepts are present)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0.575, relevant to the question)
[PRIORITY 5] INCOMPLETE ANSWER
Condition: Faithfulness &gt;= 0.5 AND Answer_Relevancy &gt;= 0.5 AND Answer covers only a subset of aspects.
Decision: → Label as: Incomplete Answer (Faithfulness = 0.786, Answer_Relevancy = 0.575, but the answer covers only a subset of aspects related to limitations in existing models)
[NO ERROR]
If NONE of above:
Decision: → Label as: Correct Answer (NOT applicable)
### STEP 4 — Output Format (MANDATORY)
For each row, output a structured report:
- Error_Label: Incomplete Answer
- Triggered_Rule: [PRIORITY 5] INCOMPLETE ANSWER
- Metrics_Summary: Faithfulness: 0.786, Answer_Relevancy: 0.575, Context_Precision: 1.0, Context_Recall: 1.0
- Evidence: The answer covers only a subset of aspects related to limitations in existing models.
- Justification: Rule-based explanation: The answer is relevant to the question, but it does not cover all aspects related to limitations in existing models.</t>
  </si>
  <si>
    <t>### STEP 1 — Extract Query Intent and Aspects
From the Question:
1. Main intent of the query: Identify the impact of machine learning adoption on SCRM research after 2015.
2. Number of explicit aspects: 2 (Machine Learning, SCRM Research)
### STEP 2 — Verify Context Grounding
From Top_K_Sources:
1. Key concepts in the Question: Machine Learning, SCRM Research, 2015
2. Relevant chunks:
   - Rank #1: Application of machine learning for environmentally friendly advancement
   - Rank #2: Machine learning and artificial intelligence in circular economy
   - Rank #3: Applications of deep learning into supply chain management
3. Noisy / off-topic chunks:
   - Rank #4: Artificial intelligence in operations management and supply chain management (not directly related to SCRM research after 2015)
   - Rank #5: Smart literature review (not directly related to SCRM research after 2015)
4. Factual claims in the Answer are grounded in Top_K_Sources.
### STEP 3 — Apply Error Classification Rules (IN ORDER OF PRIORITY)
[PRIORITY 1] HALLUCINATION
Condition: Faithfulness &lt; 0.5 AND Answer contains claims not in Top-K sources.
Decision: → NOT Label as: Hallucination (Faithfulness = 0.6, Answer is grounded in Top_K_Sources)
[PRIORITY 2] RETRIEVAL FAILURE
Condition: Context_Recall &lt; 0.5 AND NONE of the Top-K chunks contain core concepts.
Decision: → NOT Label as: Retrieval Failure (Context_Recall = 0.333, Top_K_Sources contain relevant chunks)
[PRIORITY 3] CONTEXT NOISE
Condition: Context_Recall &gt;= 0.5 AND Context_Precision &lt; 0.5 AND &gt;50% chunks are irrelevant.
Decision: → NOT Label as: Context Noise (Context_Precision = 1.0, only 2 out of 5 chunks are irrelevant)
[PRIORITY 4] SEMANTIC DRIFT
Condition: Faithfulness &gt;= 0.5 AND Answer_Relevancy &lt; 0.5 (Correct answer, wrong intent).
Decision: → NOT Label as: Semantic Drift (Answer_Relevancy = 0.827, Answer is relevant to the query)
[PRIORITY 5] INCOMPLETE ANSWER
Condition: Faithfulness &gt;= 0.5 AND Answer_Relevancy &gt;= 0.5 AND Answer covers only a subset of aspects.
Decision: → Label as: Incomplete Answer (Faithfulness = 0.6, Answer_Relevancy = 0.827, Answer covers only 2 out of 2 aspects)
[NO ERROR]
If NONE of above:
Decision: → Label as: Correct Answer
### STEP 4 — Output Format (MANDATORY)
For each row, output a structured report:
- Error_Label: Incomplete Answer
- Triggered_Rule: [PRIORITY 5] INCOMPLETE ANSWER
- Metrics_Summary: Faithfulness = 0.6, Answer_Relevancy = 0.827, Context_Precision = 1.0, Context_Recall = 0.333
- Evidence: Answer covers only 2 out of 2 aspects, but the query intent is fully addressed.
- Justification: Rule-based explanation: The answer is relevant and faithful, but it covers only a subset of the aspects mentioned in the query.</t>
  </si>
  <si>
    <t>### STEP 1 — Extract Query Intent and Aspects
From the Question:
1. Main intent of the query: Identify changes in objectives of AI models for supply chain resilience.
2. Number of explicit aspects: 2 (AI models, supply chain resilience)
### STEP 2 — Verify Context Grounding
From Top_K_Sources:
1. Key concepts in the Question: AI models, supply chain resilience
2. Relevant chunks:
   - Rank #3: "purpose manufacturing firms must strengthen their supply chain resilience to survive in turbulent business environments"
   - Rank #1: "discusses ai model validation frameworks essential for ensuring reliability and robustness of predictions in realworld food industry applications"
   - Rank #2: "their key insights and contributions our findings demonstrate that ai has diverse applications in different aspects of the fashion industry"
   - Rank #4: "improving aidriven supply chain strategies enabling managers to finetune ai models according to specific objectives"
   - Rank #5: "devices in synergy with ai models which are changing the paradigm for assessing food quality and its traceability"
3. Number of relevant chunks: 5
4. Number of noisy / off-topic chunks: 0
5. Factual claims in the Answer:
   - "The traditional objective of AI models in supply chain management was to optimize performance"
   - "AI models should now focus on enhancing supply chain resilience"
   - "This shift in objectives is crucial for manufacturing firms to survive in today's competitive market"
6. Grounding of factual claims:
   - Claim 1: Grounded in Rank #3
   - Claim 2: Grounded in Rank #3
   - Claim 3: Grounded in Rank #3
### STEP 3 — Apply Error Classification Rules (IN ORDER OF PRIORITY)
[PRIORITY 1] HALLUCINATION
Condition: Faithfulness &lt; 0.5 AND Answer contains claims not in Top-K sources.
Decision: → NOT Label as: Hallucination (Faithfulness = 0.778, claims in Answer are grounded in Top-K sources)
[PRIORITY 2] RETRIEVAL FAILURE
Condition: Context_Recall &lt; 0.5 AND NONE of the Top-K chunks contain core concepts.
Decision: → NOT Label as: Retrieval Failure (Context_Recall = 0.833, Top-K chunks contain core concepts)
[PRIORITY 3] CONTEXT NOISE
Condition: Context_Recall &gt;= 0.5 AND Context_Precision &lt; 0.5 AND &gt;50% chunks are irrelevant.
Decision: → NOT Label as: Context Noise (Context_Precision = 0.417, but &gt;50% chunks are not irrelevant)
[PRIORITY 4] SEMANTIC DRIFT
Condition: Faithfulness &gt;= 0.5 AND Answer_Relevancy &lt; 0.5 (Correct answer, wrong intent).
Decision: → NOT Label as: Semantic Drift (Answer_Relevancy = 0.849, correct answer and intent)
[PRIORITY 5] INCOMPLETE ANSWER
Condition: Faithfulness &gt;= 0.5 AND Answer_Relevancy &gt;= 0.5 AND Answer covers only a subset of aspects.
Decision: → Label as: Incomplete Answer (Faithfulness = 0.778, Answer_Relevancy = 0.849, but Answer covers only a subset of aspects)
[NO ERROR]
If NONE of above:
Decision: → Label as: Correct Answer
### STEP 4 — Output Format (MANDATORY)
For each row, output a structured report:
- Error_Label: Incomplete Answer
- Triggered_Rule: [PRIORITY 5] INCOMPLETE ANSWER
- Metrics_Summary: Faithfulness = 0.778, Answer_Relevancy = 0.849, Context_Precision = 0.417, Context_Recall = 0.833
- Evidence: Answer covers only a subset of aspects.
- Justification: Rule-based explanation: Incomplete Answer is triggered because the Answer has a high faithfulness and relevancy score, but it only covers a subset of the aspects mentioned in the question.</t>
  </si>
  <si>
    <t>### STEP 1 — Extract Query Intent and Aspects
From the Question:
1. Main intent of the query: Identify the emergence of explainable AI in SCRM research.
2. Number of explicit aspects: 2 (Explainable AI, SCRM research)
### STEP 2 — Verify Context Grounding
From Top_K_Sources:
1. Key concepts in the Question: Explainable AI, SCRM research
2. Relevant chunks:
   - Rank #1: approaches and the emergence of artificial intelligence ai applications through an extensive database search relevant articles on cscrm were identified for analysis the review reveals that while traditional techniques such as surveys...
   - Rank #2: are contrasted we present an integrative research typology for xai in scm to better align how scm literature has conceived ai deployment in scm this far the typology should help us understand...
   - Rank #4: artificial intelligence ai has emerged as a complementary technology in supply chain research however the majority of ai approaches explored in this context afford little to no explainability which is a significant...
3. Number of relevant chunks: 3
4. Number of noisy / off-topic chunks: 2 (Rank #3, Rank #5)
5. Factual claims in the Answer:
   - Explainable AI has emerged in SCRM research through various approaches.
   - The emergence of explainable AI in SCRM research is driven by the need to better align AI deployment in SCM.
   - Explainability is a significant issue in AI approaches for SCRM.
6. Grounding in Top_K_Sources:
   - Rank #2: The typology should help us understand how SCM literature has conceived AI deployment in SCM.
   - Rank #4: The majority of AI approaches explored in this context afford little to no explainability.
   - Rank #5: AI can enhance and strengthen the digital capabilities model (DCM).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0.852)
[PRIORITY 5] INCOMPLETE ANSWER
Condition: Faithfulness &gt;= 0.5 AND Answer_Relevancy &gt;= 0.5 AND Answer covers only a subset of aspects.
Decision: → Label as: Incomplete Answer (Faithfulness = 1.0, Answer_Relevancy = 0.852, Answer covers multiple aspects)
[NO ERROR]
If NONE of above:
Decision: → Label as: Correct Answer
### STEP 4 — Output Format (MANDATORY)
For each row, output a structured report:
- Error_Label: Incomplete Answer
- Triggered_Rule: [PRIORITY 5] INCOMPLETE ANSWER
- Metrics_Summary: Faithfulness = 1.0, Answer_Relevancy = 0.852, Context_Precision = 1.0, Context_Recall = 1.0
- Evidence: The answer covers multiple aspects, including the emergence of explainable AI in SCRM research, the need to better align AI deployment in SCM, and the importance of explainability in AI approaches for SCRM.
- Justification: The answer is incomplete because it does not cover all the aspects of the query, despite having high faithfulness and answer relevancy.</t>
  </si>
  <si>
    <t>### STEP 1 — Extract Query Intent and Aspects
From the Question:
1. Main intent of the query: Identify how sustainability has been incorporated into AI-based resilience models.
2. Number of explicit aspects: 1 (sustainability in AI-based resilience models)
### STEP 2 — Verify Context Grounding
From Top_K_Sources:
1. Key concepts in the Question appear explicitly in Top_K_Sources:
   - Sustainability: Present in all Top_K_Sources.
   - AI-based resilience models: Present in all Top_K_Sources.
   - Agility, resilience, and sustainability: Present in Rank #1.
   - Augmented Reality (AR) and Internet of Things (IoT): Present in Rank #1.
2. Count:
   - Number of relevant chunks: 5 (all Top_K_Sources are relevant).
   - Number of noisy / off-topic chunks: 0 (all chunks are relevant).
3. Determine if any factual claim in the Answer is NOT grounded in Top_K_Sources:
   - The Answer mentions several studies, but the Top_K_Sources do not explicitly mention these studies. However, the studies mentioned in the Answer are related to the topics discussed in the Top_K_Sources.
### STEP 3 — Apply Error Classification Rules (IN ORDER OF PRIORITY)
[PRIORITY 1] HALLUCINATION
Condition: Faithfulness &lt; 0.5 AND Answer contains claims not in Top-K sources.
Decision: → NOT Label as: Hallucination (Faithfulness = 0.636, which is greater than 0.5)
[PRIORITY 2] RETRIEVAL FAILURE
Condition: Context_Recall &lt; 0.5 AND NONE of the Top-K chunks contain core concepts.
Decision: → NOT Label as: Retrieval Failure (Context_Recall = 1.0, which is greater than 0.5)
[PRIORITY 3] CONTEXT NOISE
Condition: Context_Recall &gt;= 0.5 AND Context_Precision &lt; 0.5 AND &gt;50% chunks are irrelevant.
Decision: → NOT Label as: Context Noise (Context_Precision = 0.0, which is less than 0.5, but Context_Recall = 1.0, which is greater than 0.5, and there are no irrelevant chunks)
[PRIORITY 4] SEMANTIC DRIFT
Condition: Faithfulness &gt;= 0.5 AND Answer_Relevancy &lt; 0.5 (Correct answer, wrong intent).
Decision: → NOT Label as: Semantic Drift (Answer_Relevancy = 0.965, which is greater than 0.5)
[PRIORITY 5] INCOMPLETE ANSWER
Condition: Faithfulness &gt;= 0.5 AND Answer_Relevancy &gt;= 0.5 AND Answer covers only a subset of aspects.
Decision: → Label as: Incomplete Answer (Faithfulness = 0.636, which is greater than 0.5, Answer_Relevancy = 0.965, which is greater than 0.5, and the Answer covers several aspects, but not all of them)
[NO ERROR]
If NONE of above:
Decision: → Label as: Correct Answer
### STEP 4 — Output Format (MANDATORY)
For each row, output a structured report:
- Error_Label: Incomplete Answer
- Triggered_Rule: [PRIORITY 5] INCOMPLETE ANSWER
- Metrics_Summary: Faithfulness = 0.636, Answer_Relevancy = 0.965, Context_Precision = 0.0, Context_Recall = 1.0
- Evidence: The Answer covers several aspects, but not all of them.
- Justification: Rule-based explanation: The Answer is relevant and faithful, but it does not cover all the aspects of the query.</t>
  </si>
  <si>
    <t>### STEP 1 — Extract Query Intent and Aspects
From the Question:
1. Identify the main intent of the query: The main intent of the query is to identify gaps in AI research for small and medium-sized supply chains.
2. Identify the number of explicit aspects: There are 2 explicit aspects: AI research and small/medium-sized supply chains.
### STEP 2 — Verify Context Grounding
From Top_K_Sources:
1. Identify whether each key concept in the Question appears explicitly:
   - AI research: Yes (appears in all Top_K_Sources)
   - Small/medium-sized supply chains: Yes (appears in Rank #1 and Rank #2)
2. Count:
   - Number of relevant chunks: 4 (all Top_K_Sources are relevant)
   - Number of noisy / off-topic chunks: 0 (all chunks are relevant)
3. Determine if any factual claim in the Answer is NOT grounded in Top_K_Sources:
   - The Answer claims that there are gaps in AI research for small and medium-sized supply chains. This claim is grounded in Rank #1, which discusses the current trends and gaps in AI research for supply chain management.
### STEP 3 — Apply Error Classification Rules (IN ORDER OF PRIORITY)
[PRIORITY 1] HALLUCINATION
Condition: Faithfulness &lt; 0.5 AND Answer contains claims not in Top-K sources.
Decision: → Faithfulness is 0.467, which is less than 0.5. However, the Answer contains claims that are grounded in Top_K_Sources. Therefore, this condition is not met.
[PRIORITY 2] RETRIEVAL FAILURE
Condition: Context_Recall &lt; 0.5 AND NONE of the Top-K chunks contain core concepts.
Decision: → Context_Recall is 0.556,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Faithfulness is 0.467, which is less than 0.5. Therefore, this condition is not met.
[PRIORITY 5] INCOMPLETE ANSWER
Condition: Faithfulness &gt;= 0.5 AND Answer_Relevancy &gt;= 0.5 AND Answer covers only a subset of aspects.
Decision: → Faithfulness is 0.467, which is less than 0.5. Therefore, this condition is not met.
[NO ERROR]
If NONE of above:
Decision: → The Answer is relevant and covers the correct aspects. However, the Faithfulness is low. This suggests that the Answer may not fully capture the nuances of the query.
### STEP 4 — Output Format (MANDATORY)
For each row, output a structured report:
- Error_Label: Incomplete Answer
- Triggered_Rule: [NO ERROR]
- Metrics_Summary: Faithfulness: 0.467, Answer_Relevancy: 0.947, Context_Precision: 1.0, Context_Recall: 0.556
- Evidence: The Answer is relevant and covers the correct aspects, but the Faithfulness is low.
- Justification: The Answer does not fully capture the nuances of the query, resulting in a low Faithfulness score.</t>
  </si>
  <si>
    <t>### STEP 1 — Extract Query Intent and Aspects
From the Question:
1. Main intent of the query: Identify supply chain stages that receive little attention in AI models.
2. Number of explicit aspects: 1 (supply chain stages that receive little attention in AI models)
### STEP 2 — Verify Context Grounding
From Top_K_Sources:
1. Key concepts in the Question: supply chain, AI models, stages that receive little attention
2. Relevant chunks:
   - Rank #1: "afford little to no explainability" (related to AI models)
   - Rank #2: "lack of clarity regarding the specific points along the power system supply chain where AI applications are valuable" (related to supply chain and AI models)
   - Rank #3: "study the AI applications in SC from a structural perspective" (related to supply chain and AI models)
   - Rank #4: "incorporating new technologies such as artificial intelligence AI in supply chain management" (related to supply chain and AI models)
   - Rank #5: "developing AI models consumes time and cost" (related to AI models)
3. Noisy / off-topic chunks: None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0.818, Answer contains claims from Top-K sources)
[PRIORITY 2] RETRIEVAL FAILURE
Condition: Context_Recall &lt; 0.5 AND NONE of the Top-K chunks contain core concepts.
Decision: → NOT Label as: Retrieval Failure (Context_Recall = 1.0, Top-K chunks contain core concepts)
[PRIORITY 3] CONTEXT NOISE
Condition: Context_Recall &gt;= 0.5 AND Context_Precision &lt; 0.5 AND &gt;50% chunks are irrelevant.
Decision: → NOT Label as: Context Noise (Context_Precision = 1.0, no irrelevant chunks)
[PRIORITY 4] SEMANTIC DRIFT
Condition: Faithfulness &gt;= 0.5 AND Answer_Relevancy &lt; 0.5 (Correct answer, wrong intent).
Decision: → NOT Label as: Semantic Drift (Answer_Relevancy = 0.997, correct answer and relevant)
[PRIORITY 5] INCOMPLETE ANSWER
Condition: Faithfulness &gt;= 0.5 AND Answer_Relevancy &gt;= 0.5 AND Answer covers only a subset of aspects.
Decision: → Label as: Incomplete Answer (Faithfulness = 0.818, Answer_Relevancy = 0.997, but Answer does not cover all aspects of the question)
[NO ERROR]
If NONE of above:
Decision: → Label as: Correct Answer
### STEP 4 — Output Format (MANDATORY)
For each row, output a structured report:
- Error_Label: Incomplete Answer
- Triggered_Rule: [PRIORITY 5] INCOMPLETE ANSWER
- Metrics_Summary: Faithfulness = 0.818, Answer_Relevancy = 0.997, Context_Precision = 1.0, Context_Recall = 1.0
- Evidence: Answer does not cover all aspects of the question.
- Justification: Rule-based explanation: The answer is relevant and faithful, but it does not cover all aspects of the question, making it an incomplete answer.</t>
  </si>
  <si>
    <t>### STEP 1 — Extract Query Intent and Aspects
From the Question:
1. Main intent: Identify the main intent of the query.
   - The main intent is to inquire about the presence of human-in-the-loop approaches in AI-based resilience studies.
2. Number of explicit aspects: 
   - There are 2 explicit aspects: 
     - Human-in-the-loop approaches
     - AI-based resilience studies
### STEP 2 — Verify Context Grounding
From Top_K_Sources:
1. Key concepts in the Question:
   - Human-in-the-loop approaches
   - AI-based resilience studies
2. Count:
   - Number of relevant chunks: 4 (Chunks 1, 2, 3, and 5)
   - Number of noisy / off-topic chunks: 0
3. Determine if any factual claim in the Answer is NOT grounded in Top_K_Sources:
   - The Answer is grounded in Top_K_Sources, as it mentions the existing literature and the need for human-in-the-loop approaches, which are discussed in the Top_K_Sources.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1.0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0.788 &gt; 0.5)
[PRIORITY 5] INCOMPLETE ANSWER
Condition: Faithfulness &gt;= 0.5 AND Answer_Relevancy &gt;= 0.5 AND Answer covers only a subset of aspects.
Decision: → Label as: Incomplete Answer (Faithfulness = 0.667 &gt; 0.5, Answer_Relevancy = 0.788 &gt; 0.5, but the Answer does not cover all aspects of the Question)
[NO ERROR]
If NONE of above:
Decision: → Label as: Correct Answer (NOT applicable)
### STEP 4 — Output Format (MANDATORY)
For each row, output a structured report:
- Error_Label: Incomplete Answer
- Triggered_Rule: [PRIORITY 5] INCOMPLETE ANSWER
- Metrics_Summary: Faithfulness = 0.667, Answer_Relevancy = 0.788, Context_Precision = 1.0, Context_Recall = 1.0
- Evidence: The Answer does not cover all aspects of the Question, such as the specific studies mentioned in the Top_K_Sources.
- Justification: Rule-based explanation: The Answer is relevant and faithful, but it does not cover all aspects of the Question, which is a characteristic of an Incomplete Answer.</t>
  </si>
  <si>
    <t>### STEP 1 — Extract Query Intent and Aspects
From the Question:
1. Main intent: Identify industries rarely studied in AI-based supply chain resilience.
2. Number of explicit aspects: 1 (industry)
### STEP 2 — Verify Context Grounding
From Top_K_Sources:
1. Key concepts in the Question appear explicitly in Top_K_Sources.
2. Count:
   - Number of relevant chunks: 5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1.0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0.703 &gt; 0.5)
[PRIORITY 5] INCOMPLETE ANSWER
Condition: Faithfulness &gt;= 0.5 AND Answer_Relevancy &gt;= 0.5 AND Answer covers only a subset of aspects.
Decision: → Label as: Incomplete Answer (Faithfulness = 0.667 &gt; 0.5, Answer_Relevancy = 0.703 &gt; 0.5, but the Answer covers only one industry, which is a subset of aspects)
[NO ERROR]
If NONE of above:
Decision: → Label as: Correct Answer (NOT applicable)
### STEP 4 — Output Format (MANDATORY)
For each row, output a structured report:
- Error_Label: Incomplete Answer
- Triggered_Rule: [PRIORITY 5] Incomplete Answer
- Metrics_Summary: Faithfulness = 0.667, Answer_Relevancy = 0.703, Context_Precision = 1.0, Context_Recall = 1.0
- Evidence: The Answer covers only one industry, which is a subset of aspects.
- Justification: Rule-based explanation: The Answer is partially correct, but it does not cover all aspects of the question.</t>
  </si>
  <si>
    <t>### STEP 1 — Extract Query Intent and Aspects
From the Question:
1. Identify the main intent of the query: The main intent of the query is to identify the gaps between theoretical models and real-world deployment.
2. Identify the number of explicit aspects: There are 2 explicit aspects: 
   - Theoretical models
   - Real-world deployment
### STEP 2 — Verify Context Grounding
From Top_K_Sources:
1. Identify whether each key concept in the Question appears explicitly:
   - The key concepts are "theoretical models" and "real-world deployment". Both appear explicitly in the Top_K_Sources.
2. Count:
   - Number of relevant chunks: 4 (Rank #1, #2, #3, and #4)
   - Number of noisy / off-topic chunks: 0
3. Determine if any factual claim in the Answer is NOT grounded in Top_K_Sources:
   - The Answer is grounded in the Top_K_Sources, as it mentions specific papers and concepts from the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0.778)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0.85)
[PRIORITY 5] INCOMPLETE ANSWER
Condition: Faithfulness &gt;= 0.5 AND Answer_Relevancy &gt;= 0.5 AND Answer covers only a subset of aspects.
Decision: → Label as: Incomplete Answer (Faithfulness = 1.0, Answer_Relevancy = 0.85, but the Answer does not cover all aspects of the query)
[NO ERROR]
If NONE of above:
Decision: → NOT Label as: Correct Answer (since the Answer is not entirely correct)
### STEP 4 — Output Format (MANDATORY)
For each row, output a structured report:
- Error_Label: Incomplete Answer
- Triggered_Rule: [PRIORITY 5] INCOMPLETE ANSWER
- Metrics_Summary: Faithfulness = 1.0, Answer_Relevancy = 0.85, Context_Precision = 1.0, Context_Recall = 0.778
- Evidence: The Answer does not cover all aspects of the query, such as the specific gaps between theoretical models and real-world deployment.
- Justification: Rule-based explanation: The Answer is relevant and faithful, but it does not cover all aspects of the query, making it an Incomplete Answer.</t>
  </si>
  <si>
    <t>### STEP 1 — Extract Query Intent and Aspects
From the Question:
1. Main intent of the query: Identify resilience strategies that lack AI-based optimization.
2. Number of explicit aspects: 1 (resilience strategies) and 1 (AI-based optimization).
### STEP 2 — Verify Context Grounding
From Top_K_Sources:
1. Key concepts in the Question: resilience strategies, AI-based optimization.
2. Relevant chunks:
   - Rank #1: cybersecurity applications, AI-powered intrusion detection, predictive maintenance strategies (not directly related to resilience strategies or AI-based optimization).
   - Rank #2: AI methods for demand forecasting in supply chain management (related to AI-based optimization).
   - Rank #3: AI algorithms for ecommerce supply chains (related to AI-based optimization).
   - Rank #4: Preemptive resilience in military supply chains (related to resilience strategies).
   - Rank #5: Reflexive governance architectures in food supply chains (not directly related to resilience strategies or AI-based optimization).
3. Number of relevant chunks: 3 (out of 5).
4. Number of noisy / off-topic chunks: 2 (out of 5).
5. Factual claims in the Answer: Traditional approaches to supply chain resilience lack AI-based optimization, focusing on reactive responses and recovery strategies post-disruption.
6. Grounding in Top_K_Sources: The Answer is partially grounded in Top_K_Sources (Rank #2 and #3).
### STEP 3 — Apply Error Classification Rules (IN ORDER OF PRIORITY)
[PRIORITY 1] HALLUCINATION
Condition: Faithfulness &lt; 0.5 AND Answer contains claims not in Top-K sources.
Decision: → NOT Label as: Hallucination (Faithfulness = 0.692, Answer contains claims partially grounded in Top-K sources).
[PRIORITY 2] RETRIEVAL FAILURE
Condition: Context_Recall &lt; 0.5 AND NONE of the Top-K chunks contain core concepts.
Decision: → NOT Label as: Retrieval Failure (Context_Recall = 0.6, Rank #4 contains a core concept related to resilience strategies).
[PRIORITY 3] CONTEXT NOISE
Condition: Context_Recall &gt;= 0.5 AND Context_Precision &lt; 0.5 AND &gt;50% chunks are irrelevant.
Decision: → NOT Label as: Context Noise (Context_Precision = 0.417, but only 2 out of 5 chunks are noisy/off-topic).
[PRIORITY 4] SEMANTIC DRIFT
Condition: Faithfulness &gt;= 0.5 AND Answer_Relevancy &lt; 0.5 (Correct answer, wrong intent).
Decision: → NOT Label as: Semantic Drift (Answer_Relevancy = 0.545, which is greater than or equal to 0.5).
[PRIORITY 5] INCOMPLETE ANSWER
Condition: Faithfulness &gt;= 0.5 AND Answer_Relevancy &gt;= 0.5 AND Answer covers only a subset of aspects.
Decision: → Label as: Incomplete Answer (Faithfulness = 0.692, Answer_Relevancy = 0.545, and the Answer covers only a subset of aspects related to resilience strategies).
[NO ERROR]
If NONE of above:
Decision: → NOT Label as: Correct Answer (the Answer is partially grounded in Top-K sources and contains claims not fully addressed by the sources).
### STEP 4 — Output Format (MANDATORY)
For each row, output a structured report:
- Error_Label: Incomplete Answer
- Triggered_Rule: [PRIORITY 5] INCOMPLETE ANSWER
- Metrics_Summary: Faithfulness = 0.692, Answer_Relevancy = 0.545, Context_Precision = 0.417, Context_Recall = 0.6
- Evidence: The Answer covers only a subset of aspects related to resilience strategies.
- Justification: Rule-based explanation: The Answer is partially grounded in Top-K sources, but it does not fully address the query intent, leading to an Incomplete Answer classification.</t>
  </si>
  <si>
    <t>### STEP 1 — Extract Query Intent and Aspects
From the Question:
1. Main intent of the query: Compare performance differences between traditional ML and deep learning models.
2. Number of explicit aspects: 2 (traditional ML, deep learning models)
### STEP 2 — Verify Context Grounding
From Top_K_Sources:
1. Key concepts in the Question appear explicitly in Top_K_Sources:
   - "traditional ML"
   - "deep learning models"
   - "performance differences"
   - "accuracy"
   - "RMSE"
2. Count:
   - Number of relevant chunks: 4 (Rank #1, Rank #2, Rank #3, Rank #4)
   - Number of noisy / off-topic chunks: 1 (Rank #5)
3. Determine if any factual claim in the Answer is NOT grounded in Top_K_Sources:
   - The Answer contains claims about the performance differences between traditional ML and deep learning models, which are grounded in Top_K_Sources.
### STEP 3 — Apply Error Classification Rules (IN ORDER OF PRIORITY)
[PRIORITY 1] HALLUCINATION
Condition: Faithfulness &lt; 0.5 AND Answer contains claims not in Top-K sources.
Decision: → NOT Label as: Hallucination (Faithfulness = 0.583 &gt; 0.5)
[PRIORITY 2] RETRIEVAL FAILURE
Condition: Context_Recall &lt; 0.5 AND NONE of the Top-K chunks contain core concepts.
Decision: → NOT Label as: Retrieval Failure (Context_Recall = 1.0 &gt; 0.5)
[PRIORITY 3] CONTEXT NOISE
Condition: Context_Recall &gt;= 0.5 AND Context_Precision &lt; 0.5 AND &gt;50% chunks are irrelevant.
Decision: → NOT Label as: Context Noise (Context_Precision = 0.25 &lt; 0.5, but only 1 out of 5 chunks is irrelevant)
[PRIORITY 4] SEMANTIC DRIFT
Condition: Faithfulness &gt;= 0.5 AND Answer_Relevancy &lt; 0.5 (Correct answer, wrong intent).
Decision: → NOT Label as: Semantic Drift (Answer_Relevancy = 0.995 &gt; 0.5)
[PRIORITY 5] INCOMPLETE ANSWER
Condition: Faithfulness &gt;= 0.5 AND Answer_Relevancy &gt;= 0.5 AND Answer covers only a subset of aspects.
Decision: → Label as: Incomplete Answer (Faithfulness = 0.583 &gt; 0.5, Answer_Relevancy = 0.995 &gt; 0.5, but the Answer does not cover all aspects of the question)
[NO ERROR]
If NONE of above:
Decision: → Label as: Correct Answer (NOT applicable)
### STEP 4 — Output Format (MANDATORY)
For each row, output a structured report:
- Error_Label: Incomplete Answer
- Triggered_Rule: [PRIORITY 5] INCOMPLETE ANSWER
- Metrics_Summary: Faithfulness = 0.583, Answer_Relevancy = 0.995, Context_Precision = 0.25, Context_Recall = 1.0
- Evidence: The Answer does not cover all aspects of the question, such as the specific performance differences between traditional ML and deep learning models.
- Justification: Rule-based explanation: The Answer is relevant and faithful, but it does not cover all aspects of the question, which is a characteristic of an Incomplete Answer.</t>
  </si>
  <si>
    <t>### STEP 1 — Extract Query Intent and Aspects
From the Question:
1. Main intent: Compare AI models using structured versus unstructured data.
2. Number of explicit aspects: 2 (structured vs unstructured data)
### STEP 2 — Verify Context Grounding
From Top_K_Sources:
1. Key concepts in the Question appear explicitly in Top_K_Sources:
   - Structured data: Present in Rank #1, Rank #4, and Rank #5
   - Unstructured data: Present in Rank #1, Rank #4, and Rank #5
   - AI models: Present in Rank #1, Rank #2, Rank #3, Rank #4, and Rank #5
2. Count:
   - Number of relevant chunks: 5
   - Number of noisy / off-topic chunks: 0
3. Determine if any factual claim in the Answer is NOT grounded in Top_K_Sources:
   - The Answer mentions Doc [4] and Doc [5], which are not present in Top_K_Sources. However, the content of the Answer is supported by the Top_K_Sources.
### STEP 3 — Apply Error Classification Rules (IN ORDER OF PRIORITY)
[PRIORITY 1] HALLUCINATION
Condition: Faithfulness &lt; 0.5 AND Answer contains claims not in Top-K sources.
Decision: → NOT Label as: Hallucination (Faithfulness = 0.875)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0.804)
[PRIORITY 4] SEMANTIC DRIFT
Condition: Faithfulness &gt;= 0.5 AND Answer_Relevancy &lt; 0.5 (Correct answer, wrong intent).
Decision: → NOT Label as: Semantic Drift (Answer_Relevancy = 0.858)
[PRIORITY 5] INCOMPLETE ANSWER
Condition: Faithfulness &gt;= 0.5 AND Answer_Relevancy &gt;= 0.5 AND Answer covers only a subset of aspects.
Decision: → Label as: Incomplete Answer (Answer covers the comparison of AI models using structured versus unstructured data, but does not provide a comprehensive answer)
[NO ERROR]
If NONE of above:
Decision: → Label as: Correct Answer
### STEP 4 — Output Format (MANDATORY)
For each row, output a structured report:
- Error_Label: Incomplete Answer
- Triggered_Rule: [PRIORITY 5] INCOMPLETE ANSWER
- Metrics_Summary: Faithfulness = 0.875, Answer_Relevancy = 0.858, Context_Precision = 0.804, Context_Recall = 0.833
- Evidence: The Answer covers the comparison of AI models using structured versus unstructured data, but does not provide a comprehensive answer.
- Justification: Rule-based explanation: The Answer does not cover all aspects of the question, and therefore is classified as an Incomplete Answer.</t>
  </si>
  <si>
    <t>### STEP 1 — Extract Query Intent and Aspects
From the Question:
1. Main intent: Compare evaluation metrics across AI-driven resilience studies.
2. Number of explicit aspects: 2 (evaluation metrics, AI-driven resilience studies)
### STEP 2 — Verify Context Grounding
From Top_K_Sources:
1. Key concepts in the Question appear explicitly in Top_K_Sources:
   - AI-driven resilience studies: Present in Rank #1, Rank #2, Rank #3, Rank #4, Rank #5
   - Evaluation metrics: Present in Rank #1, Rank #2, Rank #3, Rank #4, Rank #5
2. Count:
   - Number of relevant chunks: 5
   - Number of noisy / off-topic chunks: 0
3. Determine if any factual claim in the Answer is NOT grounded in Top_K_Sources:
   - The Answer discusses various aspects of AI-driven resilience studies, which are all present in Top_K_Sources.
### STEP 3 — Apply Error Classification Rules (IN ORDER OF PRIORITY)
[PRIORITY 1] HALLUCINATION
Condition: Faithfulness &lt; 0.5 AND Answer contains claims not in Top-K sources.
Decision: → NOT Label as: Hallucination (Faithfulness = 0.9)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0.5, but not &gt;50% chunks are irrelevant)
[PRIORITY 4] SEMANTIC DRIFT
Condition: Faithfulness &gt;= 0.5 AND Answer_Relevancy &lt; 0.5 (Correct answer, wrong intent).
Decision: → NOT Label as: Semantic Drift (Answer_Relevancy = 0.818)
[PRIORITY 5] INCOMPLETE ANSWER
Condition: Faithfulness &gt;= 0.5 AND Answer_Relevancy &gt;= 0.5 AND Answer covers only a subset of aspects.
Decision: → Label as: Incomplete Answer (Faithfulness = 0.9, Answer_Relevancy = 0.818, but the Answer covers multiple aspects, which is not a subset)
[NO ERROR]
If NONE of above:
Decision: → Label as: Correct Answer
### STEP 4 — Output Format (MANDATORY)
For each row, output a structured report:
- Error_Label: Incomplete Answer
- Triggered_Rule: [PRIORITY 5] INCOMPLETE ANSWER
- Metrics_Summary: Faithfulness = 0.9, Answer_Relevancy = 0.818, Context_Precision = 0.5, Context_Recall = 1.0
- Evidence: The Answer covers multiple aspects, which is not a subset of the query intent.
- Justification: Rule-based explanation: The Answer is not incomplete in the sense that it covers only a subset of aspects, but it is still not fully comprehensive, hence classified as Incomplete Answer.</t>
  </si>
  <si>
    <t>### STEP 1 — Extract Query Intent and Aspects
From the Question:
1. Identify the main intent of the query: Compare AI-driven risk detection and risk mitigation frameworks.
2. Identify the number of explicit aspects: 2 (risk detection and risk mitigation)
### STEP 2 — Verify Context Grounding
From Top_K_Sources:
1. Identify whether each key concept in the Question appears explicitly:
   - AI-driven risk detection: Yes (Rank #1, #3, #4, #5)
   - Risk mitigation: Yes (Rank #1, #3, #4)
   - Frameworks: Yes (Rank #1, #3, #4, #5)
2. Count:
   - Number of relevant chunks: 4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Label as: Hallucination (Faithfulness = 0.818)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0.776)
[PRIORITY 5] INCOMPLETE ANSWER
Condition: Faithfulness &gt;= 0.5 AND Answer_Relevancy &gt;= 0.5 AND Answer covers only a subset of aspects.
Decision: → Label as: Incomplete Answer (Faithfulness = 0.818, Answer_Relevancy = 0.776, Answer covers multiple aspects but not all)
[NO ERROR]
If NONE of above:
Decision: → Label as: Correct Answer
### STEP 4 — Output Format (MANDATORY)
For each row, output a structured report:
- Error_Label: Incomplete Answer
- Triggered_Rule: [PRIORITY 5] INCOMPLETE ANSWER
- Metrics_Summary: Faithfulness = 0.818, Answer_Relevancy = 0.776, Context_Precision = 1.0, Context_Recall = 1.0
- Evidence: The answer covers multiple aspects but not all, and the faithfulness and answer relevancy are high.
- Justification: The answer is incomplete because it does not cover all the aspects of the question, but it is still relevant and faithful to the context.</t>
  </si>
  <si>
    <t>### STEP 1 — Extract Query Intent and Aspects
From the Question:
1. Main intent of the query: Identify the reduction in disruption impact reported using AI models.
2. Number of explicit aspects: 1 (disruption impact)
### STEP 2 — Verify Context Grounding
From Top_K_Sources:
1. Key concepts in the Question: AI models, disruption impact
2. Relevant chunks:
   - Rank #2: "big data analytics and AI technologies could be deployed by firms to gain a competitive advantage by responding promptly and effectively to severe disruptions"
   - Rank #1: "strategies influence supply chain performance through empirical and simulation-based analyses and how advanced technologies like artificial intelligence ai and machine learning ml can enhance this integration"
3. Noisy / off-topic chunks:
   - Rank #3: "to provide a model with a minimum error rate while addressing some qualitative scientific metrics conclusions in this competition methods based on ai were investigated the results showed that machine learning methods..."
   - Rank #4: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 Rank #5: "we illustrate the capacity of artificial intelligence ai and machine learning ml techniques to preserve consistent categorization abilities whenever the quality of the data decreases displaying mistakes or mismatches across matrix entries..."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0.7)
[PRIORITY 2] RETRIEVAL FAILURE
Condition: Context_Recall &lt; 0.5 AND NONE of the Top-K chunks contain core concepts.
Decision: → NOT Label as: Retrieval Failure (Context_Recall = 0.75)
[PRIORITY 3] CONTEXT NOISE
Condition: Context_Recall &gt;= 0.5 AND Context_Precision &lt; 0.5 AND &gt;50% chunks are irrelevant.
Decision: → NOT Label as: Context Noise (Context_Precision = 0.45, but &gt;50% chunks are not irrelevant)
[PRIORITY 4] SEMANTIC DRIFT
Condition: Faithfulness &gt;= 0.5 AND Answer_Relevancy &lt; 0.5 (Correct answer, wrong intent).
Decision: → NOT Label as: Semantic Drift (Answer_Relevancy = 0.423, which is &gt;= 0.5)
[PRIORITY 5] INCOMPLETE ANSWER
Condition: Faithfulness &gt;= 0.5 AND Answer_Relevancy &gt;= 0.5 AND Answer covers only a subset of aspects.
Decision: → Label as: Incomplete Answer (Faithfulness = 0.7, Answer_Relevancy = 0.423, and the Answer covers only a subset of aspects related to disruption impact)
[NO ERROR]
If NONE of above:
Decision: → NOT Label as: Correct Answer (since Incomplete Answer was triggered)
### STEP 4 — Output Format (MANDATORY)
For each row, output a structured report:
- Error_Label: Incomplete Answer
- Triggered_Rule: [PRIORITY 5] Incomplete Answer
- Metrics_Summary: Faithfulness = 0.7, Answer_Relevancy = 0.423, Context_Precision = 0.45, Context_Recall = 0.75
- Evidence: The Answer covers only a subset of aspects related to disruption impact.
- Justification: Rule-based explanation: The Answer is incomplete because it does not cover all aspects related to disruption impact, despite having a high faithfulness score.</t>
  </si>
  <si>
    <t>### STEP 1 — Extract Query Intent and Aspects
From the Question:
1. Main intent of the query: Identify the sample sizes used in empirical SCRM studies.
2. Number of explicit aspects: 1 (sample sizes)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0.429, which is less than 0.5. However, the Answer is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which is greater than 0.5. However, Context_Precision is 0.25, which is less than 0.5. Also, more than 50% chunks are relevant. Therefore, this condition is not met.
[PRIORITY 4] SEMANTIC DRIFT
Condition: Faithfulness &gt;= 0.5 AND Answer_Relevancy &lt; 0.5 (Correct answer, wrong intent).
Decision: → Faithfulness is 0.429, which is less than 0.5. Therefore, this condition is not met.
[PRIORITY 5] INCOMPLETE ANSWER
Condition: Faithfulness &gt;= 0.5 AND Answer_Relevancy &gt;= 0.5 AND Answer covers only a subset of aspects.
Decision: → Faithfulness is 0.429, which is less than 0.5. Therefore, this condition is not met.
[NO ERROR]
If NONE of above:
Decision: → The Answer is relevant (Answer_Relevancy = 0.979) and covers the main intent of the query. However, Faithfulness is low (0.429). This suggests that the Answer is not entirely faithful to the Top_K_Sources. Therefore, the Answer is not entirely correct.
### STEP 4 — Output Format (MANDATORY)
For each row, output a structured report:
- Error_Label: Incomplete Answer
- Triggered_Rule: [NO ERROR]
- Metrics_Summary: Faithfulness: 0.429, Answer_Relevancy: 0.979, Context_Precision: 0.25, Context_Recall: 1.0
- Evidence: The Answer is relevant and covers the main intent of the query, but Faithfulness is low.
- Justification: The Answer is not entirely faithful to the Top_K_Sources, suggesting that it is an Incomplete Answer.</t>
  </si>
  <si>
    <t>### STEP 1 — Extract Query Intent and Aspects
From the Question:
1. Main intent of the query: Identify industries providing empirical benchmarks for AI-based SCRM.
2. Number of explicit aspects: 2 (industries, empirical benchmarks)
### STEP 2 — Verify Context Grounding
From Top_K_Sources:
1. Key concepts in the Question appear explicitly:
   - Industries: Yes (mentioned in various chunks)
   - Empirical benchmarks: Yes (mentioned in various chunks)
2. Count:
   - Number of relevant chunks: 5
   - Number of noisy / off-topic chunks: 0
3. Determine if any factual claim in the Answer is NOT grounded in Top_K_Sources:
   - The Answer mentions various applications of AI in SCRM, which are grounded in Top_K_Sources.
### STEP 3 — Apply Error Classification Rules (IN ORDER OF PRIORITY)
[PRIORITY 1] HALLUCINATION
Condition: Faithfulness &lt; 0.5 AND Answer contains claims not in Top-K sources.
Decision: → NOT Label as: Hallucination (Faithfulness = 0.81, Answer is grounded in Top_K_Sources)
[PRIORITY 2] RETRIEVAL FAILURE
Condition: Context_Recall &lt; 0.5 AND NONE of the Top-K chunks contain core concepts.
Decision: → NOT Label as: Retrieval Failure (Context_Recall = 0.286, Top_K_Sources contain relevant chunks)
[PRIORITY 3] CONTEXT NOISE
Condition: Context_Recall &gt;= 0.5 AND Context_Precision &lt; 0.5 AND &gt;50% chunks are irrelevant.
Decision: → NOT Label as: Context Noise (Context_Recall = 0.286, Context_Precision = 0.333, not &gt;50% chunks are irrelevant)
[PRIORITY 4] SEMANTIC DRIFT
Condition: Faithfulness &gt;= 0.5 AND Answer_Relevancy &lt; 0.5 (Correct answer, wrong intent).
Decision: → NOT Label as: Semantic Drift (Answer_Relevancy = 0.893, correct answer with high relevancy)
[PRIORITY 5] INCOMPLETE ANSWER
Condition: Faithfulness &gt;= 0.5 AND Answer_Relevancy &gt;= 0.5 AND Answer covers only a subset of aspects.
Decision: → Label as: Incomplete Answer (Faithfulness = 0.81, Answer_Relevancy = 0.893, but Answer does not cover all aspects of the query)
[NO ERROR]
If NONE of above:
Decision: → Label as: Correct Answer
### STEP 4 — Output Format (MANDATORY)
For each row, output a structured report:
- Error_Label: Incomplete Answer
- Triggered_Rule: [PRIORITY 5] INCOMPLETE ANSWER
- Metrics_Summary: Faithfulness = 0.81, Answer_Relevancy = 0.893, Context_Recall = 0.286, Context_Precision = 0.333
- Evidence: The Answer provides relevant information but does not cover all aspects of the query.
- Justification: Rule-based explanation: The Answer has high faithfulness and relevancy, but it does not cover all aspects of the query, triggering the Incomplete Answer rule.</t>
  </si>
  <si>
    <t>### STEP 1 — Extract Query Intent and Aspects
From the Question:
1. Main intent of the query: Identify validation methods commonly applied.
2. Number of explicit aspects: 1 (validation methods)
### STEP 2 — Verify Context Grounding
From Top_K_Sources:
1. Key concepts in the Question appear explicitly in Top_K_Sources:
   - "validation methods" appears in Rank #3 (machine learning in reverse logistics a systematic literature review)
   - "commonly applied" appears in Rank #1 (integration of ai based tools in dairy quality control enhancing pathogen detection efficiency)
2. Count:
   - Number of relevant chunks: 3 (Rank #1, Rank #2, Rank #3)
   - Number of noisy / off-topic chunks: 2 (Rank #4, Rank #5)
3. Determine if any factual claim in the Answer is NOT grounded in Top_K_Sources:
   - The Answer mentions "supervised models", "unsupervised methods", and "reinforcement learning" which are all present in Rank #3 (machine learning in reverse logistics a systematic literature review)
### STEP 3 — Apply Error Classification Rules (IN ORDER OF PRIORITY)
[PRIORITY 1] HALLUCINATION
Condition: Faithfulness &lt; 0.5 AND Answer contains claims not in Top-K sources.
Decision: → NOT Label as: Hallucination (Faithfulness = 0.75, Answer contains claims present in Top_K_Sources)
[PRIORITY 2] RETRIEVAL FAILURE
Condition: Context_Recall &lt; 0.5 AND NONE of the Top-K chunks contain core concepts.
Decision: → NOT Label as: Retrieval Failure (Context_Recall = 0.6, Rank #3 contains core concept "validation methods")
[PRIORITY 3] CONTEXT NOISE
Condition: Context_Recall &gt;= 0.5 AND Context_Precision &lt; 0.5 AND &gt;50% chunks are irrelevant.
Decision: → NOT Label as: Context Noise (Context_Precision = 0.333, but only 2 out of 5 chunks are irrelevant)
[PRIORITY 4] SEMANTIC DRIFT
Condition: Faithfulness &gt;= 0.5 AND Answer_Relevancy &lt; 0.5 (Correct answer, wrong intent).
Decision: → NOT Label as: Semantic Drift (Answer_Relevancy = 0.814, correct answer with high relevancy)
[PRIORITY 5] INCOMPLETE ANSWER
Condition: Faithfulness &gt;= 0.5 AND Answer_Relevancy &gt;= 0.5 AND Answer covers only a subset of aspects.
Decision: → Label as: Incomplete Answer (Faithfulness = 0.75, Answer_Relevancy = 0.814, but the Answer only covers a subset of validation methods)
[NO ERROR]
If NONE of above:
Decision: → Label as: Correct Answer
### STEP 4 — Output Format (MANDATORY)
For each row, output a structured report:
- Error_Label: Incomplete Answer
- Triggered_Rule: [PRIORITY 5] INCOMPLETE ANSWER
- Metrics_Summary: Faithfulness = 0.75, Answer_Relevancy = 0.814, Context_Precision = 0.333, Context_Recall = 0.6
- Evidence: The Answer only covers a subset of validation methods.
- Justification: Rule-based explanation: The Answer has high faithfulness and relevancy, but it only covers a subset of validation methods, triggering the Incomplete Answer rule.</t>
  </si>
  <si>
    <t>### STEP 1 — Extract Query Intent and Aspects
From the Question:
1. Main intent of the query: Identify risk categories empirically addressed by AI models.
2. Number of explicit aspects: 1 (risk categories)
### STEP 2 — Verify Context Grounding
From Top_K_Sources:
1. Key concepts in the Question: risk categories, AI models
2. Relevant chunks:
   - Rank #1: industrial large models as carriers for malicious payloads (contains AI models)
   - Rank #2: AI explainability 360 toolkit for timeseries and industrial use cases (contains AI models)
   - Rank #3: blockchain-driven double feedback fuzzy neural network for enhanced supply chain financial risk management (contains risk categories)
   - Rank #4: big data analytics in supply chain management a state-of-the-art literature review (contains risk categories)
   - Rank #5: compressed sensing and its applications in risk assessment for internet supply chain finance under big data (contains risk categories)
3. Number of relevant chunks: 5
4. Number of noisy / off-topic chunks: 0
5.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0.556, Answer contains claims in Top-K sources)
[PRIORITY 2] RETRIEVAL FAILURE
Condition: Context_Recall &lt; 0.5 AND NONE of the Top-K chunks contain core concepts.
Decision: → NOT Label as: Retrieval Failure (Context_Recall = 0.2, Top-K chunks contain core concepts)
[PRIORITY 3] CONTEXT NOISE
Condition: Context_Recall &gt;= 0.5 AND Context_Precision &lt; 0.5 AND &gt;50% chunks are irrelevant.
Decision: → NOT Label as: Context Noise (Context_Recall = 0.2, Context_Precision = 0.833, &lt;50% chunks are irrelevant)
[PRIORITY 4] SEMANTIC DRIFT
Condition: Faithfulness &gt;= 0.5 AND Answer_Relevancy &lt; 0.5 (Correct answer, wrong intent).
Decision: → NOT Label as: Semantic Drift (Answer_Relevancy = 1.0, correct answer and intent)
[PRIORITY 5] INCOMPLETE ANSWER
Condition: Faithfulness &gt;= 0.5 AND Answer_Relevancy &gt;= 0.5 AND Answer covers only a subset of aspects.
Decision: → Label as: Incomplete Answer (Faithfulness = 0.556, Answer_Relevancy = 1.0, Answer covers multiple risk categories)
[NO ERROR]
If NONE of above:
Decision: → Label as: Correct Answer
### STEP 4 — Output Format (MANDATORY)
For each row, output a structured report:
- Error_Label: Incomplete Answer
- Triggered_Rule: [PRIORITY 5] INCOMPLETE ANSWER
- Metrics_Summary: Faithfulness = 0.556, Answer_Relevancy = 1.0, Context_Recall = 0.2, Context_Precision = 0.833
- Evidence: Answer covers multiple risk categories, but does not cover all aspects of the query.
- Justification: Rule-based explanation: The answer is faithful and relevant, but covers only a subset of the risk categories mentioned in the query.</t>
  </si>
  <si>
    <t>### STEP 1 — Extract Query Intent and Aspects
From the Question:
1. Identify the main intent of the query: The main intent of the query is to identify comparative baselines used.
2. Identify the number of explicit aspects: There is 1 explicit aspect - comparative baselines.
### STEP 2 — Verify Context Grounding
From Top_K_Sources:
1. Identify whether each key concept in the Question appears explicitly:
   - Comparative baselines: Not explicitly mentioned in the provided documents.
   - However, some methods and tools are mentioned that could be used as baselines: Yes, minitab 170 software and deep learning methods are mentioned.
2. Count:
   - Number of relevant chunks: 2 (Rank #1 and Rank #2)
   - Number of noisy / off-topic chunks: 3 (Rank #3, Rank #4, and Rank #5)
3. Determine if any factual claim in the Answer is NOT grounded in Top_K_Sources:
   - The Answer claims that comparative baselines are not explicitly mentioned in the provided documents, which is grounded in Top_K_Sources.
### STEP 3 — Apply Error Classification Rules (IN ORDER OF PRIORITY)
[PRIORITY 1] HALLUCINATION
Condition: Faithfulness &lt; 0.5 AND Answer contains claims not in Top-K sources.
Decision: → Label as: Hallucination (Condition not met, Faithfulness = 0.5)
[PRIORITY 2] RETRIEVAL FAILURE
Condition: Context_Recall &lt; 0.5 AND NONE of the Top-K chunks contain core concepts.
Decision: → Label as: Retrieval Failure (Condition not met, Context_Recall = 1.0)
[PRIORITY 3] CONTEXT NOISE
Condition: Context_Recall &gt;= 0.5 AND Context_Precision &lt; 0.5 AND &gt;50% chunks are irrelevant.
Decision: → Label as: Context Noise (Condition not met, Context_Precision = 0.0)
[PRIORITY 4] SEMANTIC DRIFT
Condition: Faithfulness &gt;= 0.5 AND Answer_Relevancy &lt; 0.5 (Correct answer, wrong intent).
Decision: → Label as: Semantic Drift (Condition not met, Answer_Relevancy = 0.624)
[PRIORITY 5] INCOMPLETE ANSWER
Condition: Faithfulness &gt;= 0.5 AND Answer_Relevancy &gt;= 0.5 AND Answer covers only a subset of aspects.
Decision: → Label as: Incomplete Answer (Condition met)
[NO ERROR]
If NONE of above:
Decision: → Label as: Correct Answer (Condition not met)
### STEP 4 — Output Format (MANDATORY)
For each row, output a structured report:
- Error_Label: Incomplete Answer
- Triggered_Rule: [PRIORITY 5] INCOMPLETE ANSWER
- Metrics_Summary: Faithfulness = 0.5, Answer_Relevancy = 0.624, Context_Precision = 0.0, Context_Recall = 1.0
- Evidence: The Answer claims that comparative baselines are not explicitly mentioned in the provided documents, but it also mentions some methods and tools that could be used as baselines, which is a subset of the aspects.
- Justification: The Answer covers only a subset of aspects, which is a condition for labeling it as Incomplete Answer.</t>
  </si>
  <si>
    <t>### STEP 1 — Extract Query Intent and Aspects
From the Question:
1. Main intent: Understand the evolution of AI application in supply chain risk management over time.
2. Number of explicit aspects: 2 (AI application, supply chain risk management)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0.75)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0.989)
[PRIORITY 5] INCOMPLETE ANSWER
Condition: Faithfulness &gt;= 0.5 AND Answer_Relevancy &gt;= 0.5 AND Answer covers only a subset of aspects.
Decision: → Label as: Incomplete Answer (Faithfulness = 1.0, Answer_Relevancy = 0.989, but Answer covers all aspects)
[NO ERROR]
If NONE of above:
Decision: → Label as: Correct Answer
### STEP 4 — Output Format (MANDATORY)
For each row, output a structured report:
- Error_Label: Incomplete Answer
- Triggered_Rule: [PRIORITY 5] INCOMPLETE ANSWER
- Metrics_Summary: Faithfulness = 1.0, Answer_Relevancy = 0.989, Context_Precision = 1.0, Context_Recall = 0.75
- Evidence: The answer covers all aspects of the question, but the rule for Incomplete Answer was triggered due to the high faithfulness and answer relevancy scores.
- Justification: The rule for Incomplete Answer was triggered because the answer covers all aspects of the question, but the question has multiple aspects (AI application and supply chain risk management), and the answer does not explicitly mention both aspects.</t>
  </si>
  <si>
    <t>### STEP 1 — Extract Query Intent and Aspects
From the Question:
1. Identify the main intent of the query: The main intent of the query is to understand the shift from reactive to proactive risk management.
2. Identify the number of explicit aspects: There are 2 explicit aspects: "reactive risk management" and "proactive risk management".
### STEP 2 — Verify Context Grounding
From Top_K_Sources:
1. Identify whether each key concept in the Question appears explicitly:
   - "reactive" appears in Rank #1 and Rank #3
   - "proactive" appears in Rank #1 and Rank #2
   - "risk management" appears in Rank #1, Rank #2, and Rank #3
   - "supply chain" appears in Rank #2 and Rank #3
   - "food safety" appears in Rank #1
   - "public health" appears in Rank #1
2. Count:
   - Number of relevant chunks: 3
   - Number of noisy / off-topic chunks: 0
3. Determine if any factual claim in the Answer is NOT grounded in Top_K_Sources:
   - The Answer mentions "reinforcement learning" and "data-driven methods", which are not explicitly mentioned in the Top_K_Sources. However, these concepts are related to the topic and can be inferred from the context.
### STEP 3 — Apply Error Classification Rules (IN ORDER OF PRIORITY)
[PRIORITY 1] HALLUCINATION
Condition: Faithfulness &lt; 0.5 AND Answer contains claims not in Top-K sources.
Decision: → NOT Label as: Hallucination (Faithfulness = 0.778, so the condition is not met)
[PRIORITY 2] RETRIEVAL FAILURE
Condition: Context_Recall &lt; 0.5 AND NONE of the Top-K chunks contain core concepts.
Decision: → NOT Label as: Retrieval Failure (Context_Recall = 1.0, so the condition is not met)
[PRIORITY 3] CONTEXT NOISE
Condition: Context_Recall &gt;= 0.5 AND Context_Precision &lt; 0.5 AND &gt;50% chunks are irrelevant.
Decision: → NOT Label as: Context Noise (Context_Precision = 0.583, which is greater than 0.5, so the condition is not met)
[PRIORITY 4] SEMANTIC DRIFT
Condition: Faithfulness &gt;= 0.5 AND Answer_Relevancy &lt; 0.5 (Correct answer, wrong intent).
Decision: → NOT Label as: Semantic Drift (Answer_Relevancy = 0.713, which is greater than 0.5, so the condition is not met)
[PRIORITY 5] INCOMPLETE ANSWER
Condition: Faithfulness &gt;= 0.5 AND Answer_Relevancy &gt;= 0.5 AND Answer covers only a subset of aspects.
Decision: → Label as: Incomplete Answer (Faithfulness = 0.778, Answer_Relevancy = 0.713, and the Answer covers only a subset of aspects related to the shift from reactive to proactive risk management)
[NO ERROR]
If NONE of above:
Decision: → Label as: Correct Answer (since none of the above conditions are met)
### STEP 4 — Output Format (MANDATORY)
For each row, output a structured report:
- Error_Label: Incomplete Answer
- Triggered_Rule: [PRIORITY 5] INCOMPLETE ANSWER
- Metrics_Summary: Faithfulness: 0.778, Answer_Relevancy: 0.713, Context_Precision: 0.583, Context_Recall: 1.0
- Evidence: The Answer covers only a subset of aspects related to the shift from reactive to proactive risk management.
- Justification: Rule-based explanation: The Answer is incomplete because it does not cover all aspects related to the shift from reactive to proactive risk management, despite having a high faithfulness and answer relevancy score.</t>
  </si>
  <si>
    <t>### STEP 1 — Extract Query Intent and Aspects
- Main intent of the query: Identify underexplored aspects of supply chain risk in current AI research.
- Number of explicit aspects: 1 (supply chain risk)
### STEP 2 — Verify Context Grounding
- Key concepts in the Question appear explicitly in Top_K_Sources:
  - "supply chain risk"
  - "AI research"
- Number of relevant chunks: 3
- Number of noisy / off-topic chunks: 0
- Factual claims in the Answer are grounded in Top_K_Sources:
  - "organizational and behavioral factors that foster AI integration"
  - "explainability of AI approaches"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0.75)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0.994)
[PRIORITY 5] INCOMPLETE ANSWER
Condition: Faithfulness &gt;= 0.5 AND Answer_Relevancy &gt;= 0.5 AND Answer covers only a subset of aspects.
Decision: → Label as: Incomplete Answer (Answer covers multiple aspects of supply chain risk, but the question asks for underexplored aspects)
[NO ERROR]
If NONE of above:
Decision: → Label as: Correct Answer
### STEP 4 — Output Format (MANDATORY)
- Error_Label: Incomplete Answer
- Triggered_Rule: [PRIORITY 5] INCOMPLETE ANSWER
- Metrics_Summary: Faithfulness: 1.0, Answer_Relevancy: 0.994, Context_Precision: 1.0, Context_Recall: 0.75
- Evidence: The answer covers multiple aspects of supply chain risk, but the question asks for underexplored aspects.
- Justification: The answer is relevant and faithful, but it does not fully address the question's request for underexplored aspects of supply chain risk.</t>
  </si>
  <si>
    <t>### STEP 1 — Extract Query Intent and Aspects
- Main intent of the query: Identify missing supply chain disruptions in existing studies.
- Number of explicit aspects: 1 (supply chain disruptions)
### STEP 2 — Verify Context Grounding
- Key concepts in the Question appear explicitly in Top_K_Sources:
  - "supply chain disruptions" appears in Rank #2
  - "supply chain security" appears in Rank #1
- Number of relevant chunks: 2
- Number of noisy / off-topic chunks: 0
- Factual claims in the Answer are grounded in Top_K_Sources:
  - Hassija et al. (2021) is mentioned in Rank #1
  - Moktadir et al. (2024) is mentioned in Rank #3
  - Thomas (2016) is mentioned in Rank #2
### STEP 3 — Apply Error Classification Rules (IN ORDER OF PRIORITY)
[PRIORITY 1] HALLUCINATION
Condition: Faithfulness &lt; 0.5 AND Answer contains claims not in Top-K sources.
Decision: → Faithfulness is 0.545, which is greater than 0.5. Therefore, this condition is not met.
[PRIORITY 2] RETRIEVAL FAILURE
Condition: Context_Recall &lt; 0.5 AND NONE of the Top-K chunks contain core concepts.
Decision: → Context_Recall is 0.6, which is greater than 0.5. Therefore, this condition is not met.
[PRIORITY 3] CONTEXT NOISE
Condition: Context_Recall &gt;= 0.5 AND Context_Precision &lt; 0.5 AND &gt;50% chunks are irrelevant.
Decision: → Context_Precision is 0.833, which is greater than 0.5. Therefore, this condition is not met.
[PRIORITY 4] SEMANTIC DRIFT
Condition: Faithfulness &gt;= 0.5 AND Answer_Relevancy &lt; 0.5 (Correct answer, wrong intent).
Decision: → Answer_Relevancy is 0.744, which is greater than 0.5. Therefore, this condition is not met.
[PRIORITY 5] INCOMPLETE ANSWER
Condition: Faithfulness &gt;= 0.5 AND Answer_Relevancy &gt;= 0.5 AND Answer covers only a subset of aspects.
Decision: → The Answer covers the main intent of the query and provides relevant information. However, it does not cover all aspects of the query. Therefore, this condition is met.
[NO ERROR]
If NONE of above:
Decision: → Since PRIORITY 5 is met, we do not need to check for [NO ERROR].
### STEP 4 — Output Format (MANDATORY)
- Error_Label: Incomplete Answer
- Triggered_Rule: PRIORITY 5 - Incomplete Answer
- Metrics_Summary: Faithfulness: 0.545, Answer_Relevancy: 0.744, Context_Precision: 0.833, Context_Recall: 0.6
- Evidence: The Answer covers the main intent of the query but does not cover all aspects.
- Justification: The Answer is incomplete because it does not cover all aspects of the query, despite having a high faithfulness and answer relevancy score.</t>
  </si>
  <si>
    <t>### STEP 1 — Extract Query Intent and Aspects
- Main intent of the query: Identify gaps in AI research for small and medium-sized supply chains.
- Number of explicit aspects: 2 (small and medium-sized supply chains, AI research)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0.429, Top_K_Sources contain core concepts)
[PRIORITY 3] CONTEXT NOISE
Condition: Context_Recall &gt;= 0.5 AND Context_Precision &lt; 0.5 AND &gt;50% chunks are irrelevant.
Decision: → NOT Label as: Context Noise (Context_Recall = 0.429, Context_Precision = 1.0)
[PRIORITY 4] SEMANTIC DRIFT
Condition: Faithfulness &gt;= 0.5 AND Answer_Relevancy &lt; 0.5 (Correct answer, wrong intent).
Decision: → NOT Label as: Semantic Drift (Answer_Relevancy = 0.987)
[PRIORITY 5] INCOMPLETE ANSWER
Condition: Faithfulness &gt;= 0.5 AND Answer_Relevancy &gt;= 0.5 AND Answer covers only a subset of aspects.
Decision: → Label as: Incomplete Answer (Faithfulness = 1.0, Answer_Relevancy = 0.987, Answer covers all aspects but does not provide a detailed analysis)
[NO ERROR]
If NONE of above:
Decision: → Label as: Correct Answer (NO ERROR)
### STEP 4 — Output Format (MANDATORY)
- Error_Label: Incomplete Answer
- Triggered_Rule: PRIORITY 5: INCOMPLETE ANSWER
- Metrics_Summary: Faithfulness: 1.0, Answer_Relevancy: 0.987, Context_Precision: 1.0, Context_Recall: 0.429
- Evidence: The answer provides a correct and relevant summary of the research gaps, but it does not provide a detailed analysis of the challenges and opportunities in AI adoption for small and medium-sized supply chains.
- Justification: The answer covers all aspects of the query, but it does not provide a detailed analysis, which is a subset of the expected answer. Therefore, it is classified as an Incomplete Answer.</t>
  </si>
  <si>
    <t>### STEP 1 — Extract Query Intent and Aspects
From the Question:
1. Main intent: Identify the main intent of the query.
   - Main intent: Evaluating the presence of human-in-the-loop approaches in AI-based resilience studies.
2. Number of explicit aspects: 
   - Number of explicit aspects: 2 (human-in-the-loop approaches, AI-based resilience studies)
### STEP 2 — Verify Context Grounding
From Top_K_Sources:
1. Key concepts in the Question:
   - Human-in-the-loop approaches
   - AI-based resilience studies
2. Relevant chunks:
   - Rank #1: "the literature to date lacks a decisionmaking framework for identifying and applying powerful ai techniques to build supplychain resilience"
   - Rank #2: "is important to note that the study has limitations in analyzing longterm impacts stakeholder resistance and the lack of comparative studies on the effectiveness of different ai approaches"
   - Rank #3: "although some research has examined the role of resource utilization in enhancing supply chain resilience"
3. Number of relevant chunks: 3
4. Number of noisy / off-topic chunks: 0
5. Factual claims in the Answer:
   - Human-in-the-loop approaches are missing in AI-based resilience studies
   - The literature focuses more on the application of AI techniques rather than incorporating human judgment and decision-making
6. Grounding in Top_K_Sources:
   - Rank #1: Supports the claim that human-in-the-loop approaches are missing
   - Rank #2: Supports the claim that the literature lacks a decision-making framework for identifying and applying powerful AI techniques
   - Rank #3: Supports the claim that the role of resource utilization in enhancing supply chain resilience has been largely overlooked
### STEP 3 — Apply Error Classification Rules (IN ORDER OF PRIORITY)
[PRIORITY 1] HALLUCINATION
Condition: Faithfulness &lt; 0.5 AND Answer contains claims not in Top-K sources.
Decision: → NOT Label as: Hallucination (Faithfulness = 0.5, Answer contains claims supported by Top-K sources)
[PRIORITY 2] RETRIEVAL FAILURE
Condition: Context_Recall &lt; 0.5 AND NONE of the Top-K chunks contain core concepts.
Decision: → NOT Label as: Retrieval Failure (Context_Recall = 0.6, Top-K chunks contain core concepts)
[PRIORITY 3] CONTEXT NOISE
Condition: Context_Recall &gt;= 0.5 AND Context_Precision &lt; 0.5 AND &gt;50% chunks are irrelevant.
Decision: → NOT Label as: Context Noise (Context_Precision = 1.0, &gt;50% chunks are relevant)
[PRIORITY 4] SEMANTIC DRIFT
Condition: Faithfulness &gt;= 0.5 AND Answer_Relevancy &lt; 0.5 (Correct answer, wrong intent).
Decision: → NOT Label as: Semantic Drift (Answer_Relevancy = 0.708, Correct answer with relevant intent)
[PRIORITY 5] INCOMPLETE ANSWER
Condition: Faithfulness &gt;= 0.5 AND Answer_Relevancy &gt;= 0.5 AND Answer covers only a subset of aspects.
Decision: → Label as: Incomplete Answer (Faithfulness = 0.5, Answer covers only a subset of aspects related to human-in-the-loop approaches)
[NO ERROR]
If NONE of above:
Decision: → Label as: Correct Answer
### STEP 4 — Output Format (MANDATORY)
For each row, output a structured report:
- Error_Label: Incomplete Answer
- Triggered_Rule: [PRIORITY 5] INCOMPLETE ANSWER
- Metrics_Summary: Faithfulness = 0.5, Answer_Relevancy = 0.708, Context_Precision = 1.0, Context_Recall = 0.6
- Evidence: The answer covers only a subset of aspects related to human-in-the-loop approaches.
- Justification: Rule-based explanation: The answer is relevant but incomplete, covering only a subset of aspects related to human-in-the-loop approaches.</t>
  </si>
  <si>
    <t>### STEP 1 — Extract Query Intent and Aspects
- Main intent of the query: Identify risks not captured by current AI frameworks.
- Number of explicit aspects: 1 (risks not captured by current AI frameworks)
### STEP 2 — Verify Context Grounding
- Key concepts in the Question appear explicitly in Top_K_Sources:
  - "risks" appears in Rank #2
  - "AI frameworks" appears in Rank #1 and #2
- Number of relevant chunks: 2
- Number of noisy / off-topic chunks: 0
- Factual claims in the Answer are grounded in Top_K_Sources:
  - Data biases are a significant risk (Rank #2)
  - Ethical concerns are another risk (Rank #2)
  - Lack of robust frameworks for trustworthiness is a critical risk (Rank #2)
### STEP 3 — Apply Error Classification Rules (IN ORDER OF PRIORITY)
[PRIORITY 1] HALLUCINATION
Condition: Faithfulness &lt; 0.5 AND Answer contains claims not in Top-K sources.
Decision: → NOT Label as: Hallucination (Faithfulness = 0.625, claims in Answer are grounded in Top_K_Sources)
[PRIORITY 2] RETRIEVAL FAILURE
Condition: Context_Recall &lt; 0.5 AND NONE of the Top-K chunks contain core concepts.
Decision: → NOT Label as: Retrieval Failure (Context_Recall = 0.833, Rank #1 and #2 contain core concepts)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0.961, Answer is highly relevant)
[PRIORITY 5] INCOMPLETE ANSWER
Condition: Faithfulness &gt;= 0.5 AND Answer_Relevancy &gt;= 0.5 AND Answer covers only a subset of aspects.
Decision: → Label as: Incomplete Answer (Faithfulness = 0.625, Answer covers only a subset of aspects related to risks not captured by current AI frameworks)
[NO ERROR]
If NONE of above:
Decision: → NOT Label as: Correct Answer (Answer covers only a subset of aspects)
### STEP 4 — Output Format (MANDATORY)
- Error_Label: Incomplete Answer
- Triggered_Rule: PRIORITY 5 &amp; Incomplete Answer
- Metrics_Summary: Faithfulness = 0.625, Answer_Relevancy = 0.961, Context_Precision = 1.0, Context_Recall = 0.833
- Evidence: Answer covers only a subset of aspects related to risks not captured by current AI frameworks.
- Justification: Rule-based explanation: The Answer is highly relevant (Answer_Relevancy = 0.961) but covers only a subset of aspects related to risks not captured by current AI frameworks, indicating an Incomplete Answer.</t>
  </si>
  <si>
    <t>### STEP 1 — Extract Query Intent and Aspects
- Main intent of the query: Identify evaluation metrics missing in resilience-focused AI research.
- Number of explicit aspects: 2 (evaluation metrics, resilience-focused AI research)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0.545, which is &gt;= 0.5)
[PRIORITY 2] RETRIEVAL FAILURE
Condition: Context_Recall &lt; 0.5 AND NONE of the Top-K chunks contain core concepts.
Decision: → NOT Label as: Retrieval Failure (Context_Recall = 0.8, which is &gt;= 0.5)
[PRIORITY 3] CONTEXT NOISE
Condition: Context_Recall &gt;= 0.5 AND Context_Precision &lt; 0.5 AND &gt;50% chunks are irrelevant.
Decision: → NOT Label as: Context Noise (Context_Precision = 1.0, which is &gt;= 0.5)
[PRIORITY 4] SEMANTIC DRIFT
Condition: Faithfulness &gt;= 0.5 AND Answer_Relevancy &lt; 0.5 (Correct answer, wrong intent).
Decision: → NOT Label as: Semantic Drift (Answer_Relevancy = 0.703, which is &gt;= 0.5)
[PRIORITY 5] INCOMPLETE ANSWER
Condition: Faithfulness &gt;= 0.5 AND Answer_Relevancy &gt;= 0.5 AND Answer covers only a subset of aspects.
Decision: → Label as: Incomplete Answer (Faithfulness = 0.545, which is &gt;= 0.5; Answer_Relevancy = 0.703, which is &gt;= 0.5; Answer covers multiple aspects, but the question asks for evaluation metrics specifically)
[NO ERROR]
If NONE of above:
Decision: → NOT Label as: Correct Answer (since Incomplete Answer was triggered)
### STEP 4 — Output Format (MANDATORY)
- Error_Label: Incomplete Answer
- Triggered_Rule: PRIORITY 5: INCOMPLETE ANSWER
- Metrics_Summary: Faithfulness: 0.545, Answer_Relevancy: 0.703, Context_Precision: 1.0, Context_Recall: 0.8
- Evidence: The Answer covers multiple aspects, but the question asks for evaluation metrics specifically.
- Justification: Rule-based explanation: The Answer provides relevant information, but it does not specifically address the question's request for evaluation metrics, making it an Incomplete Answer.</t>
  </si>
  <si>
    <t>### STEP 1 — Extract Query Intent and Aspects
From the Question:
1. Identify the main intent of the query.
   - Main intent: Identify gaps between theoretical models and real-world deployment.
2. Identify the number of explicit aspects.
   - Number of explicit aspects: 2 (theoretical models, real-world deployment)
### STEP 2 — Verify Context Grounding
From Top_K_Sources:
1. Identify whether each key concept in the Question appears explicitly.
   - Key concepts: theoretical models, real-world deployment
   - Explicit appearance: Yes, in all Top_K_Sources
2. Count:
   - Number of relevant chunks: 3
   - Number of noisy / off-topic chunks: 0
3. Determine if any factual claim in the Answer is NOT grounded in Top_K_Sources.
   - Factual claims: All claims are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0.714)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0.815)
[PRIORITY 5] INCOMPLETE ANSWER
Condition: Faithfulness &gt;= 0.5 AND Answer_Relevancy &gt;= 0.5 AND Answer covers only a subset of aspects.
Decision: → Label as: Incomplete Answer (Answer covers the two explicit aspects, but the Answer is a detailed synthesis and analysis, which might not cover all possible aspects)
[NO ERROR]
If NONE of above:
Decision: → Label as: Correct Answer
### STEP 4 — Output Format (MANDATORY)
For each row, output a structured report:
- Error_Label: Incomplete Answer
- Triggered_Rule: [PRIORITY 5] INCOMPLETE ANSWER
- Metrics_Summary: Faithfulness: 1.0, Answer_Relevancy: 0.815, Context_Precision: 1.0, Context_Recall: 0.714
- Evidence: The Answer is a detailed synthesis and analysis, which might not cover all possible aspects.
- Justification: Rule-based explanation: The Answer covers the two explicit aspects, but it is a detailed synthesis and analysis, which might not cover all possible aspects.</t>
  </si>
  <si>
    <t>### STEP 1 — Extract Query Intent and Aspects
From the Question:
1. Main intent of the query: Compare optimization-based and learning-based AI approaches.
2. Number of explicit aspects: 2 (optimization-based, learning-based)
### STEP 2 — Verify Context Grounding
From Top_K_Sources:
1. Key concepts in the Question appear explicitly in Top_K_Sources:
   - Optimization-based
   - Learning-based
2. Count:
   - Number of relevant chunks: 3
   - Number of noisy / off-topic chunks: 0
3. Determine if any factual claim in the Answer is NOT grounded in Top_K_Sources:
   - The Answer contains claims that are grounded in Top_K_Sources.
### STEP 3 — Apply Error Classification Rules (IN ORDER OF PRIORITY)
[PRIORITY 1] HALLUCINATION
Condition: Faithfulness &lt; 0.5 AND Answer contains claims not in Top-K sources.
Decision: → NOT Label as: Hallucination (Faithfulness = 0.875)
[PRIORITY 2] RETRIEVAL FAILURE
Condition: Context_Recall &lt; 0.5 AND NONE of the Top-K chunks contain core concepts.
Decision: → NOT Label as: Retrieval Failure (Context_Recall = 0.0, but Top_K_Sources contain relevant chunks)
[PRIORITY 3] CONTEXT NOISE
Condition: Context_Recall &gt;= 0.5 AND Context_Precision &lt; 0.5 AND &gt;50% chunks are irrelevant.
Decision: → NOT Label as: Context Noise (Context_Recall = 0.0, Context_Precision = 0.0)
[PRIORITY 4] SEMANTIC DRIFT
Condition: Faithfulness &gt;= 0.5 AND Answer_Relevancy &lt; 0.5 (Correct answer, wrong intent).
Decision: → NOT Label as: Semantic Drift (Answer_Relevancy = 0.934)
[PRIORITY 5] INCOMPLETE ANSWER
Condition: Faithfulness &gt;= 0.5 AND Answer_Relevancy &gt;= 0.5 AND Answer covers only a subset of aspects.
Decision: → Label as: Incomplete Answer (Faithfulness = 0.875, Answer_Relevancy = 0.934, but the Answer does not cover all aspects of the query)
[NO ERROR]
If NONE of above:
Decision: → NOT Label as: Correct Answer (because the Answer is incomplete)
### STEP 4 — Output Format (MANDATORY)
For each row, output a structured report:
- Error_Label: Incomplete Answer
- Triggered_Rule: [PRIORITY 5] INCOMPLETE ANSWER
- Metrics_Summary: Faithfulness = 0.875, Answer_Relevancy = 0.934, Context_Recall = 0.0, Context_Precision = 0.0
- Evidence: The Answer does not cover all aspects of the query.
- Justification: Rule-based explanation: The Answer is incomplete because it does not cover all aspects of the query, despite having high faithfulness and answer relevancy.</t>
  </si>
  <si>
    <t>### STEP 1 — Extract Query Intent and Aspects
- Main intent of the query: Identify gaps between theoretical models and real-world deployment.
- Number of explicit aspects: 1 (deployment)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0.949)
[PRIORITY 5] INCOMPLETE ANSWER
Condition: Faithfulness &gt;= 0.5 AND Answer_Relevancy &gt;= 0.5 AND Answer covers only a subset of aspects.
Decision: → Label as: Incomplete Answer (Faithfulness = 1.0, Answer_Relevancy = 0.949, Answer covers all aspects)
[NO ERROR]
If NONE of above:
Decision: → Label as: Correct Answer
### STEP 4 — Output Format (MANDATORY)
- Error_Label: Incomplete Answer
- Triggered_Rule: [PRIORITY 5] INCOMPLETE ANSWER
- Metrics_Summary: Faithfulness = 1.0, Answer_Relevancy = 0.949, Context_Precision = 1.0, Context_Recall = 0.833
- Evidence: The answer covers all aspects, but the question asks for gaps between theoretical models and real-world deployment, which is a broad topic. The answer provides specific examples, but it might not be exhaustive.
- Justification: The answer is faithful and relevant, but it does not cover all aspects of the question, which is a requirement for a complete answer.</t>
  </si>
  <si>
    <t>### STEP 1 — Extract Query Intent and Aspects
From the Question:
1. Identify the main intent of the query.
   - Main intent: Compare evaluation metrics across AI-driven resilience studies.
2. Identify the number of explicit aspects.
   - Number of explicit aspects: 2 (evaluation metrics, AI-driven resilience studies)
### STEP 2 — Verify Context Grounding
From Top_K_Sources:
1. Identify whether each key concept in the Question appears explicitly.
   - Key concepts: evaluation metrics, AI-driven resilience studies
   - Explicit appearance: Yes (Rank #1, Rank #2, Rank #3)
2. Count:
   - Number of relevant chunks: 3
   - Number of noisy / off-topic chunks: 0
3. Determine if any factual claim in the Answer is NOT grounded in Top_K_Sources.
   - Factual claims: Grounded in Top_K_Sources (Rank #1, Rank #2, Rank #3)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0.333, but &gt;50% chunks are not irrelevant)
[PRIORITY 4] SEMANTIC DRIFT
Condition: Faithfulness &gt;= 0.5 AND Answer_Relevancy &lt; 0.5 (Correct answer, wrong intent).
Decision: → NOT Label as: Semantic Drift (Answer_Relevancy = 0.987)
[PRIORITY 5] INCOMPLETE ANSWER
Condition: Faithfulness &gt;= 0.5 AND Answer_Relevancy &gt;= 0.5 AND Answer covers only a subset of aspects.
Decision: → Label as: Incomplete Answer (Faithfulness = 1.0, Answer_Relevancy = 0.987, but Answer covers all aspects)
[NO ERROR]
If NONE of above:
Decision: → Label as: Correct Answer
### STEP 4 — Output Format (MANDATORY)
For each row, output a structured report:
- Error_Label: Incomplete Answer
- Triggered_Rule: [PRIORITY 5] INCOMPLETE ANSWER
- Metrics_Summary: Faithfulness = 1.0, Answer_Relevancy = 0.987, Context_Precision = 0.333, Context_Recall = 0.833
- Evidence: Answer covers all aspects, but the question asks for a comparison of evaluation metrics across AI-driven resilience studies.
- Justification: Rule-based explanation: The answer is faithful and relevant, but it does not cover all aspects of the question, specifically the comparison of evaluation metrics.</t>
  </si>
  <si>
    <t>### STEP 1 — Extract Query Intent and Aspects
- Main intent of the query: Identify comparative baselines used.
- Number of explicit aspects: 1 (comparative baselines).
### STEP 2 — Verify Context Grounding
- Key concepts in the Question: comparative baselines.
- Top_K_Sources:
  - Rank #1: Contains the concept "machine learning baselines" (relevant chunk).
  - Rank #2: Contains the concept "rule-based differential model" (relevant chunk).
  - Rank #3: Contains the concept "rule-based differential model" (relevant chunk).
- Number of relevant chunks: 3.
- Number of noisy / off-topic chunks: 0.
- Factual claims in the Answer: The comparative baselines used are machine learning baselines and a rule-based differential model.
- Grounding in Top_K_Sources: The Answer is grounded in Top_K_Sources.
### STEP 3 — Apply Error Classification Rules (IN ORDER OF PRIORITY)
[PRIORITY 1] HALLUCINATION
Condition: Faithfulness &lt; 0.5 AND Answer contains claims not in Top-K sources.
Decision: → NOT Label as: Hallucination (Faithfulness = 0.769, Answer is grounded in Top_K_Sources).
[PRIORITY 2] RETRIEVAL FAILURE
Condition: Context_Recall &lt; 0.5 AND NONE of the Top-K chunks contain core concepts.
Decision: → NOT Label as: Retrieval Failure (Context_Recall = 0.8, Top_K_Sources contain core concepts).
[PRIORITY 3] CONTEXT NOISE
Condition: Context_Recall &gt;= 0.5 AND Context_Precision &lt; 0.5 AND &gt;50% chunks are irrelevant.
Decision: → NOT Label as: Context Noise (Context_Precision = 0.833, &gt;50% chunks are relevant).
[PRIORITY 4] SEMANTIC DRIFT
Condition: Faithfulness &gt;= 0.5 AND Answer_Relevancy &lt; 0.5 (Correct answer, wrong intent).
Decision: → NOT Label as: Semantic Drift (Answer_Relevancy = 0.675, Answer is relevant).
[PRIORITY 5] INCOMPLETE ANSWER
Condition: Faithfulness &gt;= 0.5 AND Answer_Relevancy &gt;= 0.5 AND Answer covers only a subset of aspects.
Decision: → Label as: Incomplete Answer (Faithfulness = 0.769, Answer_Relevancy = 0.675, Answer covers only a subset of aspects).
[NO ERROR]
If NONE of above:
Decision: → Label as: Correct Answer (NOT applicable).
### STEP 4 — Output Format (MANDATORY)
- Error_Label: Incomplete Answer
- Triggered_Rule: [PRIORITY 5] INCOMPLETE ANSWER
- Metrics_Summary: Faithfulness = 0.769, Answer_Relevancy = 0.675, Context_Precision = 0.833, Context_Recall = 0.8
- Evidence: The Answer covers only a subset of aspects (comparative baselines) and does not provide a comprehensive answer.
- Justification: The Answer is relevant but does not cover all aspects of the query, thus it is classified as an Incomplete Answer.</t>
  </si>
  <si>
    <t>### STEP 1 — Extract Query Intent and Aspects
From the Question:
1. Main intent of the query: Identify the shift from reactive to proactive risk management.
2. Number of explicit aspects: 2 (reactive, proactive)
### STEP 2 — Verify Context Grounding
From Top_K_Sources:
1. Key concepts in the Question: reactive, proactive, risk management
2. Relevant chunks:
   - Rank #1: mentions paradigm shift from reactive to predictive risk management
   - Rank #2: mentions the need for proactive risk management
   - Rank #3: mentions limitations of reactive approach and need for collective and data-driven method
   - Rank #4: mentions shift from preparedness and disruption predictions to recovery and proactive risk management
   - Rank #5: mentions proactive risk reduction for achieving supply chain agility
3. Noisy / off-topic chunks: None
4. Factual claims in the Answer:
   - The traditional reactive approach to risk management is limited by its tedious and time-consuming nature.
   - The need for a collective and data-driven method to risk assessment and administration is highlighted.
   - The COVID-19 pandemic has accelerated the shift from preparedness and disruption predictions to recovery and proactive risk management.
   - Proactive risk reduction is essential for achieving supply chain agility.
5. Grounding in Top_K_Sources:
   - All factual claims are supported by Top_K_Sources.
### STEP 3 — Apply Error Classification Rules (IN ORDER OF PRIORITY)
[PRIORITY 1] HALLUCINATION
Condition: Faithfulness &lt; 0.5 AND Answer contains claims not in Top-K sources.
Decision: → NOT Label as: Hallucination (Faithfulness = 0.9)
[PRIORITY 2] RETRIEVAL FAILURE
Condition: Context_Recall &lt; 0.5 AND NONE of the Top-K chunks contain core concepts.
Decision: → NOT Label as: Retrieval Failure (Context_Recall = 0.2, but Top-K chunks contain core concepts)
[PRIORITY 3] CONTEXT NOISE
Condition: Context_Recall &gt;= 0.5 AND Context_Precision &lt; 0.5 AND &gt;50% chunks are irrelevant.
Decision: → NOT Label as: Context Noise (Context_Recall = 0.2, Context_Precision = 0.478, and not &gt;50% chunks are irrelevant)
[PRIORITY 4] SEMANTIC DRIFT
Condition: Faithfulness &gt;= 0.5 AND Answer_Relevancy &lt; 0.5 (Correct answer, wrong intent).
Decision: → NOT Label as: Semantic Drift (Answer_Relevancy = 0.711, which is &gt;= 0.5)
[PRIORITY 5] INCOMPLETE ANSWER
Condition: Faithfulness &gt;= 0.5 AND Answer_Relevancy &gt;= 0.5 AND Answer covers only a subset of aspects.
Decision: → Label as: Incomplete Answer (Faithfulness = 0.9, Answer_Relevancy = 0.711, but the Answer covers all aspects of the question)
[NO ERROR]
If NONE of above:
Decision: → Label as: Correct Answer
### STEP 4 — Output Format (MANDATORY)
For each row, output a structured report:
- Error_Label: Incomplete Answer
- Triggered_Rule: [PRIORITY 5] INCOMPLETE ANSWER
- Metrics_Summary: Faithfulness = 0.9, Answer_Relevancy = 0.711, Context_Recall = 0.2, Context_Precision = 0.478
- Evidence: The Answer covers all aspects of the question, but the question has multiple aspects.
- Justification: Rule-based explanation: The Answer is complete in terms of covering all aspects of the question, but the question has multiple aspects, making it an incomplete answer.</t>
  </si>
  <si>
    <t>### STEP 1 — Extract Query Intent and Aspects
From the Question:
1. Main intent: Identify trends showing the integration of real-time data and AI in SCRM.
2. Number of explicit aspects: 2 (integration of real-time data and AI in SCRM)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0.931, which is greater than 0.5)
[PRIORITY 2] RETRIEVAL FAILURE
Condition: Context_Recall &lt; 0.5 AND NONE of the Top-K chunks contain core concepts.
Decision: → NOT Label as: Retrieval Failure (Context_Recall = 0.6,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0.842, which is greater than 0.5)
[PRIORITY 5] INCOMPLETE ANSWER
Condition: Faithfulness &gt;= 0.5 AND Answer_Relevancy &gt;= 0.5 AND Answer covers only a subset of aspects.
Decision: → Label as: Incomplete Answer (Faithfulness = 0.931, Answer_Relevancy = 0.842, but the Answer covers all aspects of the question)
[NO ERROR]
If NONE of above:
Decision: → Label as: Correct Answer
### STEP 4 — Output Format (MANDATORY)
For each row, output a structured report:
- Error_Label: Incomplete Answer
- Triggered_Rule: [PRIORITY 5] INCOMPLETE ANSWER
- Metrics_Summary: Faithfulness = 0.931, Answer_Relevancy = 0.842, Context_Recall = 0.6, Context_Precision = 1.0
- Evidence: The Answer covers all aspects of the question, but the question asks for trends showing the integration of real-time data and AI in SCRM.
- Justification: Rule-based explanation: The Answer is faithful and relevant, but it covers all aspects of the question, which is not in line with the question's intent.</t>
  </si>
  <si>
    <t>### STEP 1 — Extract Query Intent and Aspects
From the Question:
1. Main intent: Identify emerging trends defining the current era of AI for supply chain resilience.
2. Number of explicit aspects: 2 (AI for supply chain resilience, emerging trends)
### STEP 2 — Verify Context Grounding
From Top_K_Sources:
1. Key concepts in the Question appear explicitly in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0.733, which is greater than 0.5)
[PRIORITY 2] RETRIEVAL FAILURE
Condition: Context_Recall &lt; 0.5 AND NONE of the Top-K chunks contain core concepts.
Decision: → NOT Label as: Retrieval Failure (Context_Recall = 0.8,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0.979, which is greater than 0.5)
[PRIORITY 5] INCOMPLETE ANSWER
Condition: Faithfulness &gt;= 0.5 AND Answer_Relevancy &gt;= 0.5 AND Answer covers only a subset of aspects.
Decision: → Label as: Incomplete Answer (Faithfulness = 0.733, Answer_Relevancy = 0.979, but the Answer covers all aspects)
[NO ERROR]
If NONE of above:
Decision: → Label as: Correct Answer
### STEP 4 — Output Format (MANDATORY)
For each row, output a structured report:
- Error_Label: Incomplete Answer
- Triggered_Rule: [PRIORITY 5] INCOMPLETE ANSWER
- Metrics_Summary: Faithfulness: 0.733, Answer_Relevancy: 0.979, Context_Precision: 1.0, Context_Recall: 0.8
- Evidence: The Answer covers all aspects, but the question asks for emerging trends, which might be considered a subset of aspects.
- Justification: Rule-based explanation: The Answer is complete in terms of covering all aspects, but it does not cover a subset of aspects as the question asks for emerging trends.</t>
  </si>
  <si>
    <t>### STEP 1 — Extract Query Intent and Aspects
From the Question:
1. Main intent of the query: Identify underexplored aspects of supply chain risk in current AI research.
2. Number of explicit aspects: 1 (supply chain risk)
### STEP 2 — Verify Context Grounding
From Top_K_Sources:
1. Key concepts in the Question appear explicitly in Top_K_Sources:
   - Supply chain risk
   - AI research
   - Underexplored aspects
2. Count:
   - Number of relevant chunks: 4
   - Number of noisy / off-topic chunks: 0
3. Determine if any factual claim in the Answer is NOT grounded in Top_K_Sources:
   - Answer claims that organisational and behavioural factors, cultural enablers, and explainability of AI approaches are underexplored.
   - These claims are supported by Top_K_Sources (e.g., Doc [3] "Understanding the Influential and Mediating Role of Cultural Enablers of AI Integration to Supply Chain" [1]).
### STEP 3 — Apply Error Classification Rules (IN ORDER OF PRIORITY)
[PRIORITY 1] HALLUCINATION
Condition: Faithfulness &lt; 0.5 AND Answer contains claims not in Top-K sources.
Decision: → NOT Label as: Hallucination (Faithfulness = 1.0, Answer is grounded in Top_K_Sources)
[PRIORITY 2] RETRIEVAL FAILURE
Condition: Context_Recall &lt; 0.5 AND NONE of the Top-K chunks contain core concepts.
Decision: → NOT Label as: Retrieval Failure (Context_Recall = 0.8, Top_K_Sources contain relevant chunks)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0.976, Answer is highly relevant)
[PRIORITY 5] INCOMPLETE ANSWER
Condition: Faithfulness &gt;= 0.5 AND Answer_Relevancy &gt;= 0.5 AND Answer covers only a subset of aspects.
Decision: → Label as: Incomplete Answer (Faithfulness = 1.0, Answer_Relevancy = 0.976, but Answer only covers a subset of aspects related to supply chain risk)
[NO ERROR]
If NONE of above:
Decision: → Label as: Correct Answer
### STEP 4 — Output Format (MANDATORY)
For each row, output a structured report:
- Error_Label: Incomplete Answer
- Triggered_Rule: [PRIORITY 5] INCOMPLETE ANSWER
- Metrics_Summary: Faithfulness = 1.0, Answer_Relevancy = 0.976, Context_Precision = 1.0, Context_Recall = 0.8
- Evidence: Answer only covers a subset of aspects related to supply chain risk.
- Justification: Rule-based explanation: The Answer is highly faithful and relevant, but it only covers a subset of aspects related to supply chain risk, which is a subset of the query intent.</t>
  </si>
  <si>
    <t>### STEP 1 — Extract Query Intent and Aspects
- Main intent of the query: Identify gaps in AI research for small and medium-sized supply chains.
- Number of explicit aspects: 2 (small and medium-sized supply chains, AI research)
### STEP 2 — Verify Context Grounding
- Key concepts in the Question appear explicitly in Top_K_Sources: Yes
- Number of relevant chunks: 5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0.987)
[PRIORITY 5] INCOMPLETE ANSWER
Condition: Faithfulness &gt;= 0.5 AND Answer_Relevancy &gt;= 0.5 AND Answer covers only a subset of aspects.
Decision: → Label as: Incomplete Answer (Answer covers the main intent but does not provide a comprehensive answer)
[NO ERROR]
If NONE of above:
Decision: → Label as: Correct Answer
### STEP 4 — Output Format (MANDATORY)
- Error_Label: Incomplete Answer
- Triggered_Rule: PRIORITY 5 &amp; Incomplete Answer
- Metrics_Summary: Faithfulness = 1.0, Answer_Relevancy = 0.987, Context_Precision = 1.0, Context_Recall = 1.0
- Evidence: The answer provides a correct summary of the main intent but does not cover all aspects of the question.
- Justification: The answer is relevant and faithful to the sources, but it does not provide a comprehensive answer to the question, thus triggering the Incomplete Answer rule.</t>
  </si>
  <si>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appear explicitly in Top_K_Sources:
   - AI techniques: Yes (e.g., "artificial intelligence ai", "powerful ai techniques")
   - Supply chain resilience problems: Yes (e.g., "supply chain resilience", "supply chain resilience problems")
2. Count:
   - Number of relevant chunks: 5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Label as: Hallucination (Faithfulness = 0.875)
[PRIORITY 2] RETRIEVAL FAILURE
Condition: Context_Recall &lt; 0.5 AND NONE of the Top-K chunks contain core concepts.
Decision: → NOT Label as: Retrieval Failure (Context_Recall = 0.286, Top-K chunks contain core concepts)
[PRIORITY 3] CONTEXT NOISE
Condition: Context_Recall &gt;= 0.5 AND Context_Precision &lt; 0.5 AND &gt;50% chunks are irrelevant.
Decision: → NOT Label as: Context Noise (Context_Recall = 0.286, Context_Precision = 0.45, &lt;50% chunks are irrelevant)
[PRIORITY 4] SEMANTIC DRIFT
Condition: Faithfulness &gt;= 0.5 AND Answer_Relevancy &lt; 0.5 (Correct answer, wrong intent).
Decision: → NOT Label as: Semantic Drift (Answer_Relevancy = 0.998)
[PRIORITY 5] INCOMPLETE ANSWER
Condition: Faithfulness &gt;= 0.5 AND Answer_Relevancy &gt;= 0.5 AND Answer covers only a subset of aspects.
Decision: → Label as: Incomplete Answer (Faithfulness = 0.875, Answer_Relevancy = 0.998, Answer covers only a subset of aspects)
[NO ERROR]
If NONE of above:
Decision: → Label as: Correct Answer
### STEP 4 — Output Format (MANDATORY)
For each row, output a structured report:
- Error_Label: Incomplete Answer
- Triggered_Rule: [PRIORITY 5] INCOMPLETE ANSWER
- Metrics_Summary: Faithfulness: 0.875, Answer_Relevancy: 0.998, Context_Precision: 0.45, Context_Recall: 0.286
- Evidence: The answer covers only a subset of aspects, implying that it is incomplete.
- Justification: Rule-based explanation: The answer is faithful and relevant, but it does not cover all aspects of the query, which is a characteristic of an incomplete answer.</t>
  </si>
  <si>
    <t>### STEP 1 — Extract Query Intent and Aspects
From the Question:
1. Main intent: Identify limitations in current datasets used for AI-driven SCRM.
2. Number of explicit aspects: 2 (current datasets, AI-driven SCRM).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0.944)
[PRIORITY 2] RETRIEVAL FAILURE
Condition: Context_Recall &lt; 0.5 AND NONE of the Top-K chunks contain core concepts.
Decision: → NOT Label as: Retrieval Failure (Context_Recall = 0.8)
[PRIORITY 3] CONTEXT NOISE
Condition: Context_Recall &gt;= 0.5 AND Context_Precision &lt; 0.5 AND &gt;50% chunks are irrelevant.
Decision: → NOT Label as: Context Noise (Context_Precision = 0.804)
[PRIORITY 4] SEMANTIC DRIFT
Condition: Faithfulness &gt;= 0.5 AND Answer_Relevancy &lt; 0.5 (Correct answer, wrong intent).
Decision: → NOT Label as: Semantic Drift (Answer_Relevancy = 0.909)
[PRIORITY 5] INCOMPLETE ANSWER
Condition: Faithfulness &gt;= 0.5 AND Answer_Relevancy &gt;= 0.5 AND Answer covers only a subset of aspects.
Decision: → Label as: Incomplete Answer (Faithfulness = 0.944, Answer_Relevancy = 0.909)
[NO ERROR]
If NONE of above:
Decision: → Label as: Correct Answer
### STEP 4 — Output Format (MANDATORY)
For each row, output a structured report:
- Error_Label: Incomplete Answer
- Triggered_Rule: [PRIORITY 5] INCOMPLETE ANSWER
- Metrics_Summary: Faithfulness: 0.944, Answer_Relevancy: 0.909, Context_Precision: 0.804, Context_Recall: 0.8
- Evidence: The answer covers the limitations in current datasets but does not address all aspects of AI-driven SCRM.
- Justification: Rule-based explanation: The answer is faithful and relevant, but it only covers a subset of the aspects mentioned in the question.</t>
  </si>
  <si>
    <t>### STEP 1 — Extract Query Intent and Aspects
- Main intent of the query: Identify industries rarely studied in AI-based supply chain resilience.
- Number of explicit aspects: 1 (industry)
### STEP 2 — Verify Context Grounding
- Key concepts in the Question appear explicitly in Top_K_Sources: Yes
- Number of relevant chunks: 4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0.6)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0.916)
[PRIORITY 5] INCOMPLETE ANSWER
Condition: Faithfulness &gt;= 0.5 AND Answer_Relevancy &gt;= 0.5 AND Answer covers only a subset of aspects.
Decision: → Label as: Incomplete Answer (Faithfulness = 0.6, Answer_Relevancy = 0.916, Answer covers the main intent but does not provide a comprehensive list of industries)
[NO ERROR]
If NONE of above:
Decision: → NOT Label as: Correct Answer (Error detected)
### STEP 4 — Output Format (MANDATORY)
- Error_Label: Incomplete Answer
- Triggered_Rule: PRIORITY 5 &amp; Incomplete Answer
- Metrics_Summary: Faithfulness = 0.6, Answer_Relevancy = 0.916, Context_Precision = 1.0, Context_Recall = 1.0
- Evidence: The answer provides a relevant and accurate response but does not cover all aspects of the query.
- Justification: The answer is incomplete because it only mentions a few industries, whereas the query asks for a comprehensive list of industries rarely studied in AI-based supply chain resilience.</t>
  </si>
  <si>
    <t>### STEP 1 — Extract Query Intent and Aspects
From the Question:
1. Main intent: Compare AI models using structured versus unstructured data.
2. Number of explicit aspects: 2 (structured vs unstructured data)
### STEP 2 — Verify Context Grounding
From Top_K_Sources:
1. Key concepts in the Question appear explicitly in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0.643 &gt; 0.5)
[PRIORITY 2] RETRIEVAL FAILURE
Condition: Context_Recall &lt; 0.5 AND NONE of the Top-K chunks contain core concepts.
Decision: → NOT Label as: Retrieval Failure (Context_Recall = 0.5 &gt;= 0.5)
[PRIORITY 3] CONTEXT NOISE
Condition: Context_Recall &gt;= 0.5 AND Context_Precision &lt; 0.5 AND &gt;50% chunks are irrelevant.
Decision: → NOT Label as: Context Noise (Context_Precision = 0.756 &gt; 0.5)
[PRIORITY 4] SEMANTIC DRIFT
Condition: Faithfulness &gt;= 0.5 AND Answer_Relevancy &lt; 0.5 (Correct answer, wrong intent).
Decision: → NOT Label as: Semantic Drift (Answer_Relevancy = 0.945 &gt; 0.5)
[PRIORITY 5] INCOMPLETE ANSWER
Condition: Faithfulness &gt;= 0.5 AND Answer_Relevancy &gt;= 0.5 AND Answer covers only a subset of aspects.
Decision: → Label as: Incomplete Answer (Faithfulness = 0.643 &gt;= 0.5, Answer_Relevancy = 0.945 &gt;= 0.5, but Answer covers all aspects)
[NO ERROR]
If NONE of above:
Decision: → Label as: Correct Answer (NOT Label as: Hallucination, NOT Label as: Retrieval Failure, NOT Label as: Context Noise, NOT Label as: Semantic Drift)
### STEP 4 — Output Format (MANDATORY)
For each row, output a structured report:
- Error_Label: Incomplete Answer
- Triggered_Rule: [PRIORITY 5] INCOMPLETE ANSWER
- Metrics_Summary: Faithfulness = 0.643, Answer_Relevancy = 0.945, Context_Precision = 0.756, Context_Recall = 0.5
- Evidence: Answer covers all aspects, but the question asks to compare AI models using structured versus unstructured data.
- Justification: Rule-based explanation: The answer is relevant and faithful, but it covers all aspects of the question, which is not a complete answer to the question.</t>
  </si>
  <si>
    <t>### STEP 1 — Extract Query Intent and Aspects
From the Question:
1. Identify the main intent of the query: Compare AI methods before and after major global disruptions.
2. Identify the number of explicit aspects: 2 (before and after major global disruptions).
### STEP 2 — Verify Context Grounding
From Top_K_Sources:
1. Identify whether each key concept in the Question appears explicitly:
   - "Compare" is not explicitly mentioned, but "AI methods" and "global disruptions" are.
   - "Before" and "after" are not explicitly mentioned, but the context implies a comparison.
2. Count:
   - Number of relevant chunks: 4 (all chunks are relevant to the question)
   - Number of noisy / off-topic chunks: 0 (all chunks are on-topic)
3. Determine if any factual claim in the Answer is NOT grounded in Top_K_Sources:
   - The Answer mentions various studies, but the Top_K_Sources only provide a few examples.
### STEP 3 — Apply Error Classification Rules (IN ORDER OF PRIORITY)
[PRIORITY 1] HALLUCINATION
Condition: Faithfulness &lt; 0.5 AND Answer contains claims not in Top-K sources.
Decision: → NOT Label as: Hallucination (Faithfulness = 0.889, which is greater than 0.5)
[PRIORITY 2] RETRIEVAL FAILURE
Condition: Context_Recall &lt; 0.5 AND NONE of the Top-K chunks contain core concepts.
Decision: → NOT Label as: Retrieval Failure (Context_Recall = 1.0,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0.932, which is greater than 0.5)
[PRIORITY 5] INCOMPLETE ANSWER
Condition: Faithfulness &gt;= 0.5 AND Answer_Relevancy &gt;= 0.5 AND Answer covers only a subset of aspects.
Decision: → Label as: Incomplete Answer (Faithfulness = 0.889, Answer_Relevancy = 0.932, but the Answer does not cover all aspects of the question, such as the specific AI methods used before and after disruptions)
[NO ERROR]
If NONE of above:
Decision: → NOT Label as: Correct Answer (the Answer is not entirely correct, as it does not cover all aspects of the question)
### STEP 4 — Output Format (MANDATORY)
For each row, output a structured report:
- Error_Label: Incomplete Answer
- Triggered_Rule: PRIORITY 5 &amp; Incomplete Answer
- Metrics_Summary: Faithfulness = 0.889, Answer_Relevancy = 0.932, Context_Precision = 1.0, Context_Recall = 1.0
- Evidence: The Answer does not cover all aspects of the question, such as the specific AI methods used before and after disruptions.
- Justification: Rule-based explanation: The Answer is partially correct, but it does not cover all aspects of the question, which is a characteristic of an Incomplete Answer.</t>
  </si>
  <si>
    <t>### STEP 1 — Extract Query Intent and Aspects
From the Question:
1. Main intent of the query: Compare data requirements across AI models for SCRM.
2. Number of explicit aspects: 2 (data requirements, AI models for SCRM)
### STEP 2 — Verify Context Grounding
From Top_K_Sources:
1. Key concepts in the Question: data requirements, AI models, SCRM
2. Relevant chunks:
   - Rank #1: mentions data management, model development, and machine learning algorithms
   - Rank #2: mentions AI-driven risk management and machine learning techniques
   - Rank #3: mentions machine learning and blockchain technology
   - Rank #4: mentions AI and machine learning techniques
   - Rank #5: mentions AI applications in SCM processes
3. Noisy/off-topic chunks: None
4. Factual claims in the Answer not grounded in Top_K_Sources: None
### STEP 3 — Apply Error Classification Rules (IN ORDER OF PRIORITY)
[PRIORITY 1] HALLUCINATION
Condition: Faithfulness &lt; 0.5 AND Answer contains claims not in Top-K sources.
Decision: → NOT Label as: Hallucination (Faithfulness = 0.733, no claims not in Top-K sources)
[PRIORITY 2] RETRIEVAL FAILURE
Condition: Context_Recall &lt; 0.5 AND NONE of the Top-K chunks contain core concepts.
Decision: → NOT Label as: Retrieval Failure (Context_Recall = 0.4, some Top-K chunks contain core concepts)
[PRIORITY 3] CONTEXT NOISE
Condition: Context_Recall &gt;= 0.5 AND Context_Precision &lt; 0.5 AND &gt;50% chunks are irrelevant.
Decision: → NOT Label as: Context Noise (Context_Recall = 0.4, Context_Precision = 0.95, no irrelevant chunks)
[PRIORITY 4] SEMANTIC DRIFT
Condition: Faithfulness &gt;= 0.5 AND Answer_Relevancy &lt; 0.5 (Correct answer, wrong intent).
Decision: → NOT Label as: Semantic Drift (Answer_Relevancy = 0.938, correct answer and relevant)
[PRIORITY 5] INCOMPLETE ANSWER
Condition: Faithfulness &gt;= 0.5 AND Answer_Relevancy &gt;= 0.5 AND Answer covers only a subset of aspects.
Decision: → Label as: Incomplete Answer (Faithfulness = 0.733, Answer_Relevancy = 0.938, but Answer does not cover all aspects of data requirements across AI models for SCRM)
[NO ERROR]
If NONE of above:
Decision: → Label as: Correct Answer
### STEP 4 — Output Format (MANDATORY)
For each row, output a structured report:
- Error_Label: Incomplete Answer
- Triggered_Rule: [PRIORITY 5] INCOMPLETE ANSWER
- Metrics_Summary: Faithfulness = 0.733, Answer_Relevancy = 0.938, Context_Recall = 0.4, Context_Precision = 0.95
- Evidence: Answer does not cover all aspects of data requirements across AI models for SCRM.
- Justification: Rule-based explanation: Incomplete Answer is triggered because the Answer has high faithfulness and relevancy, but does not cover all aspects of the query.</t>
  </si>
  <si>
    <t>### STEP 1 — Extract Query Intent and Aspects
From the Question:
1. Main intent of the query: Identify commonly used datasets in AI-based SCRM studies.
2. Number of explicit aspects: 1 (datasets)
### STEP 2 — Verify Context Grounding
From Top_K_Sources:
1. Key concepts in the Question: datasets, AI-based SCRM studies
2. Relevant chunks:
   - Rank #1: construction supply chain risk management (contains "datasets" and "SCRM")
   - Rank #2: a conceptual architecture for ai in supply chain risk management (contains "AI" and "SCRM")
   - Rank #3: ai applications in supply chain management a survey (contains "AI" and "SCRM")
   - Rank #4: the role of artificial intelligence in supply chain management mapping the territory (contains "AI" and "SCRM")
   - Rank #5: artificial neural network for enhancing supply chain risk management (contains "AI" and "SCRM")
3. Number of relevant chunks: 5
4. Number of noisy / off-topic chunks: 0
5. Factual claims in the Answer: The provided documents do not explicitly mention specific datasets.
6. Grounding in Top_K_Sources: The Answer is partially grounded in Top_K_Sources (Rank #1 mentions "datasets" but does not provide specific ones).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0.0, but &gt;50% chunks are not irrelevant)
[PRIORITY 4] SEMANTIC DRIFT
Condition: Faithfulness &gt;= 0.5 AND Answer_Relevancy &lt; 0.5 (Correct answer, wrong intent).
Decision: → NOT Label as: Semantic Drift (Answer_Relevancy = 0.992)
[PRIORITY 5] INCOMPLETE ANSWER
Condition: Faithfulness &gt;= 0.5 AND Answer_Relevancy &gt;= 0.5 AND Answer covers only a subset of aspects.
Decision: → Label as: Incomplete Answer (Faithfulness = 1.0, Answer_Relevancy = 0.992, but the Answer does not provide specific datasets)
[NO ERROR]
If NONE of above:
Decision: → NOT Label as: Correct Answer (since the Answer is incomplete)
### STEP 4 — Output Format (MANDATORY)
For each row, output a structured report:
- Error_Label: Incomplete Answer
- Triggered_Rule: [PRIORITY 5] INCOMPLETE ANSWER
- Metrics_Summary: Faithfulness = 1.0, Answer_Relevancy = 0.992, Context_Recall = 0.833, Context_Precision = 0.0
- Evidence: The Answer does not provide specific datasets, despite mentioning their importance.
- Justification: Rule-based explanation: The Answer is incomplete because it does not provide specific datasets, despite being relevant and faithful to the context.</t>
  </si>
  <si>
    <t>### STEP 1 — Extract Query Intent and Aspects
From the Question:
1. Main intent of the query: Identify the most frequently reported performance metrics.
2. Number of explicit aspects: 1 (performance metrics)
### STEP 2 — Verify Context Grounding
From Top_K_Sources:
1. Key concepts in the Question: performance metrics, frequently reported
2. Relevant chunks:
   - Rank #1: forecasting supply chain resilience performance using grey prediction (contains performance metrics)
   - Rank #2: evaluation of energy sector providers for enhanced efficiency performance and sustainability (contains performance metrics)
   - Rank #3: a hybrid deep random neural network for cyberattack detection in the industrial internet of things (contains performance metrics)
   - Rank #4: supply chain analytics to predict the risk of late delivery a machine learning approach (contains performance metrics)
   - Rank #5: hybrid deep learning based threat intelligence framework for industrial iot systems (contains performance metrics)
3. Number of relevant chunks: 5
4. Number of noisy / off-topic chunks: 0
5.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0.333, but &gt;50% chunks are relevant)
[PRIORITY 4] SEMANTIC DRIFT
Condition: Faithfulness &gt;= 0.5 AND Answer_Relevancy &lt; 0.5 (Correct answer, wrong intent).
Decision: → NOT Label as: Semantic Drift (Answer_Relevancy = 0.992)
[PRIORITY 5] INCOMPLETE ANSWER
Condition: Faithfulness &gt;= 0.5 AND Answer_Relevancy &gt;= 0.5 AND Answer covers only a subset of aspects.
Decision: → Label as: Incomplete Answer (Faithfulness = 1.0, Answer_Relevancy = 0.992, but the answer covers all aspects)
[NO ERROR]
If NONE of above:
Decision: → NOT Label as: Correct Answer (Error found)
### STEP 4 — Output Format (MANDATORY)
For each row, output a structured report:
- Error_Label: Incomplete Answer
- Triggered_Rule: [PRIORITY 5] INCOMPLETE ANSWER
- Metrics_Summary: Faithfulness = 1.0, Answer_Relevancy = 0.992, Context_Precision = 0.333, Context_Recall = 1.0
- Evidence: The answer covers all aspects of performance metrics, but the question only asks for the most frequently reported metrics.
- Justification: Rule-based explanation: The answer is complete in terms of covering all aspects, but it does not address the specific question of which metrics are most frequently reported.</t>
  </si>
  <si>
    <t>### STEP 1 — Extract Query Intent and Aspects
From the Question:
1. Main intent of the query: Identify validation methods commonly applied.
2. Number of explicit aspects: 1 (validation methods)
### STEP 2 — Verify Context Grounding
From Top_K_Sources:
1. Key concepts in the Question appear explicitly in Top_K_Sources:
   - "validation methods"
   - "commonly applied"
2. Count:
   - Number of relevant chunks: 4
   - Number of noisy / off-topic chunks: 1 (Rank #3)
3. Determine if any factual claim in the Answer is NOT grounded in Top_K_Sources:
   - No claims in the Answer are not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0.75)
[PRIORITY 3] CONTEXT NOISE
Condition: Context_Recall &gt;= 0.5 AND Context_Precision &lt; 0.5 AND &gt;50% chunks are irrelevant.
Decision: → NOT Label as: Context Noise (Context_Precision = 0.533, &gt;50% chunks are not irrelevant)
[PRIORITY 4] SEMANTIC DRIFT
Condition: Faithfulness &gt;= 0.5 AND Answer_Relevancy &lt; 0.5 (Correct answer, wrong intent).
Decision: → NOT Label as: Semantic Drift (Answer_Relevancy = 1.0)
[PRIORITY 5] INCOMPLETE ANSWER
Condition: Faithfulness &gt;= 0.5 AND Answer_Relevancy &gt;= 0.5 AND Answer covers only a subset of aspects.
Decision: → Label as: Incomplete Answer (Answer covers multiple validation methods, but the question asks for "commonly applied" methods)
[NO ERROR]
If NONE of above:
Decision: → Label as: Correct Answer
### STEP 4 — Output Format (MANDATORY)
For each row, output a structured report:
- Error_Label: Incomplete Answer
- Triggered_Rule: [PRIORITY 5] INCOMPLETE ANSWER
- Metrics_Summary: Faithfulness: 1.0, Answer_Relevancy: 1.0, Context_Precision: 0.533, Context_Recall: 0.75
- Evidence: The Answer covers multiple validation methods, but the question asks for "commonly applied" methods.
- Justification: Rule-based explanation: The Answer covers a subset of aspects, and the question asks for a specific type of validation methods.</t>
  </si>
  <si>
    <t>### STEP 1 — Extract Query Intent and Aspects
From the Question:
1. Main intent: Identify improvements reported after AI integration.
2. Number of explicit aspects: 1 (improvements)
### STEP 2 — Verify Context Grounding
From Top_K_Sources:
1. Key concepts in the Question appear explicitly in Top_K_Sources.
2. Count:
   - Number of relevant chunks: 4
   - Number of noisy / off-topic chunks: 1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0.81 &gt; 0.5)
[PRIORITY 2] RETRIEVAL FAILURE
Condition: Context_Recall &lt; 0.5 AND NONE of the Top-K chunks contain core concepts.
Decision: → NOT Label as: Retrieval Failure (Context_Recall = 1.0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0.859 &gt; 0.5)
[PRIORITY 5] INCOMPLETE ANSWER
Condition: Faithfulness &gt;= 0.5 AND Answer_Relevancy &gt;= 0.5 AND Answer covers only a subset of aspects.
Decision: → Label as: Incomplete Answer (Faithfulness = 0.81 &gt; 0.5, Answer_Relevancy = 0.859 &gt; 0.5, but Answer covers more than one aspect)
[NO ERROR]
If NONE of above:
Decision: → Label as: Correct Answer (NOT applicable)
### STEP 4 — Output Format (MANDATORY)
For each row, output a structured report:
- Error_Label: Incomplete Answer
- Triggered_Rule: [PRIORITY 5] INCOMPLETE ANSWER
- Metrics_Summary: Faithfulness = 0.81, Answer_Relevancy = 0.859, Context_Precision = 1.0, Context_Recall = 1.0
- Evidence: The Answer covers more than one aspect, which is not explicitly mentioned in the Question.
- Justification: Rule-based explanation: The Answer is relevant and faithful, but it covers multiple aspects, which is not a complete answer to the Question.</t>
  </si>
  <si>
    <t>### STEP 1 — Extract Query Intent and Aspects
From the Question:
1. Main intent: Identify the limitations of existing models.
2. Number of explicit aspects: 1 (limitations of existing models)
### STEP 2 — Verify Context Grounding
From Top_K_Sources:
1. Key concepts in the Question appear explicitly in Top_K_Sources.
2. Count:
   - Number of relevant chunks: 4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Label as: Hallucination (Faithfulness = 0.765, which is greater than 0.5)
[PRIORITY 2] RETRIEVAL FAILURE
Condition: Context_Recall &lt; 0.5 AND NONE of the Top-K chunks contain core concepts.
Decision: → NOT Label as: Retrieval Failure (Context_Recall = 0.571,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0.906, which is greater than 0.5)
[PRIORITY 5] INCOMPLETE ANSWER
Condition: Faithfulness &gt;= 0.5 AND Answer_Relevancy &gt;= 0.5 AND Answer covers only a subset of aspects.
Decision: → Label as: Incomplete Answer (Faithfulness = 0.765, Answer_Relevancy = 0.906, but the Answer covers all aspects of the question)
[NO ERROR]
If NONE of above:
Decision: → Label as: Correct Answer
### STEP 4 — Output Format (MANDATORY)
For each row, output a structured report:
- Error_Label: Incomplete Answer
- Triggered_Rule: [PRIORITY 5] INCOMPLETE ANSWER
- Metrics_Summary: Faithfulness: 0.765, Answer_Relevancy: 0.906, Context_Precision: 1.0, Context_Recall: 0.571
- Evidence: The Answer covers all aspects of the question, but the question asks for limitations of existing models, which is a broad topic.
- Justification: Rule-based explanation: The Answer is faithful and relevant, but it covers all aspects of the question, which is not a subset of the aspects asked in the question.</t>
  </si>
  <si>
    <t>### STEP 1 — Extract Query Intent and Aspects
From the Question:
1. Main intent of the query: Identify data modalities empirically validated.
2. Number of explicit aspects: 1 (data modalities empirically validated)
### STEP 2 — Verify Context Grounding
From Top_K_Sources:
1. Key concepts in the Question: data modalities empirically validated
2. Relevant chunks:
   - Rank #4: multiperspective data modelling in cyber physical production networks (validated in Doc [4])
   - Rank #5: data analytics for working performance analysis in production management (validated by testing an independent data set in Doc [5])
3. Noisy / off-topic chunks:
   - Rank #1: improvements in accuracy and robustness compared to baseline models (not related to data modalities empirically validated)
   - Rank #2: leveraging artificial intelligence and dynamic supply chains for renewable energy development in africas frontier markets (not related to data modalities empirically validated)
   - Rank #3: big data bigger ideas the role of big data analytics management capability in supply chain sustainability (not related to data modalities empirically validated)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0.875, Answer contains claims in Top-K sources)
[PRIORITY 2] RETRIEVAL FAILURE
Condition: Context_Recall &lt; 0.5 AND NONE of the Top-K chunks contain core concepts.
Decision: → NOT Label as: Retrieval Failure (Context_Recall = 1.0, Rank #4 and Rank #5 contain core concepts)
[PRIORITY 3] CONTEXT NOISE
Condition: Context_Recall &gt;= 0.5 AND Context_Precision &lt; 0.5 AND &gt;50% chunks are irrelevant.
Decision: → NOT Label as: Context Noise (Context_Precision = 0.325, but only 2 out of 5 chunks are relevant)
[PRIORITY 4] SEMANTIC DRIFT
Condition: Faithfulness &gt;= 0.5 AND Answer_Relevancy &lt; 0.5 (Correct answer, wrong intent).
Decision: → NOT Label as: Semantic Drift (Answer_Relevancy = 0.721, relevant to the question)
[PRIORITY 5] INCOMPLETE ANSWER
Condition: Faithfulness &gt;= 0.5 AND Answer_Relevancy &gt;= 0.5 AND Answer covers only a subset of aspects.
Decision: → Label as: Incomplete Answer (Faithfulness = 0.875, Answer_Relevancy = 0.721, but the answer only covers two specific data modalities)
[NO ERROR]
If NONE of above:
Decision: → Label as: Correct Answer
### STEP 4 — Output Format (MANDATORY)
For each row, output a structured report:
- Error_Label: Incomplete Answer
- Triggered_Rule: [PRIORITY 5] INCOMPLETE ANSWER
- Metrics_Summary: Faithfulness = 0.875, Answer_Relevancy = 0.721, Context_Precision = 0.325, Context_Recall = 1.0
- Evidence: The answer only covers two specific data modalities, multiperspective data modelling in cyber physical production networks and data analytics for working performance analysis in production management.
- Justification: Rule-based explanation: The answer is relevant to the question, but it only covers a subset of aspects, which is a characteristic of an incomplete answer.</t>
  </si>
  <si>
    <t>### STEP 1 — Extract Query Intent and Aspects
From the Question:
1. Main intent of the query: Identify gaps in AI research for small and medium-sized supply chains.
2. Number of explicit aspects: 2 (AI research, small and medium-sized supply chains)
### STEP 2 — Verify Context Grounding
From Top_K_Sources:
1. Key concepts in the Question appear explicitly in Top_K_Sources:
   - AI research: Present in all Top_K_Sources.
   - Small and medium-sized supply chains: Present in Rank #1 and Rank #2.
2. Count:
   - Number of relevant chunks: 4 (all Top_K_Sources are relevant).
   - Number of noisy / off-topic chunks: 0 (all chunks are relevant).
3. Determine if any factual claim in the Answer is NOT grounded in Top_K_Sources:
   - The Answer mentions empirical insights on organisational behavioural mechanisms at the humantechnology interface, which is present in Rank #2.
   - The Answer mentions the integration of resource orchestration and knowledge-based approaches, which is not explicitly mentioned in any Top_K_Sources, but it is a reasonable inference based on the information provided.
### STEP 3 — Apply Error Classification Rules (IN ORDER OF PRIORITY)
[PRIORITY 1] HALLUCINATION
Condition: Faithfulness &lt; 0.5 AND Answer contains claims not in Top-K sources.
Decision: → NOT Label as: Hallucination (Faithfulness = 1.0, and while the Answer contains some claims not explicitly mentioned in Top_K_Sources, they are reasonable inferences based on the information provided).
[PRIORITY 2] RETRIEVAL FAILURE
Condition: Context_Recall &lt; 0.5 AND NONE of the Top-K chunks contain core concepts.
Decision: → NOT Label as: Retrieval Failure (Context_Recall = 0.8, and all Top_K_Sources contain core concepts).
[PRIORITY 3] CONTEXT NOISE
Condition: Context_Recall &gt;= 0.5 AND Context_Precision &lt; 0.5 AND &gt;50% chunks are irrelevant.
Decision: → NOT Label as: Context Noise (Context_Precision = 1.0, and all chunks are relevant).
[PRIORITY 4] SEMANTIC DRIFT
Condition: Faithfulness &gt;= 0.5 AND Answer_Relevancy &lt; 0.5 (Correct answer, wrong intent).
Decision: → NOT Label as: Semantic Drift (Answer_Relevancy = 0.987, which is greater than 0.5).
[PRIORITY 5] INCOMPLETE ANSWER
Condition: Faithfulness &gt;= 0.5 AND Answer_Relevancy &gt;= 0.5 AND Answer covers only a subset of aspects.
Decision: → Label as: Incomplete Answer (Faithfulness = 1.0, Answer_Relevancy = 0.987, and while the Answer covers most aspects, it does not explicitly mention the integration of resource orchestration and knowledge-based approaches, which is a key aspect of the query).
[NO ERROR]
If NONE of above:
Decision: → Label as: Correct Answer
### STEP 4 — Output Format (MANDATORY)
For each row, output a structured report:
- Error_Label: Incomplete Answer
- Triggered_Rule: [PRIORITY 5] INCOMPLETE ANSWER
- Metrics_Summary: Faithfulness = 1.0, Answer_Relevancy = 0.987, Context_Precision = 1.0, Context_Recall = 0.8
- Evidence: The Answer covers most aspects, but does not explicitly mention the integration of resource orchestration and knowledge-based approaches.
- Justification: Rule-based explanation: The Answer is incomplete because it does not cover all aspects of the query, specifically the integration of resource orchestration and knowledge-based approaches.</t>
  </si>
  <si>
    <t>### STEP 1 — Extract Query Intent and Aspects
From the Question:
1. Main intent: Identify geographic regions underrepresented in AI-based SCRM research.
2. Number of explicit aspects: 2 (geographic regions, AI-based SCRM research)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0.727, which is greater than 0.5)
[PRIORITY 2] RETRIEVAL FAILURE
Condition: Context_Recall &lt; 0.5 AND NONE of the Top-K chunks contain core concepts.
Decision: → NOT Label as: Retrieval Failure (Context_Recall = 0.857, which is greater than 0.5)
[PRIORITY 3] CONTEXT NOISE
Condition: Context_Recall &gt;= 0.5 AND Context_Precision &lt; 0.5 AND &gt;50% chunks are irrelevant.
Decision: → NOT Label as: Context Noise (Context_Precision = 0.887, which is greater than 0.5)
[PRIORITY 4] SEMANTIC DRIFT
Condition: Faithfulness &gt;= 0.5 AND Answer_Relevancy &lt; 0.5 (Correct answer, wrong intent).
Decision: → NOT Label as: Semantic Drift (Answer_Relevancy = 0.591, which is greater than 0.5)
[PRIORITY 5] INCOMPLETE ANSWER
Condition: Faithfulness &gt;= 0.5 AND Answer_Relevancy &gt;= 0.5 AND Answer covers only a subset of aspects.
Decision: → Label as: Incomplete Answer (Faithfulness = 0.727, Answer_Relevancy = 0.591, and the Answer covers only a subset of aspects related to geographic regions underrepresented in AI-based SCRM research)
[NO ERROR]
If NONE of above:
Decision: → Label as: Correct Answer (since none of the above conditions are met)
### STEP 4 — Output Format (MANDATORY)
For each row, output a structured report:
- Error_Label: Incomplete Answer
- Triggered_Rule: [PRIORITY 5] INCOMPLETE ANSWER
- Metrics_Summary: Faithfulness = 0.727, Answer_Relevancy = 0.591, Context_Precision = 0.887, Context_Recall = 0.857
- Evidence: The Answer covers only a subset of aspects related to geographic regions underrepresented in AI-based SCRM research.
- Justification: Rule-based explanation: The Answer is relevant but does not cover all aspects of the question, specifically the geographic regions underrepresented in AI-based SCRM research.</t>
  </si>
  <si>
    <t>### STEP 1 — Extract Query Intent and Aspects
From the Question:
1. Main intent: Identify limitations in current datasets used for AI-driven SCRM.
2. Number of explicit aspects: 1 (datasets) and 1 (AI-driven SCRM).
### STEP 2 — Verify Context Grounding
From Top_K_Sources:
1. Key concepts in the Question appear explicitly in Top_K_Sources.
2. Count:
   - Number of relevant chunks: 4
   - Number of noisy / off-topic chunks: 0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0.996)
[PRIORITY 5] INCOMPLETE ANSWER
Condition: Faithfulness &gt;= 0.5 AND Answer_Relevancy &gt;= 0.5 AND Answer covers only a subset of aspects.
Decision: → Label as: Incomplete Answer (Faithfulness = 1.0, Answer_Relevancy = 0.996, but the Answer covers all aspects mentioned in the Question)
[NO ERROR]
If NONE of above:
Decision: → Label as: Correct Answer
### STEP 4 — Output Format (MANDATORY)
For each row, output a structured report:
- Error_Label: Incomplete Answer
- Triggered_Rule: [PRIORITY 5] INCOMPLETE ANSWER
- Metrics_Summary: Faithfulness = 1.0, Answer_Relevancy = 0.996, Context_Precision = 1.0, Context_Recall = 0.8
- Evidence: The Answer covers all aspects mentioned in the Question, but the Question has multiple aspects (datasets and AI-driven SCRM).
- Justification: Rule-based explanation: The Answer is complete in terms of the aspects it covers, but the Question has multiple aspects, making it an Incomplete Answer.</t>
  </si>
  <si>
    <t>### STEP 1 — Extract Query Intent and Aspects
From the Question:
1. Main intent of the query: Identify supply chain stages that receive little attention in AI models.
2. Number of explicit aspects: 1 (supply chain stages)
### STEP 2 — Verify Context Grounding
From Top_K_Sources:
1. Key concepts in the Question appear explicitly in Top_K_Sources:
   - Supply chain stages
   - AI models
2. Count:
   - Number of relevant chunks: 4 (Chunks 1, 2, 3, and 4 contain relevant information about supply chain stages and AI models)
   - Number of noisy / off-topic chunks: 0
3. Determine if any factual claim in the Answer is NOT grounded in Top_K_Sources:
   - The Answer contains claims about specific supply chain stages (performance evaluation and sustainability, pharmaceutical and construction) that are supported by Top_K_Sources.
### STEP 3 — Apply Error Classification Rules (IN ORDER OF PRIORITY)
[PRIORITY 1] HALLUCINATION
Condition: Faithfulness &lt; 0.5 AND Answer contains claims not in Top-K sources.
Decision: → NOT Label as: Hallucination (Faithfulness = 0.857, which is greater than 0.5)
[PRIORITY 2] RETRIEVAL FAILURE
Condition: Context_Recall &lt; 0.5 AND NONE of the Top-K chunks contain core concepts.
Decision: → NOT Label as: Retrieval Failure (Context_Recall = 1.0,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0.756, which is greater than 0.5)
[PRIORITY 5] INCOMPLETE ANSWER
Condition: Faithfulness &gt;= 0.5 AND Answer_Relevancy &gt;= 0.5 AND Answer covers only a subset of aspects.
Decision: → Label as: Incomplete Answer (Faithfulness = 0.857, Answer_Relevancy = 0.756, and the Answer covers a subset of supply chain stages)
[NO ERROR]
If NONE of above:
Decision: → Label as: Correct Answer
### STEP 4 — Output Format (MANDATORY)
For each row, output a structured report:
- Error_Label: Incomplete Answer
- Triggered_Rule: [PRIORITY 5] INCOMPLETE ANSWER
- Metrics_Summary: Faithfulness = 0.857, Answer_Relevancy = 0.756, Context_Precision = 1.0, Context_Recall = 1.0
- Evidence: The Answer covers a subset of supply chain stages, but not all aspects mentioned in the question.
- Justification: Rule-based explanation: The Answer is relevant and faithful, but it does not cover all aspects of the question, which is a characteristic of an Incomplete Answer.</t>
  </si>
  <si>
    <t>### STEP 1 — Extract Query Intent and Aspects
From the Question:
1. Main intent: Identify gaps in explainability for AI-driven risk prediction models.
2. Number of explicit aspects: 2 (explainability, AI-driven risk prediction models).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0.714, which is greater than 0.5)
[PRIORITY 2] RETRIEVAL FAILURE
Condition: Context_Recall &lt; 0.5 AND NONE of the Top-K chunks contain core concepts.
Decision: → NOT Label as: Retrieval Failure (Context_Recall = 1.0,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0.873, which is greater than 0.5)
[PRIORITY 5] INCOMPLETE ANSWER
Condition: Faithfulness &gt;= 0.5 AND Answer_Relevancy &gt;= 0.5 AND Answer covers only a subset of aspects.
Decision: → Label as: Incomplete Answer (Faithfulness = 0.714, Answer_Relevancy = 0.873, but the Answer covers all aspects of the question)
[NO ERROR]
If NONE of above:
Decision: → Label as: Correct Answer
### STEP 4 — Output Format (MANDATORY)
For each row, output a structured report:
- Error_Label: Incomplete Answer
- Triggered_Rule: [PRIORITY 5] INCOMPLETE ANSWER
- Metrics_Summary: Faithfulness: 0.714, Answer_Relevancy: 0.873, Context_Precision: 1.0, Context_Recall: 1.0
- Evidence: The Answer covers all aspects of the question, but the question has 2 explicit aspects.
- Justification: Rule-based explanation: The Answer is complete, but the question has multiple aspects, which is a requirement for the Incomplete Answer label.</t>
  </si>
  <si>
    <t>### STEP 1 — Extract Query Intent and Aspects
From the Question:
1. Main intent of the query: Compare machine learning and deep learning approaches in SCRM applications.
2. Number of explicit aspects: 2 (machine learning, deep learning)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0.667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0.986 &gt; 0.5)
[PRIORITY 5] INCOMPLETE ANSWER
Condition: Faithfulness &gt;= 0.5 AND Answer_Relevancy &gt;= 0.5 AND Answer covers only a subset of aspects.
Decision: → Label as: Incomplete Answer (Faithfulness = 0.667 &gt;= 0.5, Answer_Relevancy = 0.986 &gt;= 0.5, but Answer covers all aspects)
[NO ERROR]
If NONE of above:
Decision: → Label as: Correct Answer
### STEP 4 — Output Format (MANDATORY)
For each row, output a structured report:
- Error_Label: Incomplete Answer
- Triggered_Rule: [PRIORITY 5] INCOMPLETE ANSWER
- Metrics_Summary: Faithfulness = 0.667, Answer_Relevancy = 0.986, Context_Precision = 1.0, Context_Recall = 0.667
- Evidence: The answer covers all aspects of the question, but the faithfulness metric indicates that the answer is not entirely faithful to the top-k sources.
- Justification: The answer is considered incomplete because it covers all aspects of the question, but the faithfulness metric indicates that the answer is not entirely faithful to the top-k sources.</t>
  </si>
  <si>
    <t>### STEP 1 — Extract Query Intent and Aspects
From the Question:
1. Main intent of the query: Compare supervised and unsupervised models in SCRM.
2. Number of explicit aspects: 2 (supervised models, unsupervised models).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0.1, but Top_K_Sources contain relevant chunks)
[PRIORITY 3] CONTEXT NOISE
Condition: Context_Recall &gt;= 0.5 AND Context_Precision &lt; 0.5 AND &gt;50% chunks are irrelevant.
Decision: → NOT Label as: Context Noise (Context_Recall = 0.1, Context_Precision = 0.833)
[PRIORITY 4] SEMANTIC DRIFT
Condition: Faithfulness &gt;= 0.5 AND Answer_Relevancy &lt; 0.5 (Correct answer, wrong intent).
Decision: → NOT Label as: Semantic Drift (Answer_Relevancy = 0.888)
[PRIORITY 5] INCOMPLETE ANSWER
Condition: Faithfulness &gt;= 0.5 AND Answer_Relevancy &gt;= 0.5 AND Answer covers only a subset of aspects.
Decision: → Label as: Incomplete Answer (Faithfulness = 1.0, Answer_Relevancy = 0.888, but Answer does not cover all aspects of the query)
[NO ERROR]
If NONE of above:
Decision: → Label as: Correct Answer (NOT applicable)
### STEP 4 — Output Format (MANDATORY)
For each row, output a structured report:
- Error_Label: Incomplete Answer
- Triggered_Rule: [PRIORITY 5] INCOMPLETE ANSWER
- Metrics_Summary: Faithfulness = 1.0, Answer_Relevancy = 0.888, Context_Recall = 0.1, Context_Precision = 0.833
- Evidence: Answer does not cover all aspects of the query.
- Justification: Rule-based explanation: The answer is faithful and relevant, but it does not cover all aspects of the query, making it an incomplete answer.</t>
  </si>
  <si>
    <t>### STEP 1 — Extract Query Intent and Aspects
From the Question:
1. Identify the main intent of the query: Compare static and adaptive AI models for resilience.
2. Identify the number of explicit aspects: 2 (static AI models, adaptive AI models)
### STEP 2 — Verify Context Grounding
From Top_K_Sources:
1. Identify whether each key concept in the Question appears explicitly:
   - "static AI models" appears in Doc [2]
   - "adaptive AI models" appears in Doc [1] and Doc [3]
2. Count:
   - Number of relevant chunks: 4
   - Number of noisy / off-topic chunks: 0
3. Determine if any factual claim in the Answer is NOT grounded in Top_K_Sources:
   - The Answer discusses the ability of adaptive AI models to handle disruptions and maintain performance, which is grounded in Doc [1] and Doc [3].
   - The Answer also discusses the limitations of static AI models, which is grounded in Doc [2].
### STEP 3 — Apply Error Classification Rules (IN ORDER OF PRIORITY)
[PRIORITY 1] HALLUCINATION
Condition: Faithfulness &lt; 0.5 AND Answer contains claims not in Top-K sources.
Decision: → NOT Label as: Hallucination (Faithfulness = 0.917, Answer is grounded in Top-K sources)
[PRIORITY 2] RETRIEVAL FAILURE
Condition: Context_Recall &lt; 0.5 AND NONE of the Top-K chunks contain core concepts.
Decision: → NOT Label as: Retrieval Failure (Context_Recall = 1.0, Top-K chunks contain core concepts)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0.946, Answer is relevant to the question)
[PRIORITY 5] INCOMPLETE ANSWER
Condition: Faithfulness &gt;= 0.5 AND Answer_Relevancy &gt;= 0.5 AND Answer covers only a subset of aspects.
Decision: → Label as: Incomplete Answer (Faithfulness = 0.917, Answer_Relevancy = 0.946, Answer covers both static and adaptive AI models, but the question asks for a comparison)
[NO ERROR]
If NONE of above:
Decision: → Label as: Correct Answer
### STEP 4 — Output Format (MANDATORY)
For each row, output a structured report:
- Error_Label: Incomplete Answer
- Triggered_Rule: [PRIORITY 5] INCOMPLETE ANSWER
- Metrics_Summary: Faithfulness = 0.917, Answer_Relevancy = 0.946, Context_Precision = 1.0, Context_Recall = 1.0
- Evidence: The Answer covers both static and adaptive AI models, but the question asks for a comparison.
- Justification: Rule-based explanation: The Answer is faithful and relevant, but it does not fully address the comparison aspect of the question.</t>
  </si>
  <si>
    <t>### STEP 1 — Extract Query Intent and Aspects
From the Question:
1. Main intent: Identify accuracy levels of AI models in supply chain disruption prediction.
2. Number of explicit aspects: 2 (accuracy levels, AI models in supply chain disruption prediction)
### STEP 2 — Verify Context Grounding
From Top_K_Sources:
1. Key concepts in the Question appear explicitly in Top_K_Sources.
2. Count:
   - Number of relevant chunks: 4
   - Number of noisy / off-topic chunks: 1 (Rank #1 is somewhat off-topic, but still relevant)
3. Determine if any factual claim in the Answer is NOT grounded in Top_K_Sources.
   - The Answer contains claims about the accuracy levels of AI models in supply chain disruption prediction, which are grounded in Top_K_Sources.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0.0 &lt; 0.5, but none of the Top-K chunks contain core concepts is not the case, as Rank #1 and Rank #4 are relevant)
[PRIORITY 3] CONTEXT NOISE
Condition: Context_Recall &gt;= 0.5 AND Context_Precision &lt; 0.5 AND &gt;50% chunks are irrelevant.
Decision: → NOT Label as: Context Noise (Context_Recall = 0.0 &lt; 0.5, so the condition is not met)
[PRIORITY 4] SEMANTIC DRIFT
Condition: Faithfulness &gt;= 0.5 AND Answer_Relevancy &lt; 0.5 (Correct answer, wrong intent).
Decision: → NOT Label as: Semantic Drift (Answer_Relevancy = 0.991 &gt; 0.5)
[PRIORITY 5] INCOMPLETE ANSWER
Condition: Faithfulness &gt;= 0.5 AND Answer_Relevancy &gt;= 0.5 AND Answer covers only a subset of aspects.
Decision: → Label as: Incomplete Answer (Faithfulness = 0.667 &gt; 0.5, Answer_Relevancy = 0.991 &gt; 0.5, but the Answer does not cover all aspects of the Question, specifically the accuracy levels of AI models in supply chain disruption prediction)
[NO ERROR]
If NONE of above:
Decision: → NOT Label as: Correct Answer (since Incomplete Answer was triggered)
### STEP 4 — Output Format (MANDATORY)
For each row, output a structured report:
- Error_Label: Incomplete Answer
- Triggered_Rule: [PRIORITY 5] INCOMPLETE ANSWER
- Metrics_Summary: Faithfulness = 0.667, Answer_Relevancy = 0.991, Context_Precision = 1.0, Context_Recall = 0.0
- Evidence: The Answer does not cover all aspects of the Question, specifically the accuracy levels of AI models in supply chain disruption prediction.
- Justification: Rule-based explanation: The Answer is relevant and faithful, but it does not cover all aspects of the Question, triggering the Incomplete Answer label.</t>
  </si>
  <si>
    <t>### STEP 1 — Extract Query Intent and Aspects
From the Question:
1. Main intent of the query: Identify AI models with the highest predictive performance.
2. Number of explicit aspects: 1 (predictive performance)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0.333, which is less than 0.5, but there are 4 relevant chunks, so &gt;50% chunks are not irrelevant)
[PRIORITY 4] SEMANTIC DRIFT
Condition: Faithfulness &gt;= 0.5 AND Answer_Relevancy &lt; 0.5 (Correct answer, wrong intent).
Decision: → NOT Label as: Semantic Drift (Answer_Relevancy = 0.999, which is greater than 0.5)
[PRIORITY 5] INCOMPLETE ANSWER
Condition: Faithfulness &gt;= 0.5 AND Answer_Relevancy &gt;= 0.5 AND Answer covers only a subset of aspects.
Decision: → Label as: Incomplete Answer (Faithfulness = 1.0, Answer_Relevancy = 0.999, but the Answer covers only a subset of aspects related to predictive performance)
[NO ERROR]
If NONE of above:
Decision: → NOT Label as: Correct Answer (since Incomplete Answer was triggered)
### STEP 4 — Output Format (MANDATORY)
For each row, output a structured report:
- Error_Label: Incomplete Answer
- Triggered_Rule: [PRIORITY 5] INCOMPLETE ANSWER
- Metrics_Summary: Faithfulness = 1.0, Answer_Relevancy = 0.999, Context_Precision = 0.333, Context_Recall = 1.0
- Evidence: The Answer covers only a subset of aspects related to predictive performance.
- Justification: Rule-based explanation: The Answer is relevant and faithful, but it does not cover all aspects related to predictive performance, which is a subset of the query intent.</t>
  </si>
  <si>
    <t>### STEP 1 — Extract Query Intent and Aspects
From the Question:
1. Main intent of the query: Identify the computational costs reported for AI-based models.
2. Number of explicit aspects: 1 (computational costs)
### STEP 2 — Verify Context Grounding
From Top_K_Sources:
1. Key concepts in the Question: computational costs, AI-based models
2. Relevant chunks:
   - Rank #1: mentions AI and cost savings
   - Rank #2: mentions cost analysis and AI
   - Rank #3: mentions AI and cost savings
   - Rank #4: mentions AI and cost estimation
   - Rank #5: mentions AI and cost evaluation
3. Number of relevant chunks: 5
4. Number of noisy / off-topic chunks: 0
5. Factual claims in the Answer:
   - AI-based models can lead to significant cost savings in certain contexts
   - Artificial neural networks and support vector machines outperform established linear regression algorithms, but do not provide specific computational costs
   - Doc [5] does not mention computational costs
6. Grounding in Top_K_Sources:
   - All factual claims are supported by Top_K_Sources
### STEP 3 — Apply Error Classification Rules (IN ORDER OF PRIORITY)
[PRIORITY 1] HALLUCINATION
Condition: Faithfulness &lt; 0.5 AND Answer contains claims not in Top-K sources.
Decision: → NOT Label as: Hallucination (Faithfulness = 0.923)
[PRIORITY 2] RETRIEVAL FAILURE
Condition: Context_Recall &lt; 0.5 AND NONE of the Top-K chunks contain core concepts.
Decision: → NOT Label as: Retrieval Failure (Context_Recall = 0.571)
[PRIORITY 3] CONTEXT NOISE
Condition: Context_Recall &gt;= 0.5 AND Context_Precision &lt; 0.5 AND &gt;50% chunks are irrelevant.
Decision: → NOT Label as: Context Noise (Context_Precision = 0.25, but &gt;50% chunks are not irrelevant)
[PRIORITY 4] SEMANTIC DRIFT
Condition: Faithfulness &gt;= 0.5 AND Answer_Relevancy &lt; 0.5 (Correct answer, wrong intent).
Decision: → NOT Label as: Semantic Drift (Answer_Relevancy = 0.975)
[PRIORITY 5] INCOMPLETE ANSWER
Condition: Faithfulness &gt;= 0.5 AND Answer_Relevancy &gt;= 0.5 AND Answer covers only a subset of aspects.
Decision: → Label as: Incomplete Answer (Faithfulness = 0.923, Answer_Relevancy = 0.975, but the Answer covers only a subset of aspects related to computational costs)
[NO ERROR]
If NONE of above:
Decision: → NOT Label as: Correct Answer (since Incomplete Answer was triggered)
### STEP 4 — Output Format (MANDATORY)
For each row, output a structured report:
- Error_Label: Incomplete Answer
- Triggered_Rule: [PRIORITY 5] INCOMPLETE ANSWER
- Metrics_Summary: Faithfulness = 0.923, Answer_Relevancy = 0.975, Context_Precision = 0.25, Context_Recall = 0.571
- Evidence: The Answer covers only a subset of aspects related to computational costs.
- Justification: Rule-based explanation: The Answer provides some information about computational costs, but it does not cover all aspects related to the query intent.</t>
  </si>
  <si>
    <t>### STEP 1 — Extract Query Intent and Aspects
From the Question:
1. Main intent: Identify real-world case studies supporting AI-driven resilience.
2. Number of explicit aspects: 1 (AI-driven resilience)
### STEP 2 — Verify Context Grounding
From Top_K_Sources:
1. Key concepts in the Question appear explicitly in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0.933)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0.996)
[PRIORITY 5] INCOMPLETE ANSWER
Condition: Faithfulness &gt;= 0.5 AND Answer_Relevancy &gt;= 0.5 AND Answer covers only a subset of aspects.
Decision: → Label as: Incomplete Answer (Faithfulness = 0.933, Answer_Relevancy = 0.996, but the answer covers multiple aspects)
[NO ERROR]
If NONE of above:
Decision: → Label as: Correct Answer
### STEP 4 — Output Format (MANDATORY)
For each row, output a structured report:
- Error_Label: Incomplete Answer
- Triggered_Rule: [PRIORITY 5] INCOMPLETE ANSWER
- Metrics_Summary: Faithfulness: 0.933, Answer_Relevancy: 0.996, Context_Precision: 1.0, Context_Recall: 0.833
- Evidence: The answer covers multiple aspects, including several real-world case studies.
- Justification: Rule-based explanation: The answer is faithful and relevant, but it covers more than one aspect, which is not explicitly mentioned in the question.</t>
  </si>
  <si>
    <t>### STEP 1 — Extract Query Intent and Aspects
From the Question:
1. Main intent of the query: Identify improvements reported after AI integration.
2. Number of explicit aspects: 1 (improvements)
### STEP 2 — Verify Context Grounding
From Top_K_Sources:
1. Key concepts in the Question: "improvements", "AI integration"
2. Relevant chunks:
   - Rank #3: "a significant 25 improvement in component tracking accuracy", "a 30 reduction in inventory management errors", "a remarkable 40 increase in the ability to predict stockouts" (all relevant)
   - Rank #4: "a 4% increase in the health index of employees", "a 6% increase in enterprise management efficiency" (all relevant)
   - Rank #5: "AI also improves customer service through real-time tracking and chatbots" (relevant)
3. Noisy / off-topic chunks:
   - Rank #1: "semantic analysis of blockchain intelligence" (not relevant)
   - Rank #2: "application of integrated rapid detection technologies" (not directly relevant to improvements after AI integration)
4. Factual claims in the Answer not grounded in Top_K_Sources: None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0.875)
[PRIORITY 3] CONTEXT NOISE
Condition: Context_Recall &gt;= 0.5 AND Context_Precision &lt; 0.5 AND &gt;50% chunks are irrelevant.
Decision: → NOT Label as: Context Noise (Context_Precision = 0.95)
[PRIORITY 4] SEMANTIC DRIFT
Condition: Faithfulness &gt;= 0.5 AND Answer_Relevancy &lt; 0.5 (Correct answer, wrong intent).
Decision: → NOT Label as: Semantic Drift (Answer_Relevancy = 1.0)
[PRIORITY 5] INCOMPLETE ANSWER
Condition: Faithfulness &gt;= 0.5 AND Answer_Relevancy &gt;= 0.5 AND Answer covers only a subset of aspects.
Decision: → Label as: Incomplete Answer (Answer covers multiple aspects, but not all)
[NO ERROR]
If NONE of above:
Decision: → Label as: Correct Answer
### STEP 4 — Output Format (MANDATORY)
For each row, output a structured report:
- Error_Label: Incomplete Answer
- Triggered_Rule: [PRIORITY 5] INCOMPLETE ANSWER
- Metrics_Summary: Faithfulness: 1.0, Answer_Relevancy: 1.0, Context_Precision: 0.95, Context_Recall: 0.875
- Evidence: Answer covers multiple aspects, but not all.
- Justification: Rule-based explanation: The answer covers several aspects of improvements after AI integration, but not all.</t>
  </si>
  <si>
    <t>### STEP 1 — Extract Query Intent and Aspects
From the Question:
1. Main intent of the query: Identify empirically validated data modalities.
2. Number of explicit aspects: 1 (data modalities)
### STEP 2 — Verify Context Grounding
From Top_K_Sources:
1. Key concepts in the Question appear explicitly in Top_K_Sources:
   - "data modalities"
   - "empirically validated"
2. Count:
   - Number of relevant chunks: 4
   - Number of noisy / off-topic chunks: 0
3. Determine if any factual claim in the Answer is NOT grounded in Top_K_Sources:
   - Answer claims that data monetisation for supply chain security, cost-competitiveness, resilience, and sustainability is empirically validated.
   - This claim is grounded in Top_K_Sources (Doc [1] and Doc [2]).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and Context_Recall = 1.0)
[PRIORITY 4] SEMANTIC DRIFT
Condition: Faithfulness &gt;= 0.5 AND Answer_Relevancy &lt; 0.5 (Correct answer, wrong intent).
Decision: → NOT Label as: Semantic Drift (Answer_Relevancy = 0.951)
[PRIORITY 5] INCOMPLETE ANSWER
Condition: Faithfulness &gt;= 0.5 AND Answer_Relevancy &gt;= 0.5 AND Answer covers only a subset of aspects.
Decision: → Label as: Incomplete Answer (Faithfulness = 1.0, Answer_Relevancy = 0.951, but Answer covers multiple aspects)
[NO ERROR]
If NONE of above:
Decision: → Label as: Correct Answer (since none of the above conditions are met)
### STEP 4 — Output Format (MANDATORY)
For each row, output a structured report:
- Error_Label: Incomplete Answer
- Triggered_Rule: [PRIORITY 5] INCOMPLETE ANSWER
- Metrics_Summary: Faithfulness = 1.0, Answer_Relevancy = 0.951, Context_Precision = 1.0, Context_Recall = 1.0
- Evidence: Answer covers multiple aspects, including data monetisation for supply chain security, cost-competitiveness, resilience, and sustainability.
- Justification: Rule-based explanation: The answer is correct in terms of faithfulness and answer relevancy, but it covers multiple aspects, which is not a complete answer to the question.</t>
  </si>
  <si>
    <t>### STEP 1 — Extract Query Intent and Aspects
- Main intent of the query: To understand the evolution of AI application in supply chain risk management over time.
- Number of explicit aspects: 2 (AI application, supply chain risk management)
### STEP 2 — Verify Context Grounding
- Key concepts in the Question: AI, supply chain risk management, evolution over time
- Each key concept appears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0.875)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0.901)
[PRIORITY 5] INCOMPLETE ANSWER
Condition: Faithfulness &gt;= 0.5 AND Answer_Relevancy &gt;= 0.5 AND Answer covers only a subset of aspects.
Decision: → Label as: Incomplete Answer (Answer covers the evolution of AI application in supply chain risk management, but does not provide a comprehensive overview of the entire topic)
[NO ERROR]
If NONE of above:
Decision: → Label as: Correct Answer (Answer is accurate and relevant to the query)
### STEP 4 — Output Format (MANDATORY)
- Error_Label: Incomplete Answer
- Triggered_Rule: [PRIORITY 5] INCOMPLETE ANSWER
- Metrics_Summary: Faithfulness: 1.0, Answer_Relevancy: 0.901, Context_Precision: 1.0, Context_Recall: 0.875
- Evidence: The answer provides a detailed overview of the evolution of AI application in supply chain risk management, but does not cover the entire topic comprehensively.
- Justification: Rule-based explanation: The answer is accurate and relevant, but does not provide a complete overview of the topic, thus triggering the Incomplete Answer rule.</t>
  </si>
  <si>
    <t>### STEP 1 — Extract Query Intent and Aspects
From the Question:
1. Main intent of the query: Identify underexplored aspects of supply chain risk in current AI research.
2. Number of explicit aspects: 1 (supply chain risk)
### STEP 2 — Verify Context Grounding
From Top_K_Sources:
1. Key concepts in the Question appear explicitly in Top_K_Sources:
   - Supply chain risk (Rank #1, Rank #2, Rank #3)
   - AI research (Rank #1, Rank #2, Rank #3)
2. Count:
   - Number of relevant chunks: 3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0.987)
[PRIORITY 5] INCOMPLETE ANSWER
Condition: Faithfulness &gt;= 0.5 AND Answer_Relevancy &gt;= 0.5 AND Answer covers only a subset of aspects.
Decision: → Label as: Incomplete Answer (Faithfulness = 1.0, Answer_Relevancy = 0.987, Answer covers multiple aspects of supply chain risk)
[NO ERROR]
If NONE of above:
Decision: → Label as: Correct Answer
### STEP 4 — Output Format (MANDATORY)
For each row, output a structured report:
- Error_Label: Incomplete Answer
- Triggered_Rule: [PRIORITY 5] INCOMPLETE ANSWER
- Metrics_Summary: Faithfulness = 1.0, Answer_Relevancy = 0.987, Context_Precision = 1.0, Context_Recall = 1.0
- Evidence: The Answer covers multiple aspects of supply chain risk, but the question asks for underexplored aspects.
- Justification: The Answer is faithful and relevant, but it does not fully address the question's intent, which is to identify underexplored aspects of supply chain risk.</t>
  </si>
  <si>
    <t>### STEP 1 — Extract Query Intent and Aspects
- Main intent of the query: Identify gaps in AI research for small and medium-sized supply chains.
- Number of explicit aspects: 2 (small and medium-sized supply chains, AI research)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0.733, Answer is grounded in Top_K_Sources)
[PRIORITY 2] RETRIEVAL FAILURE
Condition: Context_Recall &lt; 0.5 AND NONE of the Top-K chunks contain core concepts.
Decision: → NOT Label as: Retrieval Failure (Context_Recall = 0.714, Top_K_Sources contain core concepts)
[PRIORITY 3] CONTEXT NOISE
Condition: Context_Recall &gt;= 0.5 AND Context_Precision &lt; 0.5 AND &gt;50% chunks are irrelevant.
Decision: → NOT Label as: Context Noise (Context_Precision = 0.833, &gt;50% chunks are relevant)
[PRIORITY 4] SEMANTIC DRIFT
Condition: Faithfulness &gt;= 0.5 AND Answer_Relevancy &lt; 0.5 (Correct answer, wrong intent).
Decision: → NOT Label as: Semantic Drift (Answer_Relevancy = 0.947, Answer is highly relevant)
[PRIORITY 5] INCOMPLETE ANSWER
Condition: Faithfulness &gt;= 0.5 AND Answer_Relevancy &gt;= 0.5 AND Answer covers only a subset of aspects.
Decision: → Label as: Incomplete Answer (Faithfulness = 0.733, Answer covers the main intent but may not be comprehensive)
[NO ERROR]
If NONE of above:
Decision: → Label as: Correct Answer (Answer is highly relevant and covers the main intent)
### STEP 4 — Output Format (MANDATORY)
- Error_Label: Incomplete Answer
- Triggered_Rule: PRIORITY 5 &amp; Incomplete Answer
- Metrics_Summary: Faithfulness = 0.733, Answer_Relevancy = 0.947, Context_Precision = 0.833, Context_Recall = 0.714
- Evidence: Answer covers the main intent but may not be comprehensive.
- Justification: Rule-based explanation: The answer is highly relevant and covers the main intent, but it may not be comprehensive, as indicated by the faithfulness score of 0.733.</t>
  </si>
  <si>
    <t>### STEP 1 — Extract Query Intent and Aspects
From the Question:
1. Main intent: Identify risks not captured by current AI frameworks.
2. Number of explicit aspects: 1 (AI frameworks)
### STEP 2 — Verify Context Grounding
From Top_K_Sources:
1. Key concepts in the Question appear explicitly in Top_K_Sources.
2. Count:
   - Number of relevant chunks: 3
   - Number of noisy / off-topic chunks: 0
3. Determine if any factual claim in the Answer is NOT grounded in Top_K_Sources:
   - Answer contains claims grounded in Top_K_Sources.
### STEP 3 — Apply Error Classification Rules (IN ORDER OF PRIORITY)
[PRIORITY 1] HALLUCINATION
Condition: Faithfulness &lt; 0.5 AND Answer contains claims not in Top-K sources.
Decision: → NOT Label as: Hallucination (Faithfulness = 0.909)
[PRIORITY 2] RETRIEVAL FAILURE
Condition: Context_Recall &lt; 0.5 AND NONE of the Top-K chunks contain core concepts.
Decision: → NOT Label as: Retrieval Failure (Context_Recall = 0.8)
[PRIORITY 3] CONTEXT NOISE
Condition: Context_Recall &gt;= 0.5 AND Context_Precision &lt; 0.5 AND &gt;50% chunks are irrelevant.
Decision: → NOT Label as: Context Noise (Context_Precision = 0.833)
[PRIORITY 4] SEMANTIC DRIFT
Condition: Faithfulness &gt;= 0.5 AND Answer_Relevancy &lt; 0.5 (Correct answer, wrong intent).
Decision: → NOT Label as: Semantic Drift (Answer_Relevancy = 0.61)
[PRIORITY 5] INCOMPLETE ANSWER
Condition: Faithfulness &gt;= 0.5 AND Answer_Relevancy &gt;= 0.5 AND Answer covers only a subset of aspects.
Decision: → Label as: Incomplete Answer (Faithfulness = 0.909, Answer_Relevancy = 0.61)
[NO ERROR]
If NONE of above:
Decision: → Label as: Correct Answer
### STEP 4 — Output Format (MANDATORY)
For each row, output a structured report:
- Error_Label: Incomplete Answer
- Triggered_Rule: [PRIORITY 5] INCOMPLETE ANSWER
- Metrics_Summary: Faithfulness: 0.909, Answer_Relevancy: 0.61, Context_Precision: 0.833, Context_Recall: 0.8
- Evidence: Answer covers only a subset of aspects.
- Justification: Rule-based explanation: The answer is faithful but relevant only partially, indicating an incomplete answer.</t>
  </si>
  <si>
    <t>### STEP 1 — Extract Query Intent and Aspects
- Main intent of the query: Identify industries rarely studied in AI-based supply chain resilience.
- Number of explicit aspects: 2 (industries, AI-based supply chain resilience)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0.875)
[PRIORITY 2] RETRIEVAL FAILURE
Condition: Context_Recall &lt; 0.5 AND NONE of the Top-K chunks contain core concepts.
Decision: → NOT Label as: Retrieval Failure (Context_Recall = 0.4, but Top-K chunks contain core concepts)
[PRIORITY 3] CONTEXT NOISE
Condition: Context_Recall &gt;= 0.5 AND Context_Precision &lt; 0.5 AND &gt;50% chunks are irrelevant.
Decision: → NOT Label as: Context Noise (Context_Recall = 0.4, Context_Precision = 0.583, and less than 50% chunks are irrelevant)
[PRIORITY 4] SEMANTIC DRIFT
Condition: Faithfulness &gt;= 0.5 AND Answer_Relevancy &lt; 0.5 (Correct answer, wrong intent).
Decision: → NOT Label as: Semantic Drift (Answer_Relevancy = 1.0)
[PRIORITY 5] INCOMPLETE ANSWER
Condition: Faithfulness &gt;= 0.5 AND Answer_Relevancy &gt;= 0.5 AND Answer covers only a subset of aspects.
Decision: → Label as: Incomplete Answer (Faithfulness = 0.875, Answer_Relevancy = 1.0, and the Answer does not cover all aspects of the query)
[NO ERROR]
If NONE of above:
Decision: → NOT Label as: Correct Answer (since Incomplete Answer was triggered)
### STEP 4 — Output Format (MANDATORY)
- Error_Label: Incomplete Answer
- Triggered_Rule: PRIORITY 5 &amp; Incomplete Answer
- Metrics_Summary: Faithfulness = 0.875, Answer_Relevancy = 1.0, Context_Precision = 0.583, Context_Recall = 0.4
- Evidence: The Answer does not cover all aspects of the query, such as identifying specific industries that are rarely studied in AI-based supply chain resilience.
- Justification: Rule-based explanation: The Answer is faithful and relevant, but it does not cover all aspects of the query, triggering the Incomplete Answer rule.</t>
  </si>
  <si>
    <t>### STEP 1 — Extract Query Intent and Aspects
From the Question:
1. Main intent of the query: Identify resilience strategies that lack AI-based optimization.
2. Number of explicit aspects: 1 (resilience strategies)
### STEP 2 — Verify Context Grounding
From Top_K_Sources:
1. Key concepts in the Question appear explicitly in Top_K_Sources:
   - "resilience strategies"
   - "AI-based optimization"
2. Count:
   - Number of relevant chunks: 3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0.583)
[PRIORITY 4] SEMANTIC DRIFT
Condition: Faithfulness &gt;= 0.5 AND Answer_Relevancy &lt; 0.5 (Correct answer, wrong intent).
Decision: → NOT Label as: Semantic Drift (Answer_Relevancy = 0.529)
[PRIORITY 5] INCOMPLETE ANSWER
Condition: Faithfulness &gt;= 0.5 AND Answer_Relevancy &gt;= 0.5 AND Answer covers only a subset of aspects.
Decision: → Label as: Incomplete Answer (Faithfulness = 1.0, Answer_Relevancy = 0.529, Answer covers the main intent but may not cover all aspects)
[NO ERROR]
If NONE of above:
Decision: → NOT Label as: Correct Answer (Answer_Relevancy = 0.529)
### STEP 4 — Output Format (MANDATORY)
For each row, output a structured report:
- Error_Label: Incomplete Answer
- Triggered_Rule: [PRIORITY 5] INCOMPLETE ANSWER
- Metrics_Summary: Faithfulness: 1.0, Answer_Relevancy: 0.529, Context_Precision: 0.583, Context_Recall: 1.0
- Evidence: The Answer covers the main intent but may not cover all aspects.
- Justification: Rule-based explanation: The Answer has high faithfulness and answer relevancy, but it may not cover all aspects of the question.</t>
  </si>
  <si>
    <t>### STEP 1 — Extract Query Intent and Aspects
From the Question:
1. Identify the main intent of the query.
   - Main intent: Compare AI approaches for short-term versus long-term supply chain resilience.
2. Identify the number of explicit aspects.
   - Explicit aspects: AI approaches, short-term supply chain resilience, long-term supply chain resilience.
### STEP 2 — Verify Context Grounding
From Top_K_Sources:
1. Identify whether each key concept in the Question appears explicitly.
   - Key concepts: AI approaches, short-term supply chain resilience, long-term supply chain resilience.
   - Explicit appearance: Yes, all key concepts appear in Top_K_Sources.
2. Count:
   - Number of relevant chunks: 3
   - Number of noisy / off-topic chunks: 0
3. Determine if any factual claim in the Answer is NOT grounded in Top_K_Sources.
   - Factual claims: The comparison of AI approaches for short-term versus long-term supply chain resilience involves examining the correlation between AI technology and supply chain resilience.
   - Grounding: Yes, all factual claims are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0.889)
[PRIORITY 5] INCOMPLETE ANSWER
Condition: Faithfulness &gt;= 0.5 AND Answer_Relevancy &gt;= 0.5 AND Answer covers only a subset of aspects.
Decision: → Label as: Incomplete Answer (Faithfulness = 1.0, Answer_Relevancy = 0.889, Answer covers all aspects)
[NO ERROR]
If NONE of above:
Decision: → Label as: Correct Answer
### STEP 4 — Output Format (MANDATORY)
For each row, output a structured report:
- Error_Label: Incomplete Answer
- Triggered_Rule: [PRIORITY 5] INCOMPLETE ANSWER
- Metrics_Summary: Faithfulness = 1.0, Answer_Relevancy = 0.889, Context_Precision = 1.0, Context_Recall = 1.0
- Evidence: The answer covers all aspects, but the question asks for a comparison of AI approaches for short-term versus long-term supply chain resilience.
- Justification: The answer is faithful and relevant, but it does not cover all aspects of the question, which is a requirement for a complete answer.</t>
  </si>
  <si>
    <t>### STEP 1 — Extract Query Intent and Aspects
From the Question:
1. Identify the main intent of the query: Compare static and adaptive AI models for resilience.
2. Identify the number of explicit aspects: 2 (static and adaptive AI models)
### STEP 2 — Verify Context Grounding
From Top_K_Sources:
1. Identify whether each key concept in the Question appears explicitly:
   - Static AI models: Yes (Rank #3)
   - Adaptive AI models: Yes (Rank #1)
   - Resilience: Yes (Rank #1)
2. Count:
   - Number of relevant chunks: 2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0.833)
[PRIORITY 4] SEMANTIC DRIFT
Condition: Faithfulness &gt;= 0.5 AND Answer_Relevancy &lt; 0.5 (Correct answer, wrong intent).
Decision: → NOT Label as: Semantic Drift (Answer_Relevancy = 0.741)
[PRIORITY 5] INCOMPLETE ANSWER
Condition: Faithfulness &gt;= 0.5 AND Answer_Relevancy &gt;= 0.5 AND Answer covers only a subset of aspects.
Decision: → Label as: Incomplete Answer (Answer covers both static and adaptive AI models, but the Answer does not fully address the research gaps mentioned in the question)
[NO ERROR]
If NONE of above:
Decision: → Label as: Correct Answer
### STEP 4 — Output Format (MANDATORY)
For each row, output a structured report:
- Error_Label: Incomplete Answer
- Triggered_Rule: [PRIORITY 5] INCOMPLETE ANSWER
- Metrics_Summary: Faithfulness: 1.0, Answer_Relevancy: 0.741, Context_Precision: 0.833, Context_Recall: 1.0
- Evidence: The Answer covers both static and adaptive AI models, but the Answer does not fully address the research gaps mentioned in the question.
- Justification: Rule-based explanation: The Answer meets the criteria for Faithfulness and Answer_Relevancy, but it does not cover all aspects of the question, specifically the research gaps mentioned.</t>
  </si>
  <si>
    <t>### STEP 1 — Extract Query Intent and Aspects
From the Question:
1. Main intent of the query: Identify changes in evaluation metrics across decades.
2. Number of explicit aspects: 1 (evaluation metrics)
### STEP 2 — Verify Context Grounding
From Top_K_Sources:
1. Key concepts in the Question: evaluation metrics, decades
2. Relevant chunks:
   - Rank #1: mentions "different patterns of technological adoption and their impacts might be seen in the assessed cities across decades"
   - Rank #2: mentions "different patterns of technological adoption and their impacts might be seen in the assessed cities across decades"
   - Rank #3: mentions "digital transformation maturity" but not directly related to evaluation metrics
   - Rank #4: mentions "forecasting sales" but not directly related to evaluation metrics
   - Rank #5: mentions "digital supply chain management" but not directly related to evaluation metrics
3. Noisy / off-topic chunks: None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0.625)
[PRIORITY 2] RETRIEVAL FAILURE
Condition: Context_Recall &lt; 0.5 AND NONE of the Top-K chunks contain core concepts.
Decision: → NOT Label as: Retrieval Failure (Context_Recall = 0.75)
[PRIORITY 3] CONTEXT NOISE
Condition: Context_Recall &gt;= 0.5 AND Context_Precision &lt; 0.5 AND &gt;50% chunks are irrelevant.
Decision: → NOT Label as: Context Noise (Context_Precision = 0.589)
[PRIORITY 4] SEMANTIC DRIFT
Condition: Faithfulness &gt;= 0.5 AND Answer_Relevancy &lt; 0.5 (Correct answer, wrong intent).
Decision: → NOT Label as: Semantic Drift (Answer_Relevancy = 0.902)
[PRIORITY 5] INCOMPLETE ANSWER
Condition: Faithfulness &gt;= 0.5 AND Answer_Relevancy &gt;= 0.5 AND Answer covers only a subset of aspects.
Decision: → Label as: Incomplete Answer (Faithfulness = 0.625, Answer_Relevancy = 0.902, but Answer does not cover all aspects of the question)
[NO ERROR]
If NONE of above:
Decision: → Label as: Correct Answer
### STEP 4 — Output Format (MANDATORY)
For each row, output a structured report:
- Error_Label: Incomplete Answer
- Triggered_Rule: [PRIORITY 5] INCOMPLETE ANSWER
- Metrics_Summary: Faithfulness = 0.625, Answer_Relevancy = 0.902, Context_Precision = 0.589, Context_Recall = 0.75
- Evidence: Answer does not cover all aspects of the question.
- Justification: Rule-based explanation: The answer is relevant and faithful, but it does not cover all aspects of the question, such as the specific changes in evaluation metrics across decades.</t>
  </si>
  <si>
    <t>### STEP 1 — Extract Query Intent and Aspects
From the Question:
1. Main intent of the query: Identify gaps in AI research for small and medium-sized supply chains.
2. Number of explicit aspects: 2 (AI research, small and medium-sized supply chains)
### STEP 2 — Verify Context Grounding
From Top_K_Sources:
1. Key concepts in the Question appear explicitly in Top_K_Sources:
   - AI
   - Supply chains
   - Small and medium-sized enterprises (SMEs)
2. Count:
   - Number of relevant chunks: 4
   - Number of noisy / off-topic chunks: 1 (Rank #1 Chunk is somewhat off-topic)
3. Determine if any factual claim in the Answer is NOT grounded in Top_K_Sources:
   - The Answer mentions "transformative potential of AI in fostering sustainability and resilience within supply chain management for SMEs" which is supported by Top_K_Sources.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0.167 &lt; 0.5, but Top_K_Sources contain core concepts)
[PRIORITY 3] CONTEXT NOISE
Condition: Context_Recall &gt;= 0.5 AND Context_Precision &lt; 0.5 AND &gt;50% chunks are irrelevant.
Decision: → NOT Label as: Context Noise (Context_Recall = 0.167 &lt; 0.5, so Context_Recall &gt;= 0.5 is not met)
[PRIORITY 4] SEMANTIC DRIFT
Condition: Faithfulness &gt;= 0.5 AND Answer_Relevancy &lt; 0.5 (Correct answer, wrong intent).
Decision: → NOT Label as: Semantic Drift (Answer_Relevancy = 0.947 &gt; 0.5)
[PRIORITY 5] INCOMPLETE ANSWER
Condition: Faithfulness &gt;= 0.5 AND Answer_Relevancy &gt;= 0.5 AND Answer covers only a subset of aspects.
Decision: → Label as: Incomplete Answer (Faithfulness = 0.667 &gt; 0.5, Answer_Relevancy = 0.947 &gt; 0.5, but the Answer does not cover all aspects of the query)
[NO ERROR]
If NONE of above:
Decision: → NOT Label as: Correct Answer (since Incomplete Answer is triggered)
### STEP 4 — Output Format (MANDATORY)
For each row, output a structured report:
- Error_Label: Incomplete Answer
- Triggered_Rule: [PRIORITY 5] INCOMPLETE ANSWER
- Metrics_Summary: Faithfulness = 0.667, Answer_Relevancy = 0.947, Context_Recall = 0.167
- Evidence: The Answer does not cover all aspects of the query.
- Justification: Rule-based explanation: The Answer is relevant and faithful, but it does not cover all aspects of the query, so it is classified as an Incomplete Answer.</t>
  </si>
  <si>
    <t>### STEP 1 — Extract Query Intent and Aspects
- Main intent of the query: Identify risks not captured by current AI frameworks.
- Number of explicit aspects: 1 (risks not captured by current AI frameworks)
### STEP 2 — Verify Context Grounding
- Key concepts in the Question: risks, current AI frameworks
- Top_K_Sources:
  - Rank #1: security of smart manufacturing systems (contains "security" and "vulnerabilities")
  - Rank #2: industrial large models as carriers for malicious payloads (contains "supply chain" and "cyberattacks")
  - Rank #3: aienhanced software architecture assessment for cyberresilient industrial automation systems (contains "ransomware" and "adversarial AI")
  - Rank #4: blockchaindriven double feedback fuzzy neural network for enhanced supply chain financial risk management (contains "supply chain" and "financial risk")
  - Rank #5: how rfid technology enables the supply chain and retail 40 a survey with italian stakeholders (contains "supply chain" but not directly related to the query)
- Number of relevant chunks: 3 (Rank #2, Rank #3, Rank #4)
- Number of noisy / off-topic chunks: 2 (Rank #1, Rank #5)
- Factual claims in the Answer: not grounded in Top_K_Sources (Rank #1 is not directly related to the query)
### STEP 3 — Apply Error Classification Rules (IN ORDER OF PRIORITY)
[PRIORITY 1] HALLUCINATION
Condition: Faithfulness &lt; 0.5 AND Answer contains claims not in Top-K sources.
Decision: → NOT Label as: Hallucination (Faithfulness = 0.75, Answer contains claims in Top-K sources)
[PRIORITY 2] RETRIEVAL FAILURE
Condition: Context_Recall &lt; 0.5 AND NONE of the Top-K chunks contain core concepts.
Decision: → NOT Label as: Retrieval Failure (Context_Recall = 0.75, Top-K chunks contain core concepts)
[PRIORITY 3] CONTEXT NOISE
Condition: Context_Recall &gt;= 0.5 AND Context_Precision &lt; 0.5 AND &gt;50% chunks are irrelevant.
Decision: → NOT Label as: Context Noise (Context_Precision = 1.0, &lt;50% chunks are irrelevant)
[PRIORITY 4] SEMANTIC DRIFT
Condition: Faithfulness &gt;= 0.5 AND Answer_Relevancy &lt; 0.5 (Correct answer, wrong intent).
Decision: → NOT Label as: Semantic Drift (Answer_Relevancy = 0.996, correct answer and intent)
[PRIORITY 5] INCOMPLETE ANSWER
Condition: Faithfulness &gt;= 0.5 AND Answer_Relevancy &gt;= 0.5 AND Answer covers only a subset of aspects.
Decision: → Label as: Incomplete Answer (Faithfulness = 0.75, Answer_Relevancy = 0.996, Answer covers a subset of aspects)
[NO ERROR]
If NONE of above:
Decision: → Label as: Correct Answer
### STEP 4 — Output Format (MANDATORY)
- Error_Label: Incomplete Answer
- Triggered_Rule: [PRIORITY 5] Incomplete Answer
- Metrics_Summary: Faithfulness = 0.75, Answer_Relevancy = 0.996, Context_Precision = 1.0, Context_Recall = 0.75
- Evidence: Answer covers a subset of aspects, not all risks are mentioned.
- Justification: Rule-based explanation: The answer is relevant and faithful, but it covers only a subset of aspects, not all risks are mentioned.</t>
  </si>
  <si>
    <t>### STEP 1 — Extract Query Intent and Aspects
From the Question:
1. Main intent of the query: Identify gaps in explainability for AI-driven risk prediction models.
2. Number of explicit aspects: 2 (explainability, AI-driven risk prediction models)
### STEP 2 — Verify Context Grounding
From Top_K_Sources:
1. Key concepts in the Question appear explicitly:
   - Explainability: Yes (appears in Rank #4 and Rank #5)
   - AI-driven risk prediction models: Yes (appears in Rank #4 and Rank #5)
2. Count:
   - Number of relevant chunks: 4 (Rank #1, Rank #2, Rank #3, Rank #4)
   - Number of noisy / off-topic chunks: 0
3. Determine if any factual claim in the Answer is NOT grounded in Top_K_Sources:
   - The Answer mentions gaps in explainability for AI-driven risk prediction models, which is grounded in Rank #4 and Rank #5.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0.667)
[PRIORITY 3] CONTEXT NOISE
Condition: Context_Recall &gt;= 0.5 AND Context_Precision &lt; 0.5 AND &gt;50% chunks are irrelevant.
Decision: → NOT APPLICABLE (Context_Precision = 0.804)
[PRIORITY 4] SEMANTIC DRIFT
Condition: Faithfulness &gt;= 0.5 AND Answer_Relevancy &lt; 0.5 (Correct answer, wrong intent).
Decision: → NOT APPLICABLE (Answer_Relevancy = 0.905)
[PRIORITY 5] INCOMPLETE ANSWER
Condition: Faithfulness &gt;= 0.5 AND Answer_Relevancy &gt;= 0.5 AND Answer covers only a subset of aspects.
Decision: → APPLICABLE (Faithfulness = 0.5, Answer_Relevancy = 0.905, but the Answer does not cover all aspects of the query)
[NO ERROR]
If NONE of above:
Decision: → NOT APPLICABLE (since PRIORITY 5 is applicable)
### STEP 4 — Output Format (MANDATORY)
For each row, output a structured report:
- Error_Label: Incomplete Answer
- Triggered_Rule: PRIORITY 5: Incomplete Answer
- Metrics_Summary: Faithfulness: 0.5, Answer_Relevancy: 0.905, Context_Precision: 0.804, Context_Recall: 0.667
- Evidence: The Answer does not cover all aspects of the query, specifically the underutilization of machine learning techniques in biofuel supply chain networks.
- Justification: Rule-based explanation: The Answer is relevant but incomplete, as it does not cover all aspects of the query, which is a characteristic of an Incomplete Answer.</t>
  </si>
  <si>
    <t>### STEP 1 — Extract Query Intent and Aspects
From the Question:
1. Main intent of the query: Compare AI models used for disruption prediction versus resilience optimization.
2. Number of explicit aspects: 2 (disruption prediction, resilience optimization)
### STEP 2 — Verify Context Grounding
From Top_K_Sources:
1. Key concepts in the Question: AI models, disruption prediction, resilience optimization
2. Relevant chunks:
   - Rank #2: operational and supply chain resilience, use of advanced methodologies like big data ai and highlevel architecture hla federated simulations
   - Rank #4: sustainable circular supply chain network design model for electric vehicle battery production using internet of things and big data
3. Noisy / off-topic chunks:
   - Rank #1: deteriorationaware collaborative energyefficient batch scheduling and maintenance for unrelated parallel machines based on improved moead
   - Rank #3: comparative analysis between a mixed integer linear programming milp model and a singleagent artificial intelligence ai model trained with deep reinforcement learning drl
   - Rank #5: deep learning enhanced mixed integer optimization learning to reduce model dimensionality
4. Factual claims in the Answer not grounded in Top_K_Sources: None
### STEP 3 — Apply Error Classification Rules (IN ORDER OF PRIORITY)
[PRIORITY 1] HALLUCINATION
Condition: Faithfulness &lt; 0.5 AND Answer contains claims not in Top-K sources.
Decision: → NOT Label as: Hallucination (Faithfulness = 0.5)
[PRIORITY 2] RETRIEVAL FAILURE
Condition: Context_Recall &lt; 0.5 AND NONE of the Top-K chunks contain core concepts.
Decision: → NOT Label as: Retrieval Failure (Context_Recall = 0.6)
[PRIORITY 3] CONTEXT NOISE
Condition: Context_Recall &gt;= 0.5 AND Context_Precision &lt; 0.5 AND &gt;50% chunks are irrelevant.
Decision: → NOT Label as: Context Noise (Context_Precision = 0.45, but &gt;50% chunks are not irrelevant)
[PRIORITY 4] SEMANTIC DRIFT
Condition: Faithfulness &gt;= 0.5 AND Answer_Relevancy &lt; 0.5 (Correct answer, wrong intent).
Decision: → NOT Label as: Semantic Drift (Answer_Relevancy = 0.693)
[PRIORITY 5] INCOMPLETE ANSWER
Condition: Faithfulness &gt;= 0.5 AND Answer_Relevancy &gt;= 0.5 AND Answer covers only a subset of aspects.
Decision: → Label as: Incomplete Answer (Faithfulness = 0.5, Answer_Relevancy = 0.693, but the answer covers only a subset of aspects related to AI models)
[NO ERROR]
If NONE of above:
Decision: → NOT Label as: Correct Answer (some aspects are not covered)
### STEP 4 — Output Format (MANDATORY)
For each row, output a structured report:
- Error_Label: Incomplete Answer
- Triggered_Rule: [PRIORITY 5] INCOMPLETE ANSWER
- Metrics_Summary: Faithfulness = 0.5, Answer_Relevancy = 0.693, Context_Precision = 0.45, Context_Recall = 0.6
- Evidence: The answer covers only a subset of aspects related to AI models.
- Justification: Rule-based explanation: The answer is relevant but incomplete, covering only a subset of aspects related to AI models.</t>
  </si>
  <si>
    <t>### STEP 1 — Extract Query Intent and Aspects
From the Question:
1. Main intent of the query: Compare performance differences between traditional ML and deep learning models.
2. Number of explicit aspects: 2 (traditional ML, deep learning models)
### STEP 2 — Verify Context Grounding
From Top_K_Sources:
1. Key concepts in the Question appear explicitly in Top_K_Sources:
   - "traditional ML" appears in Rank #2
   - "deep learning models" appears in Rank #1
2. Count:
   - Number of relevant chunks: 2 (Rank #1, Rank #2)
   - Number of noisy / off-topic chunks: 3 (Rank #3, Rank #4, Rank #5)
3. Determine if any factual claim in the Answer is NOT grounded in Top_K_Sources:
   - The Answer mentions "timeliness, class separability, and feature variability" which is present in Rank #2.
   - The Answer mentions "real-time detection architecture" which is not explicitly mentioned in Top_K_Sources, but it is a plausible inference from Rank #2.
### STEP 3 — Apply Error Classification Rules (IN ORDER OF PRIORITY)
[PRIORITY 1] HALLUCINATION
Condition: Faithfulness &lt; 0.5 AND Answer contains claims not in Top-K sources.
Decision: → NOT Label as: Hallucination (Faithfulness = 0.667, Answer contains plausible inferences from Top_K_Sources)
[PRIORITY 2] RETRIEVAL FAILURE
Condition: Context_Recall &lt; 0.5 AND NONE of the Top-K chunks contain core concepts.
Decision: → NOT Label as: Retrieval Failure (Context_Recall = 1.0, Rank #1 and Rank #2 contain core concepts)
[PRIORITY 3] CONTEXT NOISE
Condition: Context_Recall &gt;= 0.5 AND Context_Precision &lt; 0.5 AND &gt;50% chunks are irrelevant.
Decision: → NOT Label as: Context Noise (Context_Precision = 1.0, Context_Recall = 1.0, only 3 out of 5 chunks are irrelevant)
[PRIORITY 4] SEMANTIC DRIFT
Condition: Faithfulness &gt;= 0.5 AND Answer_Relevancy &lt; 0.5 (Correct answer, wrong intent).
Decision: → NOT Label as: Semantic Drift (Answer_Relevancy = 0.754, the Answer is relevant to the Question)
[PRIORITY 5] INCOMPLETE ANSWER
Condition: Faithfulness &gt;= 0.5 AND Answer_Relevancy &gt;= 0.5 AND Answer covers only a subset of aspects.
Decision: → Label as: Incomplete Answer (Faithfulness = 0.667, Answer_Relevancy = 0.754, the Answer covers only a subset of aspects related to performance differences)
[NO ERROR]
If NONE of above:
Decision: → Label as: Correct Answer
### STEP 4 — Output Format (MANDATORY)
For each row, output a structured report:
- Error_Label: Incomplete Answer
- Triggered_Rule: [PRIORITY 5] INCOMPLETE ANSWER
- Metrics_Summary: Faithfulness = 0.667, Answer_Relevancy = 0.754, Context_Precision = 1.0, Context_Recall = 1.0
- Evidence: The Answer covers only a subset of aspects related to performance differences.
- Justification: Rule-based explanation: The Answer is relevant and faithful to the Question, but it covers only a subset of aspects related to performance differences.</t>
  </si>
  <si>
    <t>### STEP 1 — Extract Query Intent and Aspects
From the Question:
1. Main intent of the query: Compare evaluation metrics across AI-driven resilience studies.
2. Number of explicit aspects: 2 (evaluation metrics, AI-driven resilience studies)
### STEP 2 — Verify Context Grounding
From Top_K_Sources:
1. Key concepts in the Question: evaluation metrics, AI-driven resilience studies
2. Relevant chunks:
   - Rank #3: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 Rank #2: benchmarking refers to the quantitative and comparable evaluation of specific performance metrics for a category of test subjects achieved through scientifically designed test methods tools and systems with the advent of the artificial intelligence era new ai benchmarking datasets such as imagenet a...
   - Rank #1: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3. Noisy / off-topic chunks:
   - Rank #4: recent developments across all phases of the knowledge discovery process in the machine tool data analytics process call for a paradigm shift regarding how to combine the different analytics objectives several machine tool data analytics processes are carried out individually by different department...
   - Rank #5: develop their understanding of ai applications in supply chain management the guiding research question was as follows does repeated use of adaptive comparative judgment as a learn by evaluation tool lead to enhanced student understanding of artificial intelligence findings provide evidence towards ...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0.583)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0.589)
[PRIORITY 4] SEMANTIC DRIFT
Condition: Faithfulness &gt;= 0.5 AND Answer_Relevancy &lt; 0.5 (Correct answer, wrong intent).
Decision: → NOT Label as: Semantic Drift (Answer_Relevancy = 0.862)
[PRIORITY 5] INCOMPLETE ANSWER
Condition: Faithfulness &gt;= 0.5 AND Answer_Relevancy &gt;= 0.5 AND Answer covers only a subset of aspects.
Decision: → Label as: Incomplete Answer (Faithfulness = 0.583, Answer_Relevancy = 0.862)
[NO ERROR]
If NONE of above:
Decision: → Label as: Correct Answer
### STEP 4 — Output Format (MANDATORY)
For each row, output a structured report:
- Error_Label: Incomplete Answer
- Triggered_Rule: [PRIORITY 5] INCOMPLETE ANSWER
- Metrics_Summary: Faithfulness = 0.583, Answer_Relevancy = 0.862, Context_Precision = 0.589, Context_Recall = 1.0
- Evidence: The answer covers the main intent of the query but does not address all the aspects mentioned in the question.
- Justification: The answer is relevant to the query but does not provide a complete answer to the question, as it only addresses some of the aspects mentioned.</t>
  </si>
  <si>
    <t>### STEP 1 — Extract Query Intent and Aspects
From the Question:
1. Identify the main intent of the query: Compare explainable AI models and black-box models in SCRM.
2. Identify the number of explicit aspects: 2 (explainable AI models, black-box models)
### STEP 2 — Verify Context Grounding
From Top_K_Sources:
1. Identify whether each key concept in the Question appears explicitly:
   - SCRM: Yes (appears in Rank #1, Rank #2, Rank #4)
   - Explainable AI models: Yes (appears in Rank #1, Rank #4)
   - Black-box models: Yes (appears in Rank #2)
2. Count:
   - Number of relevant chunks: 4 (Rank #1, Rank #2, Rank #4, Rank #5)
   - Number of noisy / off-topic chunks: 1 (Rank #3)
3. Determine if any factual claim in the Answer is NOT grounded in Top_K_Sources:
   - The Answer mentions DC programming and DCA (Le Thi, 2020) and reinforcement learning (Kosasih &amp; Brintrup, 2022), which are grounded in Top_K_Sources.
### STEP 3 — Apply Error Classification Rules (IN ORDER OF PRIORITY)
[PRIORITY 1] HALLUCINATION
Condition: Faithfulness &lt; 0.5 AND Answer contains claims not in Top-K sources.
Decision: → NOT Label as: Hallucination (Faithfulness = 0.571, Answer contains claims grounded in Top_K_Sources)
[PRIORITY 2] RETRIEVAL FAILURE
Condition: Context_Recall &lt; 0.5 AND NONE of the Top-K chunks contain core concepts.
Decision: → NOT Label as: Retrieval Failure (Context_Recall = 0.0, Rank #1 contains a core concept)
[PRIORITY 3] CONTEXT NOISE
Condition: Context_Recall &gt;= 0.5 AND Context_Precision &lt; 0.5 AND &gt;50% chunks are irrelevant.
Decision: → NOT Label as: Context Noise (Context_Recall = 0.0, Context_Precision = 0.25, only 1 chunk is irrelevant)
[PRIORITY 4] SEMANTIC DRIFT
Condition: Faithfulness &gt;= 0.5 AND Answer_Relevancy &lt; 0.5 (Correct answer, wrong intent).
Decision: → NOT Label as: Semantic Drift (Answer_Relevancy = 0.708, the Answer is relevant to the Question)
[PRIORITY 5] INCOMPLETE ANSWER
Condition: Faithfulness &gt;= 0.5 AND Answer_Relevancy &gt;= 0.5 AND Answer covers only a subset of aspects.
Decision: → Label as: Incomplete Answer (Faithfulness = 0.571, Answer_Relevancy = 0.708, the Answer covers only a subset of aspects related to SCRM)
[NO ERROR]
If NONE of above:
Decision: → NOT Label as: Correct Answer (the Answer is not entirely correct)
### STEP 4 — Output Format (MANDATORY)
For each row, output a structured report:
- Error_Label: Incomplete Answer
- Triggered_Rule: [PRIORITY 5] INCOMPLETE ANSWER
- Metrics_Summary: Faithfulness = 0.571, Answer_Relevancy = 0.708, Context_Precision = 0.25, Context_Recall = 0.0
- Evidence: The Answer covers only a subset of aspects related to SCRM.
- Justification: Rule-based explanation: The Answer is relevant to the Question, but it does not cover all aspects related to SCRM.</t>
  </si>
  <si>
    <t>### STEP 1 — Extract Query Intent and Aspects
From the Question:
1. Identify the main intent of the query: Compare AI models using structured versus unstructured data.
2. Identify the number of explicit aspects: 2 (structured data, unstructured data)
### STEP 2 — Verify Context Grounding
From Top_K_Sources:
1. Identify whether each key concept in the Question appears explicitly:
   - Structured data: Yes (Rank #2, Rank #5)
   - Unstructured data: Yes (Rank #5)
   - AI models: Yes (Rank #1, Rank #2, Rank #5)
   - Comparison: Yes (Rank #1)
2. Count:
   - Number of relevant chunks: 5
   - Number of noisy / off-topic chunks: 0
3. Determine if any factual claim in the Answer is NOT grounded in Top_K_Sources:
   - The study by Cai et al. (2023) is mentioned in Rank #2.
   - The use of unstructured data in production environments is mentioned in Rank #5.
   - The study by Tileubay et al. (2023) is mentioned in Rank #5.
### STEP 3 — Apply Error Classification Rules (IN ORDER OF PRIORITY)
[PRIORITY 1] HALLUCINATION
Condition: Faithfulness &lt; 0.5 AND Answer contains claims not in Top-K sources.
Decision: → NOT Label as: Hallucination (Faithfulness = 0.615)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0.711)
[PRIORITY 5] INCOMPLETE ANSWER
Condition: Faithfulness &gt;= 0.5 AND Answer_Relevancy &gt;= 0.5 AND Answer covers only a subset of aspects.
Decision: → Label as: Incomplete Answer (Faithfulness = 0.615, Answer_Relevancy = 0.711, but the answer covers all aspects)
[NO ERROR]
If NONE of above:
Decision: → Label as: Correct Answer
### STEP 4 — Output Format (MANDATORY)
For each row, output a structured report:
- Error_Label: Incomplete Answer
- Triggered_Rule: [PRIORITY 5] INCOMPLETE ANSWER
- Metrics_Summary: Faithfulness = 0.615, Answer_Relevancy = 0.711, Context_Precision = 1.0, Context_Recall = 1.0
- Evidence: The answer covers all aspects, but the faithfulness is not perfect.
- Justification: Rule-based explanation: The answer is mostly correct, but it does not cover all aspects perfectly, which is a characteristic of an incomplete answer.</t>
  </si>
  <si>
    <t>### STEP 1 — Extract Query Intent and Aspects
From the Question:
1. Main intent: Compare AI-driven risk detection and risk mitigation frameworks.
2. Number of explicit aspects: 2 (risk detection and risk mitigation)
### STEP 2 — Verify Context Grounding
From Top_K_Sources:
1. Key concepts in the Question appear explicitly in Top_K_Sources:
   - AI-driven risk detection
   - Risk mitigation
   - Industrial systems
2. Count:
   - Number of relevant chunks: 4
   - Number of noisy / off-topic chunks: 0
3. Determine if any factual claim in the Answer is NOT grounded in Top_K_Sources:
   - No claims in the Answer are not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0.833 &gt; 0.5)
[PRIORITY 4] SEMANTIC DRIFT
Condition: Faithfulness &gt;= 0.5 AND Answer_Relevancy &lt; 0.5 (Correct answer, wrong intent).
Decision: → NOT Label as: Semantic Drift (Answer_Relevancy = 0.672 &gt; 0.5)
[PRIORITY 5] INCOMPLETE ANSWER
Condition: Faithfulness &gt;= 0.5 AND Answer_Relevancy &gt;= 0.5 AND Answer covers only a subset of aspects.
Decision: → Label as: Incomplete Answer (Faithfulness = 1.0, Answer_Relevancy = 0.672, Answer covers all aspects)
[NO ERROR]
If NONE of above:
Decision: → Label as: Correct Answer (NOT applicable)
### STEP 4 — Output Format (MANDATORY)
For each row, output a structured report:
- Error_Label: Incomplete Answer
- Triggered_Rule: [PRIORITY 5] INCOMPLETE ANSWER
- Metrics_Summary: Faithfulness = 1.0, Answer_Relevancy = 0.672, Context_Precision = 0.833, Context_Recall = 1.0
- Evidence: The Answer covers all aspects of the question, but the Answer_Relevancy is not perfect (0.672).
- Justification: The Answer is complete, but it does not fully capture the intent of the question, resulting in an Incomplete Answer.</t>
  </si>
  <si>
    <t>### STEP 1 — Extract Query Intent and Aspects
From the Question:
1. Main intent of the query: Compare static and adaptive AI models for resilience.
2. Number of explicit aspects: 2 (static AI models, adaptive AI models)
### STEP 2 — Verify Context Grounding
From Top_K_Sources:
1. Key concepts in the Question: static AI models, adaptive AI models, resilience
2. Relevant chunks:
   - Rank #1: application of mathematical modeling in supply chain management a review (contains "artificial intelligence ai" and "model responsive")
   - Rank #2: enhancing wheat price forecasting accuracy through prophet based models (contains "structural time series patterns" and "nonlinear market dynamics")
   - Rank #3: generative artificial intelligence in manufacturing applications case studies and future directions for nextgeneration intelligent production systems (contains "generative ai" and "realtime defect detection")
   - Rank #4: a hybrid transformerarima model for forecasting global supply chain disruptions using multimodal data (contains "hybrid transformer-Arima model" and "scalability and adaptivity")
   - Rank #5: integrated cloudtwin synchronization for supply chain 50 (contains "dynamic adaptability" and "convergence plot")
3. Number of relevant chunks: 5
4. Number of noisy / off-topic chunks: 0
5. Factual claims in the Answer:
   - Adaptive AI models can dynamically adapt to evolving operational requirements.
   - Static models rely on pre-programmed rules and may struggle to respond to unexpected disruptions.
   - Adaptive AI models can improve resilience by enabling real-time defect detection and supporting hyper-personalized production.
   - Static AI models may struggle to respond to unexpected disruptions.
6. Grounding in Top_K_Sources:
   - Rank #1: contains "artificial intelligence ai" and "model responsive", which supports the claim that adaptive AI models can dynamically adapt to evolving operational requirements.
   - Rank #3: contains "generative ai" and "realtime defect detection", which supports the claim that adaptive AI models can improve resilience by enabling real-time defect detection and supporting hyper-personalized production.
   - Rank #4: contains "hybrid transformer-Arima model" and "scalability and adaptivity", which supports the claim that adaptive AI models can improve resilience by enabling scalability and adaptivity.
   - Rank #5: contains "dynamic adaptability" and "convergence plot", which supports the claim that adaptive AI models can improve resilience by enabling dynamic adaptability.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0.417, which is less than 0.5, but the number of relevant chunks is 5, which is more than 50% of the total chunks)
[PRIORITY 4] SEMANTIC DRIFT
Condition: Faithfulness &gt;= 0.5 AND Answer_Relevancy &lt; 0.5 (Correct answer, wrong intent).
Decision: → NOT Label as: Semantic Drift (Answer_Relevancy = 0.675, which is greater than or equal to 0.5)
[PRIORITY 5] INCOMPLETE ANSWER
Condition: Faithfulness &gt;= 0.5 AND Answer_Relevancy &gt;= 0.5 AND Answer covers only a subset of aspects.
Decision: → Label as: Incomplete Answer (Faithfulness = 1.0, Answer_Relevancy = 0.675, and the Answer covers all the aspects mentioned in the Question)
[NO ERROR]
If NONE of above:
Decision: → Label as: Correct Answer
### STEP 4 — Output Format (MANDATORY)
For each row, output a structured report:
- Error_Label: Incomplete Answer
- Triggered_Rule: [PRIORITY 5] INCOMPLETE ANSWER
- Metrics_Summary: Faithfulness = 1.0, Answer_Relevancy = 0.675, Context_Precision = 0.417, Context_Recall = 1.0
- Evidence: The Answer covers all the aspects mentioned in the Question, but it does not cover all the possible aspects related to the comparison of static and adaptive AI models for resilience.
- Justification: The Answer is correct in terms of faithfulness and answer relevancy, but it is incomplete because it does not cover all the possible aspects related to the comparison of static and adaptive AI models for resilience.</t>
  </si>
  <si>
    <t>### STEP 1 — Extract Query Intent and Aspects
From the Question:
1. Main intent of the query: Compare optimization-based and learning-based AI approaches.
2. Number of explicit aspects: 2 (optimization-based AI, learning-based AI)
### STEP 2 — Verify Context Grounding
From Top_K_Sources:
1. Key concepts in the Question appear explicitly in Top_K_Sources: Yes (AI, optimization, learning)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0.0, but core concepts are present in Top_K_Sources)
[PRIORITY 3] CONTEXT NOISE
Condition: Context_Recall &gt;= 0.5 AND Context_Precision &lt; 0.5 AND &gt;50% chunks are irrelevant.
Decision: → NOT Label as: Context Noise (Context_Recall = 0.0, Context_Precision = 0.0)
[PRIORITY 4] SEMANTIC DRIFT
Condition: Faithfulness &gt;= 0.5 AND Answer_Relevancy &lt; 0.5 (Correct answer, wrong intent).
Decision: → NOT Label as: Semantic Drift (Answer_Relevancy = 0.803)
[PRIORITY 5] INCOMPLETE ANSWER
Condition: Faithfulness &gt;= 0.5 AND Answer_Relevancy &gt;= 0.5 AND Answer covers only a subset of aspects.
Decision: → Label as: Incomplete Answer (Faithfulness = 1.0, Answer_Relevancy = 0.803, but the answer does not cover all aspects of the question)
[NO ERROR]
If NONE of above:
Decision: → Label as: Correct Answer (NOT applicable)
### STEP 4 — Output Format (MANDATORY)
For each row, output a structured report:
- Error_Label: Incomplete Answer
- Triggered_Rule: [PRIORITY 5] INCOMPLETE ANSWER
- Metrics_Summary: Faithfulness = 1.0, Answer_Relevancy = 0.803, Context_Precision = 0.0, Context_Recall = 0.0
- Evidence: The answer does not cover all aspects of the question, such as the specific differences between optimization-based and learning-based AI approaches.
- Justification: Rule-based explanation: The answer is relevant and faithful, but it does not cover all aspects of the question, which is a characteristic of an incomplete answer.</t>
  </si>
  <si>
    <t>### STEP 1 — Extract Query Intent and Aspects
From the Question:
1. Main intent of the query: Identify empirical improvements brought by AI to supply chain resilience.
2. Number of explicit aspects: 2 (empirical improvements, supply chain resilience, AI)
### STEP 2 — Verify Context Grounding
From Top_K_Sources:
1. Key concepts in the Question appear explicitly in Top_K_Sources:
   - Supply chain resilience: Present in all Top_K_Sources.
   - AI: Present in all Top_K_Sources.
   - Empirical improvements: Present in Top_K_Sources (Rank #1, Rank #3, Rank #4, Rank #5).
2. Count:
   - Number of relevant chunks: 4 (Rank #1, Rank #3, Rank #4, Rank #5)
   - Number of noisy / off-topic chunks: 1 (Rank #2)
3. Determine if any factual claim in the Answer is NOT grounded in Top_K_Sources:
   - The Answer contains claims not in Top_K_Sources (e.g., "fostering referent power, and improving organizational structure and internal control systems"). However, these claims are related to the main topic and can be inferred from the Top_K_Sources.
### STEP 3 — Apply Error Classification Rules (IN ORDER OF PRIORITY)
[PRIORITY 1] HALLUCINATION
Condition: Faithfulness &lt; 0.5 AND Answer contains claims not in Top-K sources.
Decision: → NOT Label as: Hallucination (Faithfulness = 0.818 &gt; 0.5)
[PRIORITY 2] RETRIEVAL FAILURE
Condition: Context_Recall &lt; 0.5 AND NONE of the Top-K chunks contain core concepts.
Decision: → NOT Label as: Retrieval Failure (Context_Recall = 0.875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1.0 &gt; 0.5)
[PRIORITY 5] INCOMPLETE ANSWER
Condition: Faithfulness &gt;= 0.5 AND Answer_Relevancy &gt;= 0.5 AND Answer covers only a subset of aspects.
Decision: → Label as: Incomplete Answer (Faithfulness = 0.818 &gt; 0.5, Answer_Relevancy = 1.0, Answer covers some but not all aspects)
[NO ERROR]
If NONE of above:
Decision: → Label as: Correct Answer
### STEP 4 — Output Format (MANDATORY)
For each row, output a structured report:
- Error_Label: Incomplete Answer
- Triggered_Rule: [PRIORITY 5] INCOMPLETE ANSWER
- Metrics_Summary: Faithfulness = 0.818, Answer_Relevancy = 1.0, Context_Precision = 1.0, Context_Recall = 0.875
- Evidence: The Answer covers some but not all aspects of the query.
- Justification: Rule-based explanation: The Answer is relevant and faithful, but it does not cover all aspects of the query, making it an Incomplete Answer.</t>
  </si>
  <si>
    <t>### STEP 1 — Extract Query Intent and Aspects
From the Question:
1. Main intent of the query: Identify validation methods commonly applied.
2. Number of explicit aspects: 1 (validation methods)
### STEP 2 — Verify Context Grounding
From Top_K_Sources:
1. Key concepts in the Question appear explicitly in Top_K_Sources:
   - "validation methods" appears in Rank #1, Title: "the case for a broader approach to ai assurance addressing hidden harms in the development of artificial intelligence"
   - "commonly applied" appears in Rank #1, Title: "the case for a broader approach to ai assurance addressing hidden harms in the development of artificial intelligence"
   - "validation methods" appears in Rank #3, Title: "the case for a broader approach to ai assurance addressing hidden harms in the development of artificial intelligence"
2. Count:
   - Number of relevant chunks: 3 (Rank #1, Rank #3, Rank #5 is not relevant)
   - Number of noisy / off-topic chunks: 2 (Rank #2, Rank #4)
3. Determine if any factual claim in the Answer is NOT grounded in Top_K_Sources:
   - The Answer mentions "Impact Assessment", "Audit", and "Certification procedures" which are all mentioned in Rank #3.
   - The Answer also mentions "Deep Learning techniques in Supply Chain Management" which is mentioned in Rank #4.
### STEP 3 — Apply Error Classification Rules (IN ORDER OF PRIORITY)
[PRIORITY 1] HALLUCINATION
Condition: Faithfulness &lt; 0.5 AND Answer contains claims not in Top-K sources.
Decision: → NOT Label as: Hallucination (Faithfulness = 0.667, Answer contains claims in Top-K sources)
[PRIORITY 2] RETRIEVAL FAILURE
Condition: Context_Recall &lt; 0.5 AND NONE of the Top-K chunks contain core concepts.
Decision: → NOT Label as: Retrieval Failure (Context_Recall = 1.0, Rank #1 and Rank #3 contain core concepts)
[PRIORITY 3] CONTEXT NOISE
Condition: Context_Recall &gt;= 0.5 AND Context_Precision &lt; 0.5 AND &gt;50% chunks are irrelevant.
Decision: → NOT Label as: Context Noise (Context_Precision = 0.333, but only 2 out of 5 chunks are irrelevant)
[PRIORITY 4] SEMANTIC DRIFT
Condition: Faithfulness &gt;= 0.5 AND Answer_Relevancy &lt; 0.5 (Correct answer, wrong intent).
Decision: → NOT Label as: Semantic Drift (Answer_Relevancy = 0.816, which is greater than or equal to 0.5)
[PRIORITY 5] INCOMPLETE ANSWER
Condition: Faithfulness &gt;= 0.5 AND Answer_Relevancy &gt;= 0.5 AND Answer covers only a subset of aspects.
Decision: → Label as: Incomplete Answer (Faithfulness = 0.667, Answer_Relevancy = 0.816, but the Answer only covers a subset of validation methods)
[NO ERROR]
If NONE of above:
Decision: → NOT Label as: Correct Answer (because the Answer is incomplete)
### STEP 4 — Output Format (MANDATORY)
For each row, output a structured report:
- Error_Label: Incomplete Answer
- Triggered_Rule: [PRIORITY 5] INCOMPLETE ANSWER
- Metrics_Summary: Faithfulness = 0.667, Answer_Relevancy = 0.816, Context_Precision = 0.333, Context_Recall = 1.0
- Evidence: The Answer only covers a subset of validation methods.
- Justification: Rule-based explanation: The Answer is incomplete because it only covers a subset of validation methods, despite having high faithfulness and answer relevancy.</t>
  </si>
  <si>
    <t>### STEP 1 — Extract Query Intent and Aspects
From the Question:
1. Main intent of the query: Identify the robustness tests reported.
2. Number of explicit aspects: 1 (robustness tests)
### STEP 2 — Verify Context Grounding
From Top_K_Sources:
1. Key concepts in the Question: robustness tests, reported
2. Relevant chunks:
   - Rank #5: mentions statistical validation, Cronbach's alpha, and Confirmatory Factor Analysis (CFA)
   - Rank #1: mentions precise modelling, reliable inspections, and condition monitoring
   - Rank #2: mentions spectroscopic techniques
   - Rank #3: mentions counterfeit detection
   - Rank #4: mentions spectroscopy and artificial sensing methods
3. Noisy / off-topic chunks: None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0.571, Answer contains claims in Top-K sources)
[PRIORITY 2] RETRIEVAL FAILURE
Condition: Context_Recall &lt; 0.5 AND NONE of the Top-K chunks contain core concepts.
Decision: → NOT Label as: Retrieval Failure (Context_Recall = 1.0, Top-K chunks contain core concepts)
[PRIORITY 3] CONTEXT NOISE
Condition: Context_Recall &gt;= 0.5 AND Context_Precision &lt; 0.5 AND &gt;50% chunks are irrelevant.
Decision: → NOT Label as: Context Noise (Context_Precision = 0.2, but not &gt;50% chunks are irrelevant)
[PRIORITY 4] SEMANTIC DRIFT
Condition: Faithfulness &gt;= 0.5 AND Answer_Relevancy &lt; 0.5 (Correct answer, wrong intent).
Decision: → NOT Label as: Semantic Drift (Answer_Relevancy = 0.486, which is &gt;= 0.5)
[PRIORITY 5] INCOMPLETE ANSWER
Condition: Faithfulness &gt;= 0.5 AND Answer_Relevancy &gt;= 0.5 AND Answer covers only a subset of aspects.
Decision: → Label as: Incomplete Answer (Faithfulness = 0.571, Answer_Relevancy = 0.486, Answer covers a subset of aspects related to robustness tests)
[NO ERROR]
If NONE of above:
Decision: → Label as: Correct Answer (NOT applicable)
### STEP 4 — Output Format (MANDATORY)
For each row, output a structured report:
- Error_Label: Incomplete Answer
- Triggered_Rule: [PRIORITY 5] INCOMPLETE ANSWER
- Metrics_Summary: Faithfulness = 0.571, Answer_Relevancy = 0.486, Context_Precision = 0.2, Context_Recall = 1.0
- Evidence: Answer covers a subset of aspects related to robustness tests.
- Justification: Rule-based explanation: The answer is relevant but does not cover all aspects of the question, specifically the types of robustness tests reported.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</si>
</sst>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rial"/>
      <scheme val="minor"/>
    </font>
    <font>
      <b/>
      <color theme="1"/>
      <name val="Arial"/>
      <scheme val="minor"/>
    </font>
    <font>
      <b/>
      <sz val="11.0"/>
      <color theme="1"/>
      <name val="Calibri"/>
    </font>
    <font>
      <color theme="1"/>
      <name val="Arial"/>
      <scheme val="minor"/>
    </font>
    <font/>
    <font>
      <sz val="11.0"/>
      <color theme="1"/>
      <name val="Calibri"/>
    </font>
  </fonts>
  <fills count="3">
    <fill>
      <patternFill patternType="none"/>
    </fill>
    <fill>
      <patternFill patternType="lightGray"/>
    </fill>
    <fill>
      <patternFill patternType="solid">
        <fgColor rgb="FFFFFFFF"/>
        <bgColor rgb="FFFFFFFF"/>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center" readingOrder="0" shrinkToFit="0" vertical="top" wrapText="1"/>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0"/>
    </xf>
    <xf borderId="1" fillId="0" fontId="1" numFmtId="0" xfId="0" applyAlignment="1" applyBorder="1" applyFont="1">
      <alignment horizontal="center" readingOrder="0"/>
    </xf>
    <xf borderId="0" fillId="0" fontId="3" numFmtId="0" xfId="0" applyAlignment="1" applyFont="1">
      <alignment horizontal="center"/>
    </xf>
    <xf borderId="1" fillId="0" fontId="3" numFmtId="0" xfId="0" applyAlignment="1" applyBorder="1" applyFont="1">
      <alignment readingOrder="0"/>
    </xf>
    <xf borderId="1" fillId="0" fontId="3" numFmtId="0" xfId="0" applyBorder="1" applyFont="1"/>
    <xf borderId="0" fillId="0" fontId="1" numFmtId="0" xfId="0" applyAlignment="1" applyFont="1">
      <alignment horizontal="center"/>
    </xf>
    <xf borderId="1" fillId="0" fontId="3" numFmtId="0" xfId="0" applyAlignment="1" applyBorder="1" applyFont="1">
      <alignment readingOrder="0"/>
    </xf>
    <xf borderId="0" fillId="0" fontId="3" numFmtId="0" xfId="0" applyAlignment="1" applyFont="1">
      <alignment horizontal="center" readingOrder="0"/>
    </xf>
    <xf borderId="1" fillId="0" fontId="1" numFmtId="0" xfId="0" applyAlignment="1" applyBorder="1" applyFont="1">
      <alignment readingOrder="0"/>
    </xf>
    <xf borderId="1" fillId="0" fontId="2" numFmtId="0" xfId="0" applyAlignment="1" applyBorder="1" applyFont="1">
      <alignment horizontal="center" readingOrder="0" shrinkToFit="0" vertical="top" wrapText="1"/>
    </xf>
    <xf borderId="1" fillId="0" fontId="3" numFmtId="0" xfId="0" applyAlignment="1" applyBorder="1" applyFont="1">
      <alignment readingOrder="0"/>
    </xf>
    <xf borderId="2" fillId="0" fontId="3" numFmtId="0" xfId="0" applyAlignment="1" applyBorder="1" applyFont="1">
      <alignment readingOrder="0"/>
    </xf>
    <xf borderId="2" fillId="0" fontId="3" numFmtId="0" xfId="0" applyBorder="1" applyFont="1"/>
    <xf borderId="3" fillId="0" fontId="4" numFmtId="0" xfId="0" applyBorder="1" applyFont="1"/>
    <xf borderId="0" fillId="0" fontId="3" numFmtId="0" xfId="0" applyAlignment="1" applyFont="1">
      <alignment readingOrder="0"/>
    </xf>
    <xf borderId="4" fillId="0" fontId="4" numFmtId="0" xfId="0" applyBorder="1" applyFont="1"/>
    <xf borderId="1" fillId="0" fontId="3" numFmtId="0" xfId="0" applyAlignment="1" applyBorder="1" applyFont="1">
      <alignment horizontal="left" readingOrder="0"/>
    </xf>
    <xf borderId="5" fillId="0" fontId="3" numFmtId="0" xfId="0" applyAlignment="1" applyBorder="1" applyFont="1">
      <alignment horizontal="center" readingOrder="0"/>
    </xf>
    <xf borderId="6" fillId="0" fontId="4" numFmtId="0" xfId="0" applyBorder="1" applyFont="1"/>
    <xf borderId="7" fillId="0" fontId="4" numFmtId="0" xfId="0" applyBorder="1" applyFont="1"/>
    <xf borderId="0" fillId="0" fontId="3" numFmtId="0" xfId="0" applyAlignment="1" applyFont="1">
      <alignment horizontal="left" readingOrder="0" shrinkToFit="0" vertical="center" wrapText="0"/>
    </xf>
    <xf borderId="0" fillId="0" fontId="2" numFmtId="0" xfId="0" applyAlignment="1" applyFont="1">
      <alignment horizontal="center" readingOrder="0" shrinkToFit="0" vertical="top" wrapText="0"/>
    </xf>
    <xf borderId="0" fillId="0" fontId="3" numFmtId="0" xfId="0" applyAlignment="1" applyFont="1">
      <alignment readingOrder="0" shrinkToFit="0" vertical="center" wrapText="0"/>
    </xf>
    <xf borderId="0" fillId="0" fontId="3" numFmtId="0" xfId="0" applyAlignment="1" applyFont="1">
      <alignment readingOrder="0" shrinkToFit="0" vertical="top" wrapText="0"/>
    </xf>
    <xf borderId="0" fillId="0" fontId="3" numFmtId="0" xfId="0" applyAlignment="1" applyFont="1">
      <alignment readingOrder="0" shrinkToFit="0" vertical="top" wrapText="0"/>
    </xf>
    <xf borderId="0" fillId="0" fontId="3" numFmtId="0" xfId="0" applyAlignment="1" applyFont="1">
      <alignment readingOrder="0" shrinkToFit="0" vertical="top" wrapText="1"/>
    </xf>
    <xf borderId="0" fillId="0" fontId="3" numFmtId="0" xfId="0" applyAlignment="1" applyFont="1">
      <alignment horizontal="center" readingOrder="0" shrinkToFit="0" vertical="top" wrapText="0"/>
    </xf>
    <xf borderId="0" fillId="0" fontId="2" numFmtId="0" xfId="0" applyAlignment="1" applyFont="1">
      <alignment horizontal="center" readingOrder="0" shrinkToFit="0" vertical="top" wrapText="1"/>
    </xf>
    <xf borderId="0" fillId="0" fontId="1" numFmtId="0" xfId="0" applyAlignment="1" applyFont="1">
      <alignment readingOrder="0" shrinkToFit="0" vertical="top" wrapText="1"/>
    </xf>
    <xf borderId="0" fillId="0" fontId="3" numFmtId="0" xfId="0" applyAlignment="1" applyFont="1">
      <alignment horizontal="center" readingOrder="0" shrinkToFit="0" vertical="top" wrapText="1"/>
    </xf>
    <xf borderId="0" fillId="0" fontId="3" numFmtId="0" xfId="0" applyAlignment="1" applyFont="1">
      <alignment horizontal="center" readingOrder="0" shrinkToFit="0" vertical="top" wrapText="1"/>
    </xf>
    <xf borderId="0" fillId="0" fontId="3" numFmtId="0" xfId="0" applyAlignment="1" applyFont="1">
      <alignment shrinkToFit="0" vertical="top" wrapText="1"/>
    </xf>
    <xf borderId="0" fillId="0" fontId="3" numFmtId="0" xfId="0" applyAlignment="1" applyFont="1">
      <alignment readingOrder="0" shrinkToFit="0" vertical="top" wrapText="1"/>
    </xf>
    <xf borderId="0" fillId="0" fontId="3" numFmtId="0" xfId="0" applyAlignment="1" applyFont="1">
      <alignment readingOrder="0" shrinkToFit="0" vertical="top" wrapText="1"/>
    </xf>
    <xf borderId="0" fillId="0" fontId="5" numFmtId="0" xfId="0" applyAlignment="1" applyFont="1">
      <alignment shrinkToFit="0" vertical="top" wrapText="1"/>
    </xf>
    <xf borderId="0" fillId="0" fontId="5" numFmtId="0" xfId="0" applyAlignment="1" applyFont="1">
      <alignment horizontal="right" shrinkToFit="0" vertical="top" wrapText="1"/>
    </xf>
    <xf borderId="0" fillId="0" fontId="2" numFmtId="0" xfId="0" applyAlignment="1" applyFont="1">
      <alignment horizontal="center" readingOrder="0" vertical="top"/>
    </xf>
    <xf borderId="0" fillId="0" fontId="1" numFmtId="0" xfId="0" applyAlignment="1" applyFont="1">
      <alignment readingOrder="0"/>
    </xf>
    <xf borderId="0" fillId="0" fontId="3" numFmtId="0" xfId="0" applyAlignment="1" applyFont="1">
      <alignment readingOrder="0"/>
    </xf>
    <xf borderId="0" fillId="0" fontId="3" numFmtId="0" xfId="0" applyFont="1"/>
    <xf borderId="0" fillId="2" fontId="3" numFmtId="0" xfId="0" applyAlignment="1" applyFill="1" applyFont="1">
      <alignment readingOrder="0"/>
    </xf>
    <xf borderId="0" fillId="2" fontId="3" numFmtId="0" xfId="0" applyAlignment="1" applyFont="1">
      <alignment readingOrder="0"/>
    </xf>
    <xf borderId="0" fillId="0" fontId="3" numFmtId="0" xfId="0" applyAlignment="1" applyFont="1">
      <alignment readingOrder="0" vertical="top"/>
    </xf>
    <xf borderId="0" fillId="0" fontId="3" numFmtId="0" xfId="0" applyAlignment="1" applyFont="1">
      <alignment readingOrder="0" vertical="top"/>
    </xf>
    <xf borderId="0" fillId="0" fontId="3" numFmtId="0" xfId="0" applyAlignment="1" applyFont="1">
      <alignment horizontal="center" readingOrder="0" vertical="top"/>
    </xf>
    <xf borderId="0" fillId="0" fontId="3" numFmtId="0" xfId="0" applyAlignment="1" applyFont="1">
      <alignment vertical="top"/>
    </xf>
    <xf borderId="0" fillId="0" fontId="3" numFmtId="0" xfId="0" applyAlignment="1" applyFont="1">
      <alignment shrinkToFit="0" wrapText="1"/>
    </xf>
    <xf borderId="0" fillId="0" fontId="2" numFmtId="0" xfId="0" applyAlignment="1" applyFont="1">
      <alignment horizontal="center" readingOrder="0" vertical="top"/>
    </xf>
    <xf borderId="0" fillId="0" fontId="3" numFmtId="0" xfId="0" applyAlignment="1" applyFont="1">
      <alignment horizontal="center" readingOrder="0" vertical="top"/>
    </xf>
    <xf borderId="0" fillId="0" fontId="3" numFmtId="0" xfId="0" applyAlignment="1" applyFont="1">
      <alignment horizontal="center" vertical="top"/>
    </xf>
    <xf borderId="1" fillId="0" fontId="2" numFmtId="0" xfId="0" applyAlignment="1" applyBorder="1" applyFont="1">
      <alignment horizontal="center" vertical="top"/>
    </xf>
    <xf borderId="1" fillId="0" fontId="2" numFmtId="0" xfId="0" applyAlignment="1" applyBorder="1" applyFont="1">
      <alignment horizontal="center" readingOrder="0" vertical="top"/>
    </xf>
  </cellXfs>
  <cellStyles count="1">
    <cellStyle xfId="0" name="Normal" builtinId="0"/>
  </cellStyles>
  <dxfs count="6">
    <dxf>
      <font/>
      <fill>
        <patternFill patternType="none"/>
      </fill>
      <border/>
    </dxf>
    <dxf>
      <font/>
      <fill>
        <patternFill patternType="solid">
          <fgColor rgb="FF4A568D"/>
          <bgColor rgb="FF4A568D"/>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A568D"/>
        </left>
        <right style="thin">
          <color rgb="FF4A568D"/>
        </right>
        <top style="thin">
          <color rgb="FF4A568D"/>
        </top>
        <bottom style="thin">
          <color rgb="FF4A568D"/>
        </bottom>
      </border>
    </dxf>
    <dxf>
      <font/>
      <fill>
        <patternFill patternType="solid">
          <fgColor rgb="FF356854"/>
          <bgColor rgb="FF356854"/>
        </patternFill>
      </fill>
      <border/>
    </dxf>
  </dxfs>
  <tableStyles count="4">
    <tableStyle count="4" pivot="0" name="Rekap Rata Rata keseluruhan-style">
      <tableStyleElement dxfId="1" type="headerRow"/>
      <tableStyleElement dxfId="2" type="firstRowStripe"/>
      <tableStyleElement dxfId="3" type="secondRowStripe"/>
      <tableStyleElement dxfId="4" size="0" type="wholeTable"/>
    </tableStyle>
    <tableStyle count="2" pivot="0" name="Rekap Rata Rata keseluruhan-style 2">
      <tableStyleElement dxfId="2" type="firstRowStripe"/>
      <tableStyleElement dxfId="3" type="secondRowStripe"/>
    </tableStyle>
    <tableStyle count="2" pivot="0" name="Rekap Rata Rata keseluruhan-style 3">
      <tableStyleElement dxfId="2" type="firstRowStripe"/>
      <tableStyleElement dxfId="3" type="secondRowStripe"/>
    </tableStyle>
    <tableStyle count="4" pivot="0" name="Rekap hasil seluruh pengujian s-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9" displayName="Table1" name="Table1" id="1">
  <tableColumns count="7">
    <tableColumn name="Model" id="1"/>
    <tableColumn name="Chunking" id="2"/>
    <tableColumn name="Top K" id="3"/>
    <tableColumn name="Faithfulness" id="4"/>
    <tableColumn name="Answer_Relevancy" id="5"/>
    <tableColumn name="Context_Precision" id="6"/>
    <tableColumn name="Context_Recall" id="7"/>
  </tableColumns>
  <tableStyleInfo name="Rekap Rata Rata keseluruhan-style" showColumnStripes="0" showFirstColumn="1" showLastColumn="1" showRowStripes="1"/>
</table>
</file>

<file path=xl/tables/table2.xml><?xml version="1.0" encoding="utf-8"?>
<table xmlns="http://schemas.openxmlformats.org/spreadsheetml/2006/main" headerRowCount="0" ref="A43:A54" displayName="Table_1" name="Table_1" id="2">
  <tableColumns count="1">
    <tableColumn name="Column1" id="1"/>
  </tableColumns>
  <tableStyleInfo name="Rekap Rata Rata keseluruhan-style 2" showColumnStripes="0" showFirstColumn="1" showLastColumn="1" showRowStripes="1"/>
</table>
</file>

<file path=xl/tables/table3.xml><?xml version="1.0" encoding="utf-8"?>
<table xmlns="http://schemas.openxmlformats.org/spreadsheetml/2006/main" headerRowCount="0" ref="A94:A105" displayName="Table_2" name="Table_2" id="3">
  <tableColumns count="1">
    <tableColumn name="Column1" id="1"/>
  </tableColumns>
  <tableStyleInfo name="Rekap Rata Rata keseluruhan-style 3" showColumnStripes="0" showFirstColumn="1" showLastColumn="1" showRowStripes="1"/>
</table>
</file>

<file path=xl/tables/table4.xml><?xml version="1.0" encoding="utf-8"?>
<table xmlns="http://schemas.openxmlformats.org/spreadsheetml/2006/main" ref="A1:L641" displayName="Table2" name="Table2" id="4">
  <autoFilter ref="$A$1:$L$641"/>
  <tableColumns count="12">
    <tableColumn name="No" id="1"/>
    <tableColumn name="Model" id="2"/>
    <tableColumn name="Chunking" id="3"/>
    <tableColumn name="Top K" id="4"/>
    <tableColumn name="Question" id="5"/>
    <tableColumn name="Answer" id="6"/>
    <tableColumn name="Top_K_Sources" id="7"/>
    <tableColumn name="Faithfulness" id="8"/>
    <tableColumn name="Answer_Relevancy" id="9"/>
    <tableColumn name="Context_Precision" id="10"/>
    <tableColumn name="Context_Recall" id="11"/>
    <tableColumn name="Image_Path" id="12"/>
  </tableColumns>
  <tableStyleInfo name="Rekap hasil seluruh pengujian 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88"/>
    <col customWidth="1" min="2" max="3" width="27.0"/>
    <col customWidth="1" min="4" max="7" width="27.88"/>
    <col customWidth="1" min="8" max="8" width="25.25"/>
  </cols>
  <sheetData>
    <row r="1" ht="22.5" customHeight="1">
      <c r="A1" s="1" t="s">
        <v>0</v>
      </c>
      <c r="B1" s="1" t="s">
        <v>1</v>
      </c>
      <c r="C1" s="1" t="s">
        <v>2</v>
      </c>
      <c r="D1" s="2" t="s">
        <v>3</v>
      </c>
      <c r="E1" s="2" t="s">
        <v>4</v>
      </c>
      <c r="F1" s="2" t="s">
        <v>5</v>
      </c>
      <c r="G1" s="2" t="s">
        <v>6</v>
      </c>
    </row>
    <row r="2" ht="22.5" customHeight="1">
      <c r="A2" s="3" t="s">
        <v>7</v>
      </c>
      <c r="B2" s="3">
        <v>32.0</v>
      </c>
      <c r="C2" s="3">
        <v>3.0</v>
      </c>
      <c r="D2" s="4">
        <f>ROUND(AVERAGE('Labse Top K=3 Chunk = 32'!E1:E81), 4)</f>
        <v>0.6197</v>
      </c>
      <c r="E2" s="4">
        <f> ROUND(AVERAGE('Labse Top K=3 Chunk = 32'!F1:F81),4)</f>
        <v>0.6622</v>
      </c>
      <c r="F2" s="4">
        <f> ROUND(AVERAGE('Labse Top K=3 Chunk = 32'!G1:G81),4)</f>
        <v>0.5708</v>
      </c>
      <c r="G2" s="4">
        <f> ROUND(AVERAGE('Labse Top K=3 Chunk = 32'!H1:H81),4)</f>
        <v>0.6389</v>
      </c>
    </row>
    <row r="3" ht="22.5" customHeight="1">
      <c r="A3" s="3" t="s">
        <v>7</v>
      </c>
      <c r="B3" s="3">
        <v>32.0</v>
      </c>
      <c r="C3" s="3">
        <v>5.0</v>
      </c>
      <c r="D3" s="4">
        <f>ROUND(AVERAGE('Labse Top K=5 Chunk = 32'!E1:E81), 4)</f>
        <v>0.6125</v>
      </c>
      <c r="E3" s="4">
        <f>ROUND(AVERAGE('Labse Top K=5 Chunk = 32'!F1:F81), 4)</f>
        <v>0.7231</v>
      </c>
      <c r="F3" s="4">
        <f>ROUND(AVERAGE('Labse Top K=5 Chunk = 32'!G1:G81), 4)</f>
        <v>0.5948</v>
      </c>
      <c r="G3" s="4">
        <f>ROUND(AVERAGE('Labse Top K=5 Chunk = 32'!H1:H81), 4)</f>
        <v>0.7326</v>
      </c>
    </row>
    <row r="4" ht="22.5" customHeight="1">
      <c r="A4" s="3" t="s">
        <v>7</v>
      </c>
      <c r="B4" s="3">
        <v>64.0</v>
      </c>
      <c r="C4" s="3">
        <v>3.0</v>
      </c>
      <c r="D4" s="4">
        <f> ROUND(AVERAGE('Labse Top K=3 Chunk = 64'!E1:E81),4)</f>
        <v>0.601</v>
      </c>
      <c r="E4" s="4">
        <f> AVERAGE('Labse Top K=3 Chunk = 64'!F1:F81)</f>
        <v>0.6182625</v>
      </c>
      <c r="F4" s="4">
        <f> AVERAGE('Labse Top K=3 Chunk = 64'!G1:G81)</f>
        <v>0.5759625</v>
      </c>
      <c r="G4" s="4">
        <f> AVERAGE('Labse Top K=3 Chunk = 64'!H1:H81)</f>
        <v>0.691675</v>
      </c>
    </row>
    <row r="5" ht="22.5" customHeight="1">
      <c r="A5" s="3" t="s">
        <v>7</v>
      </c>
      <c r="B5" s="3">
        <v>64.0</v>
      </c>
      <c r="C5" s="3">
        <v>5.0</v>
      </c>
      <c r="D5" s="4">
        <f>ROUND(AVERAGE('Labse Top K=5 Chunk = 64'!E1:E81), 4)</f>
        <v>0.6201</v>
      </c>
      <c r="E5" s="4">
        <f>ROUND(AVERAGE('Labse Top K=5 Chunk = 64'!F1:F81), 4)</f>
        <v>0.6538</v>
      </c>
      <c r="F5" s="4">
        <f>ROUND(AVERAGE('Labse Top K=5 Chunk = 64'!G1:G81), 4)</f>
        <v>0.6122</v>
      </c>
      <c r="G5" s="4">
        <f>ROUND(AVERAGE('Labse Top K=5 Chunk = 64'!H1:H81), 4)</f>
        <v>0.7232</v>
      </c>
    </row>
    <row r="6" ht="22.5" customHeight="1">
      <c r="A6" s="3" t="s">
        <v>8</v>
      </c>
      <c r="B6" s="3">
        <v>32.0</v>
      </c>
      <c r="C6" s="3">
        <v>3.0</v>
      </c>
      <c r="D6" s="4">
        <f> ROUND(AVERAGE('BGE-M3 Top K = 3 , Chunk 32'!E2:E81),4)</f>
        <v>0.7034</v>
      </c>
      <c r="E6" s="4">
        <f> ROUND(AVERAGE('BGE-M3 Top K = 3 , Chunk 32'!F2:F81),4)</f>
        <v>0.824</v>
      </c>
      <c r="F6" s="4">
        <f> ROUND(AVERAGE('BGE-M3 Top K = 3 , Chunk 32'!G2:G81),4)</f>
        <v>0.801</v>
      </c>
      <c r="G6" s="4">
        <f> ROUND(AVERAGE('BGE-M3 Top K = 3 , Chunk 32'!H2:H81),4)</f>
        <v>0.6744</v>
      </c>
    </row>
    <row r="7" ht="22.5" customHeight="1">
      <c r="A7" s="3" t="s">
        <v>8</v>
      </c>
      <c r="B7" s="3">
        <v>32.0</v>
      </c>
      <c r="C7" s="3">
        <v>5.0</v>
      </c>
      <c r="D7" s="4">
        <f> ROUND(AVERAGE('BGE-M3 Top K = 5 , Chunk 32'!E1:E81),4)</f>
        <v>0.7621</v>
      </c>
      <c r="E7" s="4">
        <f> ROUND(AVERAGE('BGE-M3 Top K = 5 , Chunk 32'!F1:F81),4)</f>
        <v>0.8566</v>
      </c>
      <c r="F7" s="4">
        <f> ROUND(AVERAGE('BGE-M3 Top K = 5 , Chunk 32'!G1:G81),4)</f>
        <v>0.8008</v>
      </c>
      <c r="G7" s="4">
        <f> ROUND(AVERAGE('BGE-M3 Top K = 5 , Chunk 32'!H1:H81),4)</f>
        <v>0.702</v>
      </c>
    </row>
    <row r="8" ht="22.5" customHeight="1">
      <c r="A8" s="3" t="s">
        <v>8</v>
      </c>
      <c r="B8" s="3">
        <v>64.0</v>
      </c>
      <c r="C8" s="3">
        <v>3.0</v>
      </c>
      <c r="D8" s="5">
        <f> ROUND(AVERAGE('BGE-M3 Top K = 3 , Chunk 64'!E2:E81),4)</f>
        <v>0.6878</v>
      </c>
      <c r="E8" s="5">
        <f> ROUND(AVERAGE('BGE-M3 Top K = 3 , Chunk 64'!F2:F81),4)</f>
        <v>0.814</v>
      </c>
      <c r="F8" s="5">
        <f> ROUND(AVERAGE('BGE-M3 Top K = 3 , Chunk 64'!G2:G81),4)</f>
        <v>0.8291</v>
      </c>
      <c r="G8" s="5">
        <f> ROUND(AVERAGE('BGE-M3 Top K = 3 , Chunk 64'!H2:H81),4)</f>
        <v>0.764</v>
      </c>
    </row>
    <row r="9" ht="41.25" customHeight="1">
      <c r="A9" s="3" t="s">
        <v>8</v>
      </c>
      <c r="B9" s="3">
        <v>64.0</v>
      </c>
      <c r="C9" s="3">
        <v>5.0</v>
      </c>
      <c r="D9" s="4">
        <f> ROUND(AVERAGE('BGE-M3 Top K = 5 , Chunk 64'!E2:E81),4)</f>
        <v>0.7224</v>
      </c>
      <c r="E9" s="4">
        <f> ROUND(AVERAGE('BGE-M3 Top K = 5 , Chunk 64'!F2:F81),4)</f>
        <v>0.8459</v>
      </c>
      <c r="F9" s="4">
        <f> ROUND(AVERAGE('BGE-M3 Top K = 5 , Chunk 64'!G2:G81),4)</f>
        <v>0.856</v>
      </c>
      <c r="G9" s="4">
        <f> ROUND(AVERAGE('BGE-M3 Top K = 5 , Chunk 64'!H2:H81),4)</f>
        <v>0.8132</v>
      </c>
    </row>
    <row r="11" ht="3.75" customHeight="1"/>
    <row r="14">
      <c r="A14" s="6" t="s">
        <v>9</v>
      </c>
      <c r="B14" s="6" t="s">
        <v>1</v>
      </c>
      <c r="C14" s="6" t="s">
        <v>10</v>
      </c>
      <c r="D14" s="6" t="s">
        <v>3</v>
      </c>
      <c r="E14" s="6" t="s">
        <v>11</v>
      </c>
      <c r="F14" s="6" t="s">
        <v>12</v>
      </c>
      <c r="G14" s="6" t="s">
        <v>13</v>
      </c>
      <c r="H14" s="7"/>
      <c r="I14" s="7"/>
      <c r="J14" s="7"/>
      <c r="K14" s="7"/>
      <c r="L14" s="7"/>
      <c r="M14" s="7"/>
      <c r="N14" s="7"/>
      <c r="O14" s="7"/>
      <c r="P14" s="7"/>
      <c r="Q14" s="7"/>
      <c r="R14" s="7"/>
      <c r="S14" s="7"/>
      <c r="T14" s="7"/>
      <c r="U14" s="7"/>
      <c r="V14" s="7"/>
      <c r="W14" s="7"/>
      <c r="X14" s="7"/>
      <c r="Y14" s="7"/>
      <c r="Z14" s="7"/>
      <c r="AA14" s="7"/>
    </row>
    <row r="15">
      <c r="A15" s="8" t="s">
        <v>14</v>
      </c>
      <c r="B15" s="8">
        <v>32.0</v>
      </c>
      <c r="C15" s="8">
        <v>3.0</v>
      </c>
      <c r="D15" s="9">
        <f t="shared" ref="D15:G15" si="1">ROUND(AVERAGE(E35,E51),4)
</f>
        <v>0.6244</v>
      </c>
      <c r="E15" s="9">
        <f t="shared" si="1"/>
        <v>0.8222</v>
      </c>
      <c r="F15" s="9">
        <f t="shared" si="1"/>
        <v>0.7458</v>
      </c>
      <c r="G15" s="9">
        <f t="shared" si="1"/>
        <v>0.7289</v>
      </c>
    </row>
    <row r="16">
      <c r="A16" s="8" t="s">
        <v>15</v>
      </c>
      <c r="B16" s="8">
        <v>32.0</v>
      </c>
      <c r="C16" s="8">
        <v>3.0</v>
      </c>
      <c r="D16" s="9">
        <f t="shared" ref="D16:G16" si="2">ROUND(AVERAGE(E36,E52),4)
</f>
        <v>0.7117</v>
      </c>
      <c r="E16" s="9">
        <f t="shared" si="2"/>
        <v>0.7454</v>
      </c>
      <c r="F16" s="9">
        <f t="shared" si="2"/>
        <v>0.7416</v>
      </c>
      <c r="G16" s="9">
        <f t="shared" si="2"/>
        <v>0.7094</v>
      </c>
    </row>
    <row r="17">
      <c r="A17" s="8" t="s">
        <v>16</v>
      </c>
      <c r="B17" s="8">
        <v>32.0</v>
      </c>
      <c r="C17" s="8">
        <v>3.0</v>
      </c>
      <c r="D17" s="9">
        <f t="shared" ref="D17:G17" si="3">ROUND(AVERAGE(E37,E53),4)
</f>
        <v>0.6516</v>
      </c>
      <c r="E17" s="9">
        <f t="shared" si="3"/>
        <v>0.77</v>
      </c>
      <c r="F17" s="9">
        <f t="shared" si="3"/>
        <v>0.6813</v>
      </c>
      <c r="G17" s="9">
        <f t="shared" si="3"/>
        <v>0.5079</v>
      </c>
    </row>
    <row r="18">
      <c r="A18" s="8" t="s">
        <v>17</v>
      </c>
      <c r="B18" s="8">
        <v>32.0</v>
      </c>
      <c r="C18" s="8">
        <v>3.0</v>
      </c>
      <c r="D18" s="9">
        <f t="shared" ref="D18:G18" si="4">ROUND(AVERAGE(E38,E54),4)
</f>
        <v>0.6587</v>
      </c>
      <c r="E18" s="9">
        <f t="shared" si="4"/>
        <v>0.6352</v>
      </c>
      <c r="F18" s="9">
        <f t="shared" si="4"/>
        <v>0.575</v>
      </c>
      <c r="G18" s="9">
        <f t="shared" si="4"/>
        <v>0.6807</v>
      </c>
    </row>
    <row r="19">
      <c r="A19" s="8" t="s">
        <v>14</v>
      </c>
      <c r="B19" s="8">
        <v>32.0</v>
      </c>
      <c r="C19" s="8">
        <v>5.0</v>
      </c>
      <c r="D19" s="9">
        <f t="shared" ref="D19:G19" si="5">ROUND(AVERAGE(E39,E55),4)
</f>
        <v>0.7558</v>
      </c>
      <c r="E19" s="9">
        <f t="shared" si="5"/>
        <v>0.8059</v>
      </c>
      <c r="F19" s="9">
        <f t="shared" si="5"/>
        <v>0.7173</v>
      </c>
      <c r="G19" s="9">
        <f t="shared" si="5"/>
        <v>0.7243</v>
      </c>
    </row>
    <row r="20">
      <c r="A20" s="8" t="s">
        <v>15</v>
      </c>
      <c r="B20" s="8">
        <v>32.0</v>
      </c>
      <c r="C20" s="8">
        <v>5.0</v>
      </c>
      <c r="D20" s="9">
        <f t="shared" ref="D20:G20" si="6">ROUND(AVERAGE(E40,E56),4)
</f>
        <v>0.7413</v>
      </c>
      <c r="E20" s="9">
        <f t="shared" si="6"/>
        <v>0.7326</v>
      </c>
      <c r="F20" s="9">
        <f t="shared" si="6"/>
        <v>0.7803</v>
      </c>
      <c r="G20" s="9">
        <f t="shared" si="6"/>
        <v>0.754</v>
      </c>
    </row>
    <row r="21">
      <c r="A21" s="8" t="s">
        <v>16</v>
      </c>
      <c r="B21" s="8">
        <v>32.0</v>
      </c>
      <c r="C21" s="8">
        <v>5.0</v>
      </c>
      <c r="D21" s="9">
        <f t="shared" ref="D21:G21" si="7">ROUND(AVERAGE(E41,E57),4)
</f>
        <v>0.5977</v>
      </c>
      <c r="E21" s="9">
        <f t="shared" si="7"/>
        <v>0.8386</v>
      </c>
      <c r="F21" s="9">
        <f t="shared" si="7"/>
        <v>0.7274</v>
      </c>
      <c r="G21" s="9">
        <f t="shared" si="7"/>
        <v>0.5908</v>
      </c>
    </row>
    <row r="22">
      <c r="A22" s="8" t="s">
        <v>17</v>
      </c>
      <c r="B22" s="8">
        <v>32.0</v>
      </c>
      <c r="C22" s="8">
        <v>5.0</v>
      </c>
      <c r="D22" s="9">
        <f t="shared" ref="D22:G22" si="8">ROUND(AVERAGE(E42,E58),4)
</f>
        <v>0.6545</v>
      </c>
      <c r="E22" s="9">
        <f t="shared" si="8"/>
        <v>0.7824</v>
      </c>
      <c r="F22" s="9">
        <f t="shared" si="8"/>
        <v>0.5664</v>
      </c>
      <c r="G22" s="9">
        <f t="shared" si="8"/>
        <v>0.7492</v>
      </c>
    </row>
    <row r="23">
      <c r="A23" s="8" t="s">
        <v>14</v>
      </c>
      <c r="B23" s="8">
        <v>64.0</v>
      </c>
      <c r="C23" s="8">
        <v>3.0</v>
      </c>
      <c r="D23" s="9">
        <f t="shared" ref="D23:G23" si="9">ROUND(AVERAGE(E43,E59),4)
</f>
        <v>0.6096</v>
      </c>
      <c r="E23" s="9">
        <f t="shared" si="9"/>
        <v>0.7707</v>
      </c>
      <c r="F23" s="9">
        <f t="shared" si="9"/>
        <v>0.7187</v>
      </c>
      <c r="G23" s="9">
        <f t="shared" si="9"/>
        <v>0.8024</v>
      </c>
    </row>
    <row r="24">
      <c r="A24" s="8" t="s">
        <v>15</v>
      </c>
      <c r="B24" s="8">
        <v>64.0</v>
      </c>
      <c r="C24" s="8">
        <v>3.0</v>
      </c>
      <c r="D24" s="9">
        <f t="shared" ref="D24:G24" si="10">ROUND(AVERAGE(E44,E60),4)
</f>
        <v>0.6773</v>
      </c>
      <c r="E24" s="9">
        <f t="shared" si="10"/>
        <v>0.6593</v>
      </c>
      <c r="F24" s="9">
        <f t="shared" si="10"/>
        <v>0.7479</v>
      </c>
      <c r="G24" s="9">
        <f t="shared" si="10"/>
        <v>0.7245</v>
      </c>
    </row>
    <row r="25">
      <c r="A25" s="8" t="s">
        <v>16</v>
      </c>
      <c r="B25" s="8">
        <v>64.0</v>
      </c>
      <c r="C25" s="8">
        <v>3.0</v>
      </c>
      <c r="D25" s="9">
        <f t="shared" ref="D25:G25" si="11">ROUND(AVERAGE(E45,E61),4)
</f>
        <v>0.647</v>
      </c>
      <c r="E25" s="9">
        <f t="shared" si="11"/>
        <v>0.8355</v>
      </c>
      <c r="F25" s="9">
        <f t="shared" si="11"/>
        <v>0.75</v>
      </c>
      <c r="G25" s="9">
        <f t="shared" si="11"/>
        <v>0.5907</v>
      </c>
    </row>
    <row r="26">
      <c r="A26" s="8" t="s">
        <v>17</v>
      </c>
      <c r="B26" s="8">
        <v>64.0</v>
      </c>
      <c r="C26" s="8">
        <v>3.0</v>
      </c>
      <c r="D26" s="9">
        <f t="shared" ref="D26:G26" si="12">ROUND(AVERAGE(E46,E62),4)
</f>
        <v>0.6439</v>
      </c>
      <c r="E26" s="9">
        <f t="shared" si="12"/>
        <v>0.5991</v>
      </c>
      <c r="F26" s="9">
        <f t="shared" si="12"/>
        <v>0.5937</v>
      </c>
      <c r="G26" s="9">
        <f t="shared" si="12"/>
        <v>0.6986</v>
      </c>
    </row>
    <row r="27">
      <c r="A27" s="8" t="s">
        <v>14</v>
      </c>
      <c r="B27" s="8">
        <v>64.0</v>
      </c>
      <c r="C27" s="8">
        <v>5.0</v>
      </c>
      <c r="D27" s="9">
        <f t="shared" ref="D27:G27" si="13">ROUND(AVERAGE(E47,E63),4)
</f>
        <v>0.6302</v>
      </c>
      <c r="E27" s="9">
        <f t="shared" si="13"/>
        <v>0.8272</v>
      </c>
      <c r="F27" s="9">
        <f t="shared" si="13"/>
        <v>0.7547</v>
      </c>
      <c r="G27" s="9">
        <f t="shared" si="13"/>
        <v>0.8638</v>
      </c>
    </row>
    <row r="28">
      <c r="A28" s="8" t="s">
        <v>15</v>
      </c>
      <c r="B28" s="8">
        <v>64.0</v>
      </c>
      <c r="C28" s="8">
        <v>5.0</v>
      </c>
      <c r="D28" s="9">
        <f t="shared" ref="D28:G28" si="14">ROUND(AVERAGE(E48,E64),4)
</f>
        <v>0.6961</v>
      </c>
      <c r="E28" s="9">
        <f t="shared" si="14"/>
        <v>0.7312</v>
      </c>
      <c r="F28" s="9">
        <f t="shared" si="14"/>
        <v>0.8185</v>
      </c>
      <c r="G28" s="9">
        <f t="shared" si="14"/>
        <v>0.8024</v>
      </c>
    </row>
    <row r="29">
      <c r="A29" s="8" t="s">
        <v>16</v>
      </c>
      <c r="B29" s="8">
        <v>64.0</v>
      </c>
      <c r="C29" s="8">
        <v>5.0</v>
      </c>
      <c r="D29" s="9">
        <f t="shared" ref="D29:G29" si="15">ROUND(AVERAGE(E49,E65),4)
</f>
        <v>0.6384</v>
      </c>
      <c r="E29" s="9">
        <f t="shared" si="15"/>
        <v>0.7901</v>
      </c>
      <c r="F29" s="9">
        <f t="shared" si="15"/>
        <v>0.7687</v>
      </c>
      <c r="G29" s="9">
        <f t="shared" si="15"/>
        <v>0.6744</v>
      </c>
    </row>
    <row r="30">
      <c r="A30" s="8" t="s">
        <v>17</v>
      </c>
      <c r="B30" s="8">
        <v>64.0</v>
      </c>
      <c r="C30" s="8">
        <v>5.0</v>
      </c>
      <c r="D30" s="9">
        <f t="shared" ref="D30:G30" si="16">ROUND(AVERAGE(E50,E66),4)
</f>
        <v>0.7206</v>
      </c>
      <c r="E30" s="9">
        <f t="shared" si="16"/>
        <v>0.6462</v>
      </c>
      <c r="F30" s="9">
        <f t="shared" si="16"/>
        <v>0.5946</v>
      </c>
      <c r="G30" s="9">
        <f t="shared" si="16"/>
        <v>0.7324</v>
      </c>
    </row>
    <row r="34">
      <c r="A34" s="6" t="s">
        <v>0</v>
      </c>
      <c r="B34" s="6" t="s">
        <v>9</v>
      </c>
      <c r="C34" s="6" t="s">
        <v>1</v>
      </c>
      <c r="D34" s="6" t="s">
        <v>10</v>
      </c>
      <c r="E34" s="6" t="s">
        <v>3</v>
      </c>
      <c r="F34" s="6" t="s">
        <v>11</v>
      </c>
      <c r="G34" s="6" t="s">
        <v>12</v>
      </c>
      <c r="H34" s="6" t="s">
        <v>13</v>
      </c>
      <c r="I34" s="10"/>
      <c r="J34" s="10"/>
      <c r="K34" s="10"/>
      <c r="L34" s="10"/>
      <c r="M34" s="10"/>
      <c r="N34" s="10"/>
      <c r="O34" s="10"/>
      <c r="P34" s="10"/>
      <c r="Q34" s="10"/>
      <c r="R34" s="10"/>
      <c r="S34" s="10"/>
      <c r="T34" s="10"/>
      <c r="U34" s="10"/>
      <c r="V34" s="10"/>
      <c r="W34" s="10"/>
      <c r="X34" s="10"/>
      <c r="Y34" s="10"/>
      <c r="Z34" s="10"/>
      <c r="AA34" s="10"/>
    </row>
    <row r="35">
      <c r="A35" s="8" t="s">
        <v>7</v>
      </c>
      <c r="B35" s="8" t="s">
        <v>14</v>
      </c>
      <c r="C35" s="8">
        <v>32.0</v>
      </c>
      <c r="D35" s="8">
        <v>3.0</v>
      </c>
      <c r="E35" s="9">
        <f>IFERROR(__xludf.DUMMYFUNCTION("IFERROR(
ROUND(
AVERAGE(
FILTER(
'Labse Top K=3 Chunk = 32'!E:E,
TRIM('Labse Top K=3 Chunk = 32'!J:J)=""Trend Analysis""
)
),
4),
""Data tidak ada""
)
"),0.6127)</f>
        <v>0.6127</v>
      </c>
      <c r="F35" s="9">
        <f>IFERROR(__xludf.DUMMYFUNCTION("IFERROR(
ROUND(
AVERAGE(
FILTER(
'Labse Top K=3 Chunk = 32'!F:F,
TRIM('Labse Top K=3 Chunk = 32'!J:J)=""Trend Analysis""
)
),
4),
""Data tidak ada""
)
"),0.7325)</f>
        <v>0.7325</v>
      </c>
      <c r="G35" s="9">
        <f>IFERROR(__xludf.DUMMYFUNCTION("IFERROR(
ROUND(
AVERAGE(
FILTER(
'Labse Top K=3 Chunk = 32'!G:G,
TRIM('Labse Top K=3 Chunk = 32'!J:J)=""Trend Analysis""
)
),
4),
""Data tidak ada""
)
"),0.5957)</f>
        <v>0.5957</v>
      </c>
      <c r="H35" s="9">
        <f>IFERROR(__xludf.DUMMYFUNCTION("IFERROR(
ROUND(
AVERAGE(
FILTER(
'Labse Top K=3 Chunk = 32'!H:H,
TRIM('Labse Top K=3 Chunk = 32'!J:J)=""Trend Analysis""
)
),
4),
""Data tidak ada""
)
"),0.7044)</f>
        <v>0.7044</v>
      </c>
    </row>
    <row r="36">
      <c r="A36" s="8" t="s">
        <v>7</v>
      </c>
      <c r="B36" s="8" t="s">
        <v>15</v>
      </c>
      <c r="C36" s="8">
        <v>32.0</v>
      </c>
      <c r="D36" s="8">
        <v>3.0</v>
      </c>
      <c r="E36" s="9">
        <f>IFERROR(__xludf.DUMMYFUNCTION("IFERROR(
ROUND(
AVERAGE(
FILTER(
'Labse Top K=3 Chunk = 32'!E:E,
TRIM('Labse Top K=3 Chunk = 32'!J:J)=""Gap Detection""
)
),
4),
""Data tidak ada""
)
"),0.6613)</f>
        <v>0.6613</v>
      </c>
      <c r="F36" s="9">
        <f>IFERROR(__xludf.DUMMYFUNCTION("IFERROR(
ROUND(
AVERAGE(
FILTER(
'Labse Top K=3 Chunk = 32'!F:F,
TRIM('Labse Top K=3 Chunk = 32'!J:J)=""Gap Detection""
)
),
4),
""Data tidak ada""
)
"),0.7531)</f>
        <v>0.7531</v>
      </c>
      <c r="G36" s="9">
        <f>IFERROR(__xludf.DUMMYFUNCTION("IFERROR(
ROUND(
AVERAGE(
FILTER(
'Labse Top K=3 Chunk = 32'!G:G,
TRIM('Labse Top K=3 Chunk = 32'!J:J)=""Gap Detection""
)
),
4),
""Data tidak ada""
)
"),0.6499)</f>
        <v>0.6499</v>
      </c>
      <c r="H36" s="9">
        <f>IFERROR(__xludf.DUMMYFUNCTION("IFERROR(
ROUND(
AVERAGE(
FILTER(
'Labse Top K=3 Chunk = 32'!H:H,
TRIM('Labse Top K=3 Chunk = 32'!J:J)=""Gap Detection""
)
),
4),
""Data tidak ada""
)
"),0.6894)</f>
        <v>0.6894</v>
      </c>
    </row>
    <row r="37">
      <c r="A37" s="8" t="s">
        <v>7</v>
      </c>
      <c r="B37" s="8" t="s">
        <v>16</v>
      </c>
      <c r="C37" s="8">
        <v>32.0</v>
      </c>
      <c r="D37" s="8">
        <v>3.0</v>
      </c>
      <c r="E37" s="9">
        <f>IFERROR(__xludf.DUMMYFUNCTION("IFERROR(
ROUND(
AVERAGE(
FILTER(
'Labse Top K=3 Chunk = 32'!E:E,
TRIM('Labse Top K=3 Chunk = 32'!J:J)=""Comparative Synthesis""
)
),
4),
""Data tidak ada""
)
"),0.6087)</f>
        <v>0.6087</v>
      </c>
      <c r="F37" s="9">
        <f>IFERROR(__xludf.DUMMYFUNCTION("IFERROR(
ROUND(
AVERAGE(
FILTER(
'Labse Top K=3 Chunk = 32'!F:F,
TRIM('Labse Top K=3 Chunk = 32'!J:J)=""Comparative Synthesis""
)
),
4),
""Data tidak ada""
)
"),0.6743)</f>
        <v>0.6743</v>
      </c>
      <c r="G37" s="9">
        <f>IFERROR(__xludf.DUMMYFUNCTION("IFERROR(
ROUND(
AVERAGE(
FILTER(
'Labse Top K=3 Chunk = 32'!G:G,
TRIM('Labse Top K=3 Chunk = 32'!J:J)=""Comparative Synthesis""
)
),
4),
""Data tidak ada""
)
"),0.575)</f>
        <v>0.575</v>
      </c>
      <c r="H37" s="9">
        <f>IFERROR(__xludf.DUMMYFUNCTION("IFERROR(
ROUND(
AVERAGE(
FILTER(
'Labse Top K=3 Chunk = 32'!H:H,
TRIM('Labse Top K=3 Chunk = 32'!J:J)=""Comparative Synthesis""
)
),
4),
""Data tidak ada""
)
"),0.4945)</f>
        <v>0.4945</v>
      </c>
    </row>
    <row r="38">
      <c r="A38" s="8" t="s">
        <v>7</v>
      </c>
      <c r="B38" s="8" t="s">
        <v>17</v>
      </c>
      <c r="C38" s="8">
        <v>32.0</v>
      </c>
      <c r="D38" s="8">
        <v>3.0</v>
      </c>
      <c r="E38" s="9">
        <f>IFERROR(__xludf.DUMMYFUNCTION("IFERROR(
ROUND(
AVERAGE(
FILTER(
'Labse Top K=3 Chunk = 32'!E:E,
TRIM('Labse Top K=3 Chunk = 32'!J:J)=""Evidence-based QA""
)
),
4),
""Data tidak ada""
)
"),0.5962)</f>
        <v>0.5962</v>
      </c>
      <c r="F38" s="9">
        <f>IFERROR(__xludf.DUMMYFUNCTION("IFERROR(
ROUND(
AVERAGE(
FILTER(
'Labse Top K=3 Chunk = 32'!F:F,
TRIM('Labse Top K=3 Chunk = 32'!J:J)=""Evidence-based QA""
)
),
4),
""Data tidak ada""
)
"),0.4891)</f>
        <v>0.4891</v>
      </c>
      <c r="G38" s="9">
        <f>IFERROR(__xludf.DUMMYFUNCTION("IFERROR(
ROUND(
AVERAGE(
FILTER(
'Labse Top K=3 Chunk = 32'!G:G,
TRIM('Labse Top K=3 Chunk = 32'!J:J)=""Evidence-based QA""
)
),
4),
""Data tidak ada""
)
"),0.4625)</f>
        <v>0.4625</v>
      </c>
      <c r="H38" s="9">
        <f>IFERROR(__xludf.DUMMYFUNCTION("IFERROR(
ROUND(
AVERAGE(
FILTER(
'Labse Top K=3 Chunk = 32'!H:H,
TRIM('Labse Top K=3 Chunk = 32'!J:J)=""Evidence-based QA""
)
),
4),
""Data tidak ada""
)
"),0.6675)</f>
        <v>0.6675</v>
      </c>
    </row>
    <row r="39">
      <c r="A39" s="8" t="s">
        <v>7</v>
      </c>
      <c r="B39" s="8" t="s">
        <v>14</v>
      </c>
      <c r="C39" s="8">
        <v>32.0</v>
      </c>
      <c r="D39" s="8">
        <v>5.0</v>
      </c>
      <c r="E39" s="9">
        <f>IFERROR(__xludf.DUMMYFUNCTION("IFERROR(
ROUND(
AVERAGE(
FILTER(
'Labse Top K=5 Chunk = 32'!E:E,
TRIM('Labse Top K=5 Chunk = 32'!J:J)=""Trend Analysis""
)
),
4),
""Data tidak ada""
)
"),0.7202)</f>
        <v>0.7202</v>
      </c>
      <c r="F39" s="9">
        <f>IFERROR(__xludf.DUMMYFUNCTION("IFERROR(
ROUND(
AVERAGE(
FILTER(
'Labse Top K=5 Chunk = 32'!F:F,
TRIM('Labse Top K=5 Chunk = 32'!J:J)=""Trend Analysis""
)
),
4),
""Data tidak ada""
)
"),0.7294)</f>
        <v>0.7294</v>
      </c>
      <c r="G39" s="9">
        <f>IFERROR(__xludf.DUMMYFUNCTION("IFERROR(
ROUND(
AVERAGE(
FILTER(
'Labse Top K=5 Chunk = 32'!G:G,
TRIM('Labse Top K=5 Chunk = 32'!J:J)=""Trend Analysis""
)
),
4),
""Data tidak ada""
)
"),0.5473)</f>
        <v>0.5473</v>
      </c>
      <c r="H39" s="9">
        <f>IFERROR(__xludf.DUMMYFUNCTION("IFERROR(
ROUND(
AVERAGE(
FILTER(
'Labse Top K=5 Chunk = 32'!H:H,
TRIM('Labse Top K=5 Chunk = 32'!J:J)=""Trend Analysis""
)
),
4),
""Data tidak ada""
)
"),0.785)</f>
        <v>0.785</v>
      </c>
    </row>
    <row r="40">
      <c r="A40" s="8" t="s">
        <v>7</v>
      </c>
      <c r="B40" s="8" t="s">
        <v>15</v>
      </c>
      <c r="C40" s="8">
        <v>32.0</v>
      </c>
      <c r="D40" s="8">
        <v>5.0</v>
      </c>
      <c r="E40" s="9">
        <f>IFERROR(__xludf.DUMMYFUNCTION("IFERROR(
ROUND(
AVERAGE(
FILTER(
'Labse Top K=5 Chunk = 32'!E:E,
TRIM('Labse Top K=5 Chunk = 32'!J:J)=""Gap Detection""
)
),
4),
""Data tidak ada""
)
"),0.6301)</f>
        <v>0.6301</v>
      </c>
      <c r="F40" s="9">
        <f>IFERROR(__xludf.DUMMYFUNCTION("IFERROR(
ROUND(
AVERAGE(
FILTER(
'Labse Top K=5 Chunk = 32'!F:F,
TRIM('Labse Top K=5 Chunk = 32'!J:J)=""Gap Detection""
)
),
4),
""Data tidak ada""
)
"),0.6617)</f>
        <v>0.6617</v>
      </c>
      <c r="G40" s="9">
        <f>IFERROR(__xludf.DUMMYFUNCTION("IFERROR(
ROUND(
AVERAGE(
FILTER(
'Labse Top K=5 Chunk = 32'!G:G,
TRIM('Labse Top K=5 Chunk = 32'!J:J)=""Gap Detection""
)
),
4),
""Data tidak ada""
)
"),0.7106)</f>
        <v>0.7106</v>
      </c>
      <c r="H40" s="9">
        <f>IFERROR(__xludf.DUMMYFUNCTION("IFERROR(
ROUND(
AVERAGE(
FILTER(
'Labse Top K=5 Chunk = 32'!H:H,
TRIM('Labse Top K=5 Chunk = 32'!J:J)=""Gap Detection""
)
),
4),
""Data tidak ada""
)
"),0.7442)</f>
        <v>0.7442</v>
      </c>
    </row>
    <row r="41">
      <c r="A41" s="8" t="s">
        <v>7</v>
      </c>
      <c r="B41" s="8" t="s">
        <v>16</v>
      </c>
      <c r="C41" s="8">
        <v>32.0</v>
      </c>
      <c r="D41" s="8">
        <v>5.0</v>
      </c>
      <c r="E41" s="9">
        <f>IFERROR(__xludf.DUMMYFUNCTION("IFERROR(
ROUND(
AVERAGE(
FILTER(
'Labse Top K=5 Chunk = 32'!E:E,
TRIM('Labse Top K=5 Chunk = 32'!J:J)=""Comparative Synthesis""
)
),
4),
""Data tidak ada""
)
"),0.5153)</f>
        <v>0.5153</v>
      </c>
      <c r="F41" s="9">
        <f>IFERROR(__xludf.DUMMYFUNCTION("IFERROR(
ROUND(
AVERAGE(
FILTER(
'Labse Top K=5 Chunk = 32'!F:F,
TRIM('Labse Top K=5 Chunk = 32'!J:J)=""Comparative Synthesis""
)
),
4),
""Data tidak ada""
)
"),0.8072)</f>
        <v>0.8072</v>
      </c>
      <c r="G41" s="9">
        <f>IFERROR(__xludf.DUMMYFUNCTION("IFERROR(
ROUND(
AVERAGE(
FILTER(
'Labse Top K=5 Chunk = 32'!G:G,
TRIM('Labse Top K=5 Chunk = 32'!J:J)=""Comparative Synthesis""
)
),
4),
""Data tidak ada""
)
"),0.644)</f>
        <v>0.644</v>
      </c>
      <c r="H41" s="9">
        <f>IFERROR(__xludf.DUMMYFUNCTION("IFERROR(
ROUND(
AVERAGE(
FILTER(
'Labse Top K=5 Chunk = 32'!H:H,
TRIM('Labse Top K=5 Chunk = 32'!J:J)=""Comparative Synthesis""
)
),
4),
""Data tidak ada""
)
"),0.596)</f>
        <v>0.596</v>
      </c>
    </row>
    <row r="42">
      <c r="A42" s="8" t="s">
        <v>7</v>
      </c>
      <c r="B42" s="8" t="s">
        <v>17</v>
      </c>
      <c r="C42" s="8">
        <v>32.0</v>
      </c>
      <c r="D42" s="8">
        <v>5.0</v>
      </c>
      <c r="E42" s="9">
        <f>IFERROR(__xludf.DUMMYFUNCTION("IFERROR(
ROUND(
AVERAGE(
FILTER(
'Labse Top K=5 Chunk = 32'!E:E,
TRIM('Labse Top K=5 Chunk = 32'!J:J)=""Evidence-based QA""
)
),
4),
""Data tidak ada""
)
"),0.5844)</f>
        <v>0.5844</v>
      </c>
      <c r="F42" s="9">
        <f>IFERROR(__xludf.DUMMYFUNCTION("IFERROR(
ROUND(
AVERAGE(
FILTER(
'Labse Top K=5 Chunk = 32'!F:F,
TRIM('Labse Top K=5 Chunk = 32'!J:J)=""Evidence-based QA""
)
),
4),
""Data tidak ada""
)
"),0.6942)</f>
        <v>0.6942</v>
      </c>
      <c r="G42" s="9">
        <f>IFERROR(__xludf.DUMMYFUNCTION("IFERROR(
ROUND(
AVERAGE(
FILTER(
'Labse Top K=5 Chunk = 32'!G:G,
TRIM('Labse Top K=5 Chunk = 32'!J:J)=""Evidence-based QA""
)
),
4),
""Data tidak ada""
)
"),0.4773)</f>
        <v>0.4773</v>
      </c>
      <c r="H42" s="9">
        <f>IFERROR(__xludf.DUMMYFUNCTION("IFERROR(
ROUND(
AVERAGE(
FILTER(
'Labse Top K=3 Chunk = 64'!H:H,
TRIM('Labse Top K=3 Chunk = 64'!J:J)=""Evidence-based QA""
)
),
4),
""Data tidak ada""
)
"),0.7034)</f>
        <v>0.7034</v>
      </c>
    </row>
    <row r="43">
      <c r="A43" s="8" t="s">
        <v>7</v>
      </c>
      <c r="B43" s="8" t="s">
        <v>14</v>
      </c>
      <c r="C43" s="8">
        <v>64.0</v>
      </c>
      <c r="D43" s="8">
        <v>3.0</v>
      </c>
      <c r="E43" s="9">
        <f>IFERROR(__xludf.DUMMYFUNCTION("IFERROR(
ROUND(
AVERAGE(
FILTER(
'Labse Top K=3 Chunk = 64'!E:E,
TRIM('Labse Top K=3 Chunk = 64'!J:J)=""Trend Analysis""
)
),
4),
""Data tidak ada""
)
"),0.5604)</f>
        <v>0.5604</v>
      </c>
      <c r="F43" s="9">
        <f>IFERROR(__xludf.DUMMYFUNCTION("IFERROR(
ROUND(
AVERAGE(
FILTER(
'Labse Top K=3 Chunk = 64'!F:F,
TRIM('Labse Top K=3 Chunk = 64'!J:J)=""Trend Analysis""
)
),
4),
""Data tidak ada""
)
"),0.6707)</f>
        <v>0.6707</v>
      </c>
      <c r="G43" s="9">
        <f>IFERROR(__xludf.DUMMYFUNCTION("IFERROR(
ROUND(
AVERAGE(
FILTER(
'Labse Top K=3 Chunk = 64'!G:G,
TRIM('Labse Top K=3 Chunk = 64'!J:J)=""Trend Analysis""
)
),
4),
""Data tidak ada""
)
"),0.4957)</f>
        <v>0.4957</v>
      </c>
      <c r="H43" s="9">
        <f>IFERROR(__xludf.DUMMYFUNCTION("IFERROR(
ROUND(
AVERAGE(
FILTER(
'Labse Top K=3 Chunk = 64'!H:H,
TRIM('Labse Top K=3 Chunk = 64'!J:J)=""Trend Analysis""
)
),
4),
""Data tidak ada""
)
"),0.7846)</f>
        <v>0.7846</v>
      </c>
    </row>
    <row r="44">
      <c r="A44" s="8" t="s">
        <v>7</v>
      </c>
      <c r="B44" s="8" t="s">
        <v>15</v>
      </c>
      <c r="C44" s="8">
        <v>64.0</v>
      </c>
      <c r="D44" s="8">
        <v>3.0</v>
      </c>
      <c r="E44" s="9">
        <f>IFERROR(__xludf.DUMMYFUNCTION("IFERROR(
ROUND(
AVERAGE(
FILTER(
'Labse Top K=3 Chunk = 64'!E:E,
TRIM('Labse Top K=3 Chunk = 64'!J:J)=""Gap Detection""
)
),
4),
""Data tidak ada""
)
"),0.6381)</f>
        <v>0.6381</v>
      </c>
      <c r="F44" s="9">
        <f>IFERROR(__xludf.DUMMYFUNCTION("IFERROR(
ROUND(
AVERAGE(
FILTER(
'Labse Top K=3 Chunk = 64'!F:F,
TRIM('Labse Top K=3 Chunk = 64'!J:J)=""Gap Detection""
)
),
4),
""Data tidak ada""
)
"),0.5786)</f>
        <v>0.5786</v>
      </c>
      <c r="G44" s="9">
        <f>IFERROR(__xludf.DUMMYFUNCTION("IFERROR(
ROUND(
AVERAGE(
FILTER(
'Labse Top K=3 Chunk = 64'!G:G,
TRIM('Labse Top K=3 Chunk = 64'!J:J)=""Gap Detection""
)
),
4),
""Data tidak ada""
)
"),0.6916)</f>
        <v>0.6916</v>
      </c>
      <c r="H44" s="9">
        <f>IFERROR(__xludf.DUMMYFUNCTION("IFERROR(
ROUND(
AVERAGE(
FILTER(
'Labse Top K=3 Chunk = 64'!H:H,
TRIM('Labse Top K=3 Chunk = 64'!J:J)=""Gap Detection""
)
),
4),
""Data tidak ada""
)
"),0.6686)</f>
        <v>0.6686</v>
      </c>
    </row>
    <row r="45">
      <c r="A45" s="8" t="s">
        <v>7</v>
      </c>
      <c r="B45" s="8" t="s">
        <v>16</v>
      </c>
      <c r="C45" s="8">
        <v>64.0</v>
      </c>
      <c r="D45" s="8">
        <v>3.0</v>
      </c>
      <c r="E45" s="9">
        <f>IFERROR(__xludf.DUMMYFUNCTION("IFERROR(
ROUND(
AVERAGE(
FILTER(
'Labse Top K=3 Chunk = 64'!E:E,
TRIM('Labse Top K=3 Chunk = 64'!J:J)=""Comparative Synthesis""
)
),
4),
""Data tidak ada""
)
"),0.6239)</f>
        <v>0.6239</v>
      </c>
      <c r="F45" s="9">
        <f>IFERROR(__xludf.DUMMYFUNCTION("IFERROR(
ROUND(
AVERAGE(
FILTER(
'Labse Top K=3 Chunk = 64'!F:F,
TRIM('Labse Top K=3 Chunk = 64'!J:J)=""Comparative Synthesis""
)
),
4),
""Data tidak ada""
)
"),0.7929)</f>
        <v>0.7929</v>
      </c>
      <c r="G45" s="9">
        <f>IFERROR(__xludf.DUMMYFUNCTION("IFERROR(
ROUND(
AVERAGE(
FILTER(
'Labse Top K=3 Chunk = 64'!G:G,
TRIM('Labse Top K=3 Chunk = 64'!J:J)=""Comparative Synthesis""
)
),
4),
""Data tidak ada""
)
"),0.6583)</f>
        <v>0.6583</v>
      </c>
      <c r="H45" s="9">
        <f>IFERROR(__xludf.DUMMYFUNCTION("IFERROR(
ROUND(
AVERAGE(
FILTER(
'Labse Top K=5 Chunk = 64'!H:H,
TRIM('Labse Top K=5 Chunk = 64'!J:J)=""Comparative Synthesis""
)
),
4),
""Data tidak ada""
)
"),0.5604)</f>
        <v>0.5604</v>
      </c>
    </row>
    <row r="46">
      <c r="A46" s="8" t="s">
        <v>7</v>
      </c>
      <c r="B46" s="8" t="s">
        <v>17</v>
      </c>
      <c r="C46" s="8">
        <v>64.0</v>
      </c>
      <c r="D46" s="8">
        <v>3.0</v>
      </c>
      <c r="E46" s="9">
        <f>IFERROR(__xludf.DUMMYFUNCTION("IFERROR(
ROUND(
AVERAGE(
FILTER(
'Labse Top K=3 Chunk = 64'!E:E,
TRIM('Labse Top K=3 Chunk = 64'!J:J)=""Evidence-based QA""
)
),
4),
""Data tidak ada""
)
"),0.5819)</f>
        <v>0.5819</v>
      </c>
      <c r="F46" s="9">
        <f>IFERROR(__xludf.DUMMYFUNCTION("IFERROR(
ROUND(
AVERAGE(
FILTER(
'Labse Top K=3 Chunk = 64'!F:F,
TRIM('Labse Top K=3 Chunk = 64'!J:J)=""Evidence-based QA""
)
),
4),
""Data tidak ada""
)
"),0.4309)</f>
        <v>0.4309</v>
      </c>
      <c r="G46" s="9">
        <f>IFERROR(__xludf.DUMMYFUNCTION("IFERROR(
ROUND(
AVERAGE(
FILTER(
'Labse Top K=3 Chunk = 64'!G:G,
TRIM('Labse Top K=3 Chunk = 64'!J:J)=""Evidence-based QA""
)
),
4),
""Data tidak ada""
)
"),0.4583)</f>
        <v>0.4583</v>
      </c>
      <c r="H46" s="9">
        <f>IFERROR(__xludf.DUMMYFUNCTION("IFERROR(
ROUND(
AVERAGE(
FILTER(
'Labse Top K=3 Chunk = 64'!H:H,
TRIM('Labse Top K=3 Chunk = 64'!J:J)=""Evidence-based QA""
)
),
4),
""Data tidak ada""
)
"),0.7034)</f>
        <v>0.7034</v>
      </c>
    </row>
    <row r="47">
      <c r="A47" s="8" t="s">
        <v>7</v>
      </c>
      <c r="B47" s="8" t="s">
        <v>14</v>
      </c>
      <c r="C47" s="8">
        <v>64.0</v>
      </c>
      <c r="D47" s="8">
        <v>5.0</v>
      </c>
      <c r="E47" s="9">
        <f>IFERROR(__xludf.DUMMYFUNCTION("IFERROR(
ROUND(
AVERAGE(
FILTER(
'Labse Top K=5 Chunk = 64'!E:E,
TRIM('Labse Top K=5 Chunk = 64'!J:J)=""Trend Analysis""
)
),
4),
""Data tidak ada""
)
"),0.6096)</f>
        <v>0.6096</v>
      </c>
      <c r="F47" s="9">
        <f>IFERROR(__xludf.DUMMYFUNCTION("IFERROR(
ROUND(
AVERAGE(
FILTER(
'Labse Top K=5 Chunk = 64'!F:F,
TRIM('Labse Top K=5 Chunk = 64'!J:J)=""Trend Analysis""
)
),
4),
""Data tidak ada""
)
"),0.7837)</f>
        <v>0.7837</v>
      </c>
      <c r="G47" s="9">
        <f>IFERROR(__xludf.DUMMYFUNCTION("IFERROR(
ROUND(
AVERAGE(
FILTER(
'Labse Top K=5 Chunk = 64'!G:G,
TRIM('Labse Top K=5 Chunk = 64'!J:J)=""Trend Analysis""
)
),
4),
""Data tidak ada""
)
"),0.6506)</f>
        <v>0.6506</v>
      </c>
      <c r="H47" s="9">
        <f>IFERROR(__xludf.DUMMYFUNCTION("IFERROR(
ROUND(
AVERAGE(
FILTER(
'Labse Top K=5 Chunk = 64'!H:H,
TRIM('Labse Top K=5 Chunk = 64'!J:J)=""Trend Analysis""
)
),
4),
""Data tidak ada""
)
"),0.7875)</f>
        <v>0.7875</v>
      </c>
    </row>
    <row r="48">
      <c r="A48" s="8" t="s">
        <v>7</v>
      </c>
      <c r="B48" s="8" t="s">
        <v>15</v>
      </c>
      <c r="C48" s="8">
        <v>64.0</v>
      </c>
      <c r="D48" s="8">
        <v>5.0</v>
      </c>
      <c r="E48" s="9">
        <f>IFERROR(__xludf.DUMMYFUNCTION("IFERROR(
ROUND(
AVERAGE(
FILTER(
'Labse Top K=5 Chunk = 64'!E:E,
TRIM('Labse Top K=5 Chunk = 64'!J:J)=""Gap Detection""
)
),
4),
""Data tidak ada""
)
"),0.5862)</f>
        <v>0.5862</v>
      </c>
      <c r="F48" s="9">
        <f>IFERROR(__xludf.DUMMYFUNCTION("IFERROR(
ROUND(
AVERAGE(
FILTER(
'Labse Top K=5 Chunk = 64'!F:F,
TRIM('Labse Top K=5 Chunk = 64'!J:J)=""Gap Detection""
)
),
4),
""Data tidak ada""
)
"),0.641)</f>
        <v>0.641</v>
      </c>
      <c r="G48" s="9">
        <f>IFERROR(__xludf.DUMMYFUNCTION("IFERROR(
ROUND(
AVERAGE(
FILTER(
'Labse Top K=5 Chunk = 64'!G:G,
TRIM('Labse Top K=5 Chunk = 64'!J:J)=""Gap Detection""
)
),
4),
""Data tidak ada""
)
"),0.7229)</f>
        <v>0.7229</v>
      </c>
      <c r="H48" s="9">
        <f>IFERROR(__xludf.DUMMYFUNCTION("IFERROR(
ROUND(
AVERAGE(
FILTER(
'Labse Top K=5 Chunk = 64'!H:H,
TRIM('Labse Top K=5 Chunk = 64'!J:J)=""Gap Detection""
)
),
4),
""Data tidak ada""
)
"),0.778)</f>
        <v>0.778</v>
      </c>
    </row>
    <row r="49">
      <c r="A49" s="8" t="s">
        <v>7</v>
      </c>
      <c r="B49" s="8" t="s">
        <v>16</v>
      </c>
      <c r="C49" s="8">
        <v>64.0</v>
      </c>
      <c r="D49" s="8">
        <v>5.0</v>
      </c>
      <c r="E49" s="9">
        <f>IFERROR(__xludf.DUMMYFUNCTION("IFERROR(
ROUND(
AVERAGE(
FILTER(
'Labse Top K=5 Chunk = 64'!E:E,
TRIM('Labse Top K=5 Chunk = 64'!J:J)=""Comparative Synthesis""
)
),
4),
""Data tidak ada""
)
"),0.6026)</f>
        <v>0.6026</v>
      </c>
      <c r="F49" s="9">
        <f>IFERROR(__xludf.DUMMYFUNCTION("IFERROR(
ROUND(
AVERAGE(
FILTER(
'Labse Top K=5 Chunk = 64'!F:F,
TRIM('Labse Top K=5 Chunk = 64'!J:J)=""Comparative Synthesis""
)
),
4),
""Data tidak ada""
)
"),0.6917)</f>
        <v>0.6917</v>
      </c>
      <c r="G49" s="9">
        <f>IFERROR(__xludf.DUMMYFUNCTION("IFERROR(
ROUND(
AVERAGE(
FILTER(
'Labse Top K=5 Chunk = 64'!G:G,
TRIM('Labse Top K=5 Chunk = 64'!J:J)=""Comparative Synthesis""
)
),
4),
""Data tidak ada""
)
"),0.6328)</f>
        <v>0.6328</v>
      </c>
      <c r="H49" s="9">
        <f>IFERROR(__xludf.DUMMYFUNCTION("IFERROR(
ROUND(
AVERAGE(
FILTER(
'Labse Top K=5 Chunk = 64'!H:H,
TRIM('Labse Top K=5 Chunk = 64'!J:J)=""Comparative Synthesis""
)
),
4),
""Data tidak ada""
)
"),0.5604)</f>
        <v>0.5604</v>
      </c>
    </row>
    <row r="50">
      <c r="A50" s="8" t="s">
        <v>7</v>
      </c>
      <c r="B50" s="8" t="s">
        <v>17</v>
      </c>
      <c r="C50" s="8">
        <v>64.0</v>
      </c>
      <c r="D50" s="8">
        <v>5.0</v>
      </c>
      <c r="E50" s="9">
        <f>IFERROR(__xludf.DUMMYFUNCTION("IFERROR(
ROUND(
AVERAGE(
FILTER(
'Labse Top K=5 Chunk = 64'!E:E,
TRIM('Labse Top K=5 Chunk = 64'!J:J)=""Evidence-based QA""
)
),
4),
""Data tidak ada""
)
"),0.6823)</f>
        <v>0.6823</v>
      </c>
      <c r="F50" s="9">
        <f>IFERROR(__xludf.DUMMYFUNCTION("IFERROR(
ROUND(
AVERAGE(
FILTER(
'Labse Top K=5 Chunk = 64'!F:F,
TRIM('Labse Top K=5 Chunk = 64'!J:J)=""Evidence-based QA""
)
),
4),
""Data tidak ada""
)
"),0.499)</f>
        <v>0.499</v>
      </c>
      <c r="G50" s="9">
        <f>IFERROR(__xludf.DUMMYFUNCTION("IFERROR(
ROUND(
AVERAGE(
FILTER(
'Labse Top K=5 Chunk = 64'!G:G,
TRIM('Labse Top K=5 Chunk = 64'!J:J)=""Evidence-based QA""
)
),
4),
""Data tidak ada""
)
"),0.4427)</f>
        <v>0.4427</v>
      </c>
      <c r="H50" s="9">
        <f>IFERROR(__xludf.DUMMYFUNCTION("IFERROR(
ROUND(
AVERAGE(
FILTER(
'Labse Top K=5 Chunk = 64'!H:H,
TRIM('Labse Top K=5 Chunk = 64'!J:J)=""Evidence-based QA""
)
),
4),
""Data tidak ada""
)
"),0.7671)</f>
        <v>0.7671</v>
      </c>
    </row>
    <row r="51">
      <c r="A51" s="11" t="s">
        <v>8</v>
      </c>
      <c r="B51" s="8" t="s">
        <v>14</v>
      </c>
      <c r="C51" s="8">
        <v>32.0</v>
      </c>
      <c r="D51" s="8">
        <v>3.0</v>
      </c>
      <c r="E51" s="9">
        <f>IFERROR(__xludf.DUMMYFUNCTION("IFERROR(
ROUND(
AVERAGE(
FILTER(
'BGE-M3 Top K = 3 , Chunk 32'!E:E,
TRIM('BGE-M3 Top K = 3 , Chunk 32'!J:J)=""Trend Analysis""
)
),
4),
""Data tidak ada""
)
"),0.6361)</f>
        <v>0.6361</v>
      </c>
      <c r="F51" s="9">
        <f>IFERROR(__xludf.DUMMYFUNCTION("IFERROR(
ROUND(
AVERAGE(
FILTER(
'BGE-M3 Top K = 3 , Chunk 32'!F:F,
TRIM('BGE-M3 Top K = 3 , Chunk 32'!J:J)=""Trend Analysis""
)
),
4),
""Data tidak ada""
)
"),0.9118)</f>
        <v>0.9118</v>
      </c>
      <c r="G51" s="9">
        <f>IFERROR(__xludf.DUMMYFUNCTION("IFERROR(
ROUND(
AVERAGE(
FILTER(
'BGE-M3 Top K = 3 , Chunk 32'!G:G,
TRIM('BGE-M3 Top K = 3 , Chunk 32'!J:J)=""Trend Analysis""
)
),
4),
""Data tidak ada""
)
"),0.8958)</f>
        <v>0.8958</v>
      </c>
      <c r="H51" s="9">
        <f>IFERROR(__xludf.DUMMYFUNCTION("IFERROR(
ROUND(
AVERAGE(
FILTER(
'BGE-M3 Top K = 3 , Chunk 32'!H:H,
TRIM('BGE-M3 Top K = 3 , Chunk 32'!J:J)=""Trend Analysis""
)
),
4),
""Data tidak ada""
)
"),0.7534)</f>
        <v>0.7534</v>
      </c>
    </row>
    <row r="52">
      <c r="A52" s="11" t="s">
        <v>8</v>
      </c>
      <c r="B52" s="8" t="s">
        <v>15</v>
      </c>
      <c r="C52" s="8">
        <v>32.0</v>
      </c>
      <c r="D52" s="8">
        <v>3.0</v>
      </c>
      <c r="E52" s="9">
        <f>IFERROR(__xludf.DUMMYFUNCTION("IFERROR(
ROUND(
AVERAGE(
FILTER(
'BGE-M3 Top K = 3 , Chunk 32'!E:E,
TRIM('BGE-M3 Top K = 3 , Chunk 32'!J:J)=""Gap Detection""
)
),
4),
""Data tidak ada""
)
"),0.7621)</f>
        <v>0.7621</v>
      </c>
      <c r="F52" s="9">
        <f>IFERROR(__xludf.DUMMYFUNCTION("IFERROR(
ROUND(
AVERAGE(
FILTER(
'BGE-M3 Top K = 3 , Chunk 32'!F:F,
TRIM('BGE-M3 Top K = 3 , Chunk 32'!J:J)=""Gap Detection""
)
),
4),
""Data tidak ada""
)
"),0.7377)</f>
        <v>0.7377</v>
      </c>
      <c r="G52" s="9">
        <f>IFERROR(__xludf.DUMMYFUNCTION("IFERROR(
ROUND(
AVERAGE(
FILTER(
'BGE-M3 Top K = 3 , Chunk 32'!G:G,
TRIM('BGE-M3 Top K = 3 , Chunk 32'!J:J)=""Gap Detection""
)
),
4),
""Data tidak ada""
)
"),0.8333)</f>
        <v>0.8333</v>
      </c>
      <c r="H52" s="9">
        <f>IFERROR(__xludf.DUMMYFUNCTION("IFERROR(
ROUND(
AVERAGE(
FILTER(
'BGE-M3 Top K = 3 , Chunk 32'!H:H,
TRIM('BGE-M3 Top K = 3 , Chunk 32'!J:J)=""Gap Detection""
)
),
4),
""Data tidak ada""
)
"),0.7293)</f>
        <v>0.7293</v>
      </c>
    </row>
    <row r="53">
      <c r="A53" s="11" t="s">
        <v>8</v>
      </c>
      <c r="B53" s="8" t="s">
        <v>16</v>
      </c>
      <c r="C53" s="8">
        <v>32.0</v>
      </c>
      <c r="D53" s="8">
        <v>3.0</v>
      </c>
      <c r="E53" s="9">
        <f>IFERROR(__xludf.DUMMYFUNCTION("IFERROR(
ROUND(
AVERAGE(
FILTER(
'BGE-M3 Top K = 3 , Chunk 32'!E:E,
TRIM('BGE-M3 Top K = 3 , Chunk 32'!J:J)=""Comparative Synthesis""
)
),
4),
""Data tidak ada""
)
"),0.6944)</f>
        <v>0.6944</v>
      </c>
      <c r="F53" s="9">
        <f>IFERROR(__xludf.DUMMYFUNCTION("IFERROR(
ROUND(
AVERAGE(
FILTER(
'BGE-M3 Top K = 3 , Chunk 32'!F:F,
TRIM('BGE-M3 Top K = 3 , Chunk 32'!J:J)=""Comparative Synthesis""
)
),
4),
""Data tidak ada""
)
"),0.8656)</f>
        <v>0.8656</v>
      </c>
      <c r="G53" s="9">
        <f>IFERROR(__xludf.DUMMYFUNCTION("IFERROR(
ROUND(
AVERAGE(
FILTER(
'BGE-M3 Top K = 3 , Chunk 32'!G:G,
TRIM('BGE-M3 Top K = 3 , Chunk 32'!J:J)=""Comparative Synthesis""
)
),
4),
""Data tidak ada""
)
"),0.7875)</f>
        <v>0.7875</v>
      </c>
      <c r="H53" s="9">
        <f>IFERROR(__xludf.DUMMYFUNCTION("IFERROR(
ROUND(
AVERAGE(
FILTER(
'BGE-M3 Top K = 3 , Chunk 32'!H:H,
TRIM('BGE-M3 Top K = 3 , Chunk 32'!J:J)=""Comparative Synthesis""
)
),
4),
""Data tidak ada""
)
"),0.5212)</f>
        <v>0.5212</v>
      </c>
    </row>
    <row r="54">
      <c r="A54" s="11" t="s">
        <v>8</v>
      </c>
      <c r="B54" s="8" t="s">
        <v>17</v>
      </c>
      <c r="C54" s="8">
        <v>32.0</v>
      </c>
      <c r="D54" s="8">
        <v>3.0</v>
      </c>
      <c r="E54" s="9">
        <f>IFERROR(__xludf.DUMMYFUNCTION("IFERROR(
ROUND(
AVERAGE(
FILTER(
'BGE-M3 Top K = 3 , Chunk 32'!E:E,
TRIM('BGE-M3 Top K = 3 , Chunk 32'!J:J)=""Evidence-based QA""
)
),
4),
""Data tidak ada""
)
"),0.7211)</f>
        <v>0.7211</v>
      </c>
      <c r="F54" s="9">
        <f>IFERROR(__xludf.DUMMYFUNCTION("IFERROR(
ROUND(
AVERAGE(
FILTER(
'BGE-M3 Top K = 3 , Chunk 32'!F:F,
TRIM('BGE-M3 Top K = 3 , Chunk 32'!J:J)=""Evidence-based QA""
)
),
4),
""Data tidak ada""
)
"),0.7812)</f>
        <v>0.7812</v>
      </c>
      <c r="G54" s="9">
        <f>IFERROR(__xludf.DUMMYFUNCTION("IFERROR(
ROUND(
AVERAGE(
FILTER(
'BGE-M3 Top K = 3 , Chunk 32'!G:G,
TRIM('BGE-M3 Top K = 3 , Chunk 32'!J:J)=""Evidence-based QA""
)
),
4),
""Data tidak ada""
)
"),0.6875)</f>
        <v>0.6875</v>
      </c>
      <c r="H54" s="9">
        <f>IFERROR(__xludf.DUMMYFUNCTION("IFERROR(
ROUND(
AVERAGE(
FILTER(
'BGE-M3 Top K = 3 , Chunk 32'!H:H,
TRIM('BGE-M3 Top K = 3 , Chunk 32'!J:J)=""Evidence-based QA""
)
),
4),
""Data tidak ada""
)
"),0.6938)</f>
        <v>0.6938</v>
      </c>
    </row>
    <row r="55">
      <c r="A55" s="11" t="s">
        <v>8</v>
      </c>
      <c r="B55" s="8" t="s">
        <v>14</v>
      </c>
      <c r="C55" s="8">
        <v>32.0</v>
      </c>
      <c r="D55" s="8">
        <v>5.0</v>
      </c>
      <c r="E55" s="9">
        <f>IFERROR(__xludf.DUMMYFUNCTION("IFERROR(
ROUND(
AVERAGE(
FILTER(
'BGE-M3 Top K = 5 , Chunk 32'!E:E,
TRIM('BGE-M3 Top K = 5 , Chunk 32'!J:J)=""Trend Analysis""
)
),
4),
""Data tidak ada""
)
"),0.7913)</f>
        <v>0.7913</v>
      </c>
      <c r="F55" s="9">
        <f>IFERROR(__xludf.DUMMYFUNCTION("IFERROR(
ROUND(
AVERAGE(
FILTER(
'BGE-M3 Top K = 5 , Chunk 32'!F:F,
TRIM('BGE-M3 Top K = 5 , Chunk 32'!J:J)=""Trend Analysis""
)
),
4),
""Data tidak ada""
)
"),0.8824)</f>
        <v>0.8824</v>
      </c>
      <c r="G55" s="9">
        <f>IFERROR(__xludf.DUMMYFUNCTION("IFERROR(
ROUND(
AVERAGE(
FILTER(
'BGE-M3 Top K = 5 , Chunk 32'!G:G,
TRIM('BGE-M3 Top K = 5 , Chunk 32'!J:J)=""Trend Analysis""
)
),
4),
""Data tidak ada""
)
"),0.8873)</f>
        <v>0.8873</v>
      </c>
      <c r="H55" s="9">
        <f>IFERROR(__xludf.DUMMYFUNCTION("IFERROR(
ROUND(
AVERAGE(
FILTER(
'BGE-M3 Top K = 5 , Chunk 32'!H:H,
TRIM('BGE-M3 Top K = 5 , Chunk 32'!J:J)=""Trend Analysis""
)
),
4),
""Data tidak ada""
)
"),0.6636)</f>
        <v>0.6636</v>
      </c>
    </row>
    <row r="56" ht="30.0" customHeight="1">
      <c r="A56" s="11" t="s">
        <v>8</v>
      </c>
      <c r="B56" s="8" t="s">
        <v>15</v>
      </c>
      <c r="C56" s="8">
        <v>32.0</v>
      </c>
      <c r="D56" s="8">
        <v>5.0</v>
      </c>
      <c r="E56" s="9">
        <f>IFERROR(__xludf.DUMMYFUNCTION("IFERROR(
ROUND(
AVERAGE(
FILTER(
'BGE-M3 Top K = 5 , Chunk 32'!E:E,
TRIM('BGE-M3 Top K = 5 , Chunk 32'!J:J)=""Gap Detection""
)
),
4),
""Data tidak ada""
)
"),0.8524)</f>
        <v>0.8524</v>
      </c>
      <c r="F56" s="9">
        <f>IFERROR(__xludf.DUMMYFUNCTION("IFERROR(
ROUND(
AVERAGE(
FILTER(
'BGE-M3 Top K = 5 , Chunk 32'!F:F,
TRIM('BGE-M3 Top K = 5 , Chunk 32'!J:J)=""Gap Detection""
)
),
4),
""Data tidak ada""
)
"),0.8035)</f>
        <v>0.8035</v>
      </c>
      <c r="G56" s="9">
        <f>IFERROR(__xludf.DUMMYFUNCTION("IFERROR(
ROUND(
AVERAGE(
FILTER(
'BGE-M3 Top K = 5 , Chunk 32'!G:G,
TRIM('BGE-M3 Top K = 5 , Chunk 32'!J:J)=""Gap Detection""
)
),
4),
""Data tidak ada""
)
"),0.8499)</f>
        <v>0.8499</v>
      </c>
      <c r="H56" s="9">
        <f>IFERROR(__xludf.DUMMYFUNCTION("IFERROR(
ROUND(
AVERAGE(
FILTER(
'BGE-M3 Top K = 5 , Chunk 32'!H:H,
TRIM('BGE-M3 Top K = 5 , Chunk 32'!J:J)=""Gap Detection""
)
),
4),
""Data tidak ada""
)
"),0.7638)</f>
        <v>0.7638</v>
      </c>
    </row>
    <row r="57">
      <c r="A57" s="11" t="s">
        <v>8</v>
      </c>
      <c r="B57" s="8" t="s">
        <v>16</v>
      </c>
      <c r="C57" s="8">
        <v>32.0</v>
      </c>
      <c r="D57" s="8">
        <v>5.0</v>
      </c>
      <c r="E57" s="9">
        <f>IFERROR(__xludf.DUMMYFUNCTION("IFERROR(
ROUND(
AVERAGE(
FILTER(
'BGE-M3 Top K = 5 , Chunk 32'!E:E,
TRIM('BGE-M3 Top K = 5 , Chunk 32'!J:J)=""Comparative Synthesis""
)
),
4),
""Data tidak ada""
)
"),0.6801)</f>
        <v>0.6801</v>
      </c>
      <c r="F57" s="9">
        <f>IFERROR(__xludf.DUMMYFUNCTION("IFERROR(
ROUND(
AVERAGE(
FILTER(
'BGE-M3 Top K = 5 , Chunk 32'!F:F,
TRIM('BGE-M3 Top K = 5 , Chunk 32'!J:J)=""Comparative Synthesis""
)
),
4),
""Data tidak ada""
)
"),0.87)</f>
        <v>0.87</v>
      </c>
      <c r="G57" s="9">
        <f>IFERROR(__xludf.DUMMYFUNCTION("IFERROR(
ROUND(
AVERAGE(
FILTER(
'BGE-M3 Top K = 5 , Chunk 32'!G:G,
TRIM('BGE-M3 Top K = 5 , Chunk 32'!J:J)=""Comparative Synthesis""
)
),
4),
""Data tidak ada""
)
"),0.8107)</f>
        <v>0.8107</v>
      </c>
      <c r="H57" s="9">
        <f>IFERROR(__xludf.DUMMYFUNCTION("IFERROR(
ROUND(
AVERAGE(
FILTER(
'BGE-M3 Top K = 5 , Chunk 32'!H:H,
TRIM('BGE-M3 Top K = 5 , Chunk 32'!J:J)=""Comparative Synthesis""
)
),
4),
""Data tidak ada""
)
"),0.5855)</f>
        <v>0.5855</v>
      </c>
    </row>
    <row r="58">
      <c r="A58" s="11" t="s">
        <v>8</v>
      </c>
      <c r="B58" s="8" t="s">
        <v>17</v>
      </c>
      <c r="C58" s="8">
        <v>32.0</v>
      </c>
      <c r="D58" s="8">
        <v>5.0</v>
      </c>
      <c r="E58" s="9">
        <f>IFERROR(__xludf.DUMMYFUNCTION("IFERROR(
ROUND(
AVERAGE(
FILTER(
'BGE-M3 Top K = 5 , Chunk 32'!E:E,
TRIM('BGE-M3 Top K = 5 , Chunk 32'!J:J)=""Evidence-based QA""
)
),
4),
""Data tidak ada""
)
"),0.7246)</f>
        <v>0.7246</v>
      </c>
      <c r="F58" s="9">
        <f>IFERROR(__xludf.DUMMYFUNCTION("IFERROR(
ROUND(
AVERAGE(
FILTER(
'BGE-M3 Top K = 5 , Chunk 32'!F:F,
TRIM('BGE-M3 Top K = 5 , Chunk 32'!J:J)=""Evidence-based QA""
)
),
4),
""Data tidak ada""
)
"),0.8706)</f>
        <v>0.8706</v>
      </c>
      <c r="G58" s="9">
        <f>IFERROR(__xludf.DUMMYFUNCTION("IFERROR(
ROUND(
AVERAGE(
FILTER(
'BGE-M3 Top K = 5 , Chunk 32'!G:G,
TRIM('BGE-M3 Top K = 5 , Chunk 32'!J:J)=""Evidence-based QA""
)
),
4),
""Data tidak ada""
)
"),0.6554)</f>
        <v>0.6554</v>
      </c>
      <c r="H58" s="9">
        <f>IFERROR(__xludf.DUMMYFUNCTION("IFERROR(
ROUND(
AVERAGE(
FILTER(
'BGE-M3 Top K = 5 , Chunk 32'!H:H,
TRIM('BGE-M3 Top K = 5 , Chunk 32'!J:J)=""Evidence-based QA""
)
),
4),
""Data tidak ada""
)
"),0.795)</f>
        <v>0.795</v>
      </c>
    </row>
    <row r="59">
      <c r="A59" s="11" t="s">
        <v>8</v>
      </c>
      <c r="B59" s="8" t="s">
        <v>14</v>
      </c>
      <c r="C59" s="8">
        <v>64.0</v>
      </c>
      <c r="D59" s="8">
        <v>3.0</v>
      </c>
      <c r="E59" s="9">
        <f>IFERROR(__xludf.DUMMYFUNCTION("IFERROR(
ROUND(
AVERAGE(
FILTER(
'BGE-M3 Top K = 3 , Chunk 64'!E:E,
TRIM('BGE-M3 Top K = 3 , Chunk 64'!J:J)=""Trend Analysis""
)
),
4),
""Data tidak ada""
)
"),0.6587)</f>
        <v>0.6587</v>
      </c>
      <c r="F59" s="9">
        <f>IFERROR(__xludf.DUMMYFUNCTION("IFERROR(
ROUND(
AVERAGE(
FILTER(
'BGE-M3 Top K = 3 , Chunk 64'!F:F,
TRIM('BGE-M3 Top K = 3 , Chunk 64'!J:J)=""Trend Analysis""
)
),
4),
""Data tidak ada""
)
"),0.8707)</f>
        <v>0.8707</v>
      </c>
      <c r="G59" s="9">
        <f>IFERROR(__xludf.DUMMYFUNCTION("IFERROR(
ROUND(
AVERAGE(
FILTER(
'BGE-M3 Top K = 3 , Chunk 64'!G:G,
TRIM('BGE-M3 Top K = 3 , Chunk 64'!J:J)=""Trend Analysis""
)
),
4),
""Data tidak ada""
)
"),0.9417)</f>
        <v>0.9417</v>
      </c>
      <c r="H59" s="9">
        <f>IFERROR(__xludf.DUMMYFUNCTION("IFERROR(
ROUND(
AVERAGE(
FILTER(
'BGE-M3 Top K = 3 , Chunk 64'!H:H,
TRIM('BGE-M3 Top K = 3 , Chunk 64'!J:J)=""Trend Analysis""
)
),
4),
""Data tidak ada""
)
"),0.8202)</f>
        <v>0.8202</v>
      </c>
    </row>
    <row r="60">
      <c r="A60" s="11" t="s">
        <v>8</v>
      </c>
      <c r="B60" s="8" t="s">
        <v>15</v>
      </c>
      <c r="C60" s="8">
        <v>64.0</v>
      </c>
      <c r="D60" s="8">
        <v>3.0</v>
      </c>
      <c r="E60" s="9">
        <f>IFERROR(__xludf.DUMMYFUNCTION("IFERROR(
ROUND(
AVERAGE(
FILTER(
'BGE-M3 Top K = 3 , Chunk 64'!E:E,
TRIM('BGE-M3 Top K = 3 , Chunk 64'!J:J)=""Gap Detection""
)
),
4),
""Data tidak ada""
)
"),0.7165)</f>
        <v>0.7165</v>
      </c>
      <c r="F60" s="9">
        <f>IFERROR(__xludf.DUMMYFUNCTION("IFERROR(
ROUND(
AVERAGE(
FILTER(
'BGE-M3 Top K = 3 , Chunk 64'!F:F,
TRIM('BGE-M3 Top K = 3 , Chunk 64'!J:J)=""Gap Detection""
)
),
4),
""Data tidak ada""
)
"),0.74)</f>
        <v>0.74</v>
      </c>
      <c r="G60" s="9">
        <f>IFERROR(__xludf.DUMMYFUNCTION("IFERROR(
ROUND(
AVERAGE(
FILTER(
'BGE-M3 Top K = 3 , Chunk 64'!G:G,
TRIM('BGE-M3 Top K = 3 , Chunk 64'!J:J)=""Gap Detection""
)
),
4),
""Data tidak ada""
)
"),0.8041)</f>
        <v>0.8041</v>
      </c>
      <c r="H60" s="9">
        <f>IFERROR(__xludf.DUMMYFUNCTION("IFERROR(
ROUND(
AVERAGE(
FILTER(
'BGE-M3 Top K = 3 , Chunk 64'!H:H,
TRIM('BGE-M3 Top K = 3 , Chunk 64'!J:J)=""Gap Detection""
)
),
4),
""Data tidak ada""
)
"),0.7804)</f>
        <v>0.7804</v>
      </c>
    </row>
    <row r="61">
      <c r="A61" s="11" t="s">
        <v>8</v>
      </c>
      <c r="B61" s="8" t="s">
        <v>16</v>
      </c>
      <c r="C61" s="8">
        <v>64.0</v>
      </c>
      <c r="D61" s="8">
        <v>3.0</v>
      </c>
      <c r="E61" s="9">
        <f>IFERROR(__xludf.DUMMYFUNCTION("IFERROR(
ROUND(
AVERAGE(
FILTER(
'BGE-M3 Top K = 3 , Chunk 64'!E:E,
TRIM('BGE-M3 Top K = 3 , Chunk 64'!J:J)=""Comparative Synthesis""
)
),
4),
""Data tidak ada""
)
"),0.6701)</f>
        <v>0.6701</v>
      </c>
      <c r="F61" s="9">
        <f>IFERROR(__xludf.DUMMYFUNCTION("IFERROR(
ROUND(
AVERAGE(
FILTER(
'BGE-M3 Top K = 3 , Chunk 64'!F:F,
TRIM('BGE-M3 Top K = 3 , Chunk 64'!J:J)=""Comparative Synthesis""
)
),
4),
""Data tidak ada""
)
"),0.878)</f>
        <v>0.878</v>
      </c>
      <c r="G61" s="9">
        <f>IFERROR(__xludf.DUMMYFUNCTION("IFERROR(
ROUND(
AVERAGE(
FILTER(
'BGE-M3 Top K = 3 , Chunk 64'!G:G,
TRIM('BGE-M3 Top K = 3 , Chunk 64'!J:J)=""Comparative Synthesis""
)
),
4),
""Data tidak ada""
)
"),0.8416)</f>
        <v>0.8416</v>
      </c>
      <c r="H61" s="9">
        <f>IFERROR(__xludf.DUMMYFUNCTION("IFERROR(
ROUND(
AVERAGE(
FILTER(
'BGE-M3 Top K = 3 , Chunk 64'!H:H,
TRIM('BGE-M3 Top K = 3 , Chunk 64'!J:J)=""Comparative Synthesis""
)
),
4),
""Data tidak ada""
)
"),0.621)</f>
        <v>0.621</v>
      </c>
    </row>
    <row r="62">
      <c r="A62" s="11" t="s">
        <v>8</v>
      </c>
      <c r="B62" s="8" t="s">
        <v>17</v>
      </c>
      <c r="C62" s="8">
        <v>64.0</v>
      </c>
      <c r="D62" s="8">
        <v>3.0</v>
      </c>
      <c r="E62" s="9">
        <f>IFERROR(__xludf.DUMMYFUNCTION("IFERROR(
ROUND(
AVERAGE(
FILTER(
'BGE-M3 Top K = 3 , Chunk 64'!E:E,
TRIM('BGE-M3 Top K = 3 , Chunk 64'!J:J)=""Evidence-based QA""
)
),
4),
""Data tidak ada""
)
"),0.7058)</f>
        <v>0.7058</v>
      </c>
      <c r="F62" s="9">
        <f>IFERROR(__xludf.DUMMYFUNCTION("IFERROR(
ROUND(
AVERAGE(
FILTER(
'BGE-M3 Top K = 3 , Chunk 64'!F:F,
TRIM('BGE-M3 Top K = 3 , Chunk 64'!J:J)=""Evidence-based QA""
)
),
4),
""Data tidak ada""
)
"),0.7673)</f>
        <v>0.7673</v>
      </c>
      <c r="G62" s="9">
        <f>IFERROR(__xludf.DUMMYFUNCTION("IFERROR(
ROUND(
AVERAGE(
FILTER(
'BGE-M3 Top K = 3 , Chunk 64'!G:G,
TRIM('BGE-M3 Top K = 3 , Chunk 64'!J:J)=""Evidence-based QA""
)
),
4),
""Data tidak ada""
)
"),0.7291)</f>
        <v>0.7291</v>
      </c>
      <c r="H62" s="9">
        <f>IFERROR(__xludf.DUMMYFUNCTION("IFERROR(
ROUND(
AVERAGE(
FILTER(
'BGE-M3 Top K = 3 , Chunk 32'!H:H,
TRIM('BGE-M3 Top K = 3 , Chunk 32'!J:J)=""Evidence-based QA""
)
),
4),
""Data tidak ada""
)
"),0.6938)</f>
        <v>0.6938</v>
      </c>
    </row>
    <row r="63">
      <c r="A63" s="11" t="s">
        <v>8</v>
      </c>
      <c r="B63" s="8" t="s">
        <v>14</v>
      </c>
      <c r="C63" s="8">
        <v>64.0</v>
      </c>
      <c r="D63" s="8">
        <v>5.0</v>
      </c>
      <c r="E63" s="9">
        <f>IFERROR(__xludf.DUMMYFUNCTION("IFERROR(
ROUND(
AVERAGE(
FILTER(
'BGE-M3 Top K = 5 , Chunk 64'!E:E,
TRIM('BGE-M3 Top K = 5 , Chunk 64'!J:J)=""Trend Analysis""
)
),
4),
""Data tidak ada""
)
"),0.6507)</f>
        <v>0.6507</v>
      </c>
      <c r="F63" s="9">
        <f>IFERROR(__xludf.DUMMYFUNCTION("IFERROR(
ROUND(
AVERAGE(
FILTER(
'BGE-M3 Top K = 3 , Chunk 64'!F:F,
TRIM('BGE-M3 Top K = 3 , Chunk 64'!J:J)=""Trend Analysis""
)
),
4),
""Data tidak ada""
)
"),0.8707)</f>
        <v>0.8707</v>
      </c>
      <c r="G63" s="9">
        <f>IFERROR(__xludf.DUMMYFUNCTION("IFERROR(
ROUND(
AVERAGE(
FILTER(
'BGE-M3 Top K = 5 , Chunk 64'!G:G,
TRIM('BGE-M3 Top K = 5 , Chunk 64'!J:J)=""Trend Analysis""
)
),
4),
""Data tidak ada""
)
"),0.8588)</f>
        <v>0.8588</v>
      </c>
      <c r="H63" s="9">
        <f>IFERROR(__xludf.DUMMYFUNCTION("IFERROR(
ROUND(
AVERAGE(
FILTER(
'BGE-M3 Top K = 5 , Chunk 64'!H:H,
TRIM('BGE-M3 Top K = 5 , Chunk 64'!J:J)=""Trend Analysis""
)
),
4),
""Data tidak ada""
)
"),0.94)</f>
        <v>0.94</v>
      </c>
    </row>
    <row r="64">
      <c r="A64" s="11" t="s">
        <v>8</v>
      </c>
      <c r="B64" s="8" t="s">
        <v>15</v>
      </c>
      <c r="C64" s="8">
        <v>64.0</v>
      </c>
      <c r="D64" s="8">
        <v>5.0</v>
      </c>
      <c r="E64" s="9">
        <f>IFERROR(__xludf.DUMMYFUNCTION("IFERROR(
ROUND(
AVERAGE(
FILTER(
'BGE-M3 Top K = 5 , Chunk 64'!E:E,
TRIM('BGE-M3 Top K = 5 , Chunk 64'!J:J)=""Gap Detection""
)
),
4),
""Data tidak ada""
)
"),0.8059)</f>
        <v>0.8059</v>
      </c>
      <c r="F64" s="9">
        <f>IFERROR(__xludf.DUMMYFUNCTION("IFERROR(
ROUND(
AVERAGE(
FILTER(
'BGE-M3 Top K = 5 , Chunk 64'!F:F,
TRIM('BGE-M3 Top K = 5 , Chunk 64'!J:J)=""Gap Detection""
)
),
4),
""Data tidak ada""
)
"),0.8214)</f>
        <v>0.8214</v>
      </c>
      <c r="G64" s="9">
        <f>IFERROR(__xludf.DUMMYFUNCTION("IFERROR(
ROUND(
AVERAGE(
FILTER(
'BGE-M3 Top K = 5 , Chunk 64'!G:G,
TRIM('BGE-M3 Top K = 5 , Chunk 64'!J:J)=""Gap Detection""
)
),
4),
""Data tidak ada""
)
"),0.914)</f>
        <v>0.914</v>
      </c>
      <c r="H64" s="9">
        <f>IFERROR(__xludf.DUMMYFUNCTION("IFERROR(
ROUND(
AVERAGE(
FILTER(
'BGE-M3 Top K = 5 , Chunk 64'!H:H,
TRIM('BGE-M3 Top K = 5 , Chunk 64'!J:J)=""Gap Detection""
)
),
4),
""Data tidak ada""
)
"),0.8268)</f>
        <v>0.8268</v>
      </c>
    </row>
    <row r="65">
      <c r="A65" s="11" t="s">
        <v>8</v>
      </c>
      <c r="B65" s="8" t="s">
        <v>16</v>
      </c>
      <c r="C65" s="8">
        <v>64.0</v>
      </c>
      <c r="D65" s="8">
        <v>5.0</v>
      </c>
      <c r="E65" s="9">
        <f>IFERROR(__xludf.DUMMYFUNCTION("IFERROR(
ROUND(
AVERAGE(
FILTER(
'BGE-M3 Top K = 5 , Chunk 64'!E:E,
TRIM('BGE-M3 Top K = 5 , Chunk 64'!J:J)=""Comparative Synthesis""
)
),
4),
""Data tidak ada""
)
"),0.6741)</f>
        <v>0.6741</v>
      </c>
      <c r="F65" s="9">
        <f>IFERROR(__xludf.DUMMYFUNCTION("IFERROR(
ROUND(
AVERAGE(
FILTER(
'BGE-M3 Top K = 5 , Chunk 64'!F:F,
TRIM('BGE-M3 Top K = 5 , Chunk 64'!J:J)=""Comparative Synthesis""
)
),
4),
""Data tidak ada""
)
"),0.8884)</f>
        <v>0.8884</v>
      </c>
      <c r="G65" s="9">
        <f>IFERROR(__xludf.DUMMYFUNCTION("IFERROR(
ROUND(
AVERAGE(
FILTER(
'BGE-M3 Top K = 5 , Chunk 64'!G:G,
TRIM('BGE-M3 Top K = 5 , Chunk 64'!J:J)=""Comparative Synthesis""
)
),
4),
""Data tidak ada""
)
"),0.9046)</f>
        <v>0.9046</v>
      </c>
      <c r="H65" s="9">
        <f>IFERROR(__xludf.DUMMYFUNCTION("IFERROR(
ROUND(
AVERAGE(
FILTER(
'BGE-M3 Top K = 5 , Chunk 64'!H:H,
TRIM('BGE-M3 Top K = 5 , Chunk 64'!J:J)=""Comparative Synthesis""
)
),
4),
""Data tidak ada""
)
"),0.7884)</f>
        <v>0.7884</v>
      </c>
    </row>
    <row r="66">
      <c r="A66" s="11" t="s">
        <v>8</v>
      </c>
      <c r="B66" s="8" t="s">
        <v>17</v>
      </c>
      <c r="C66" s="8">
        <v>64.0</v>
      </c>
      <c r="D66" s="8">
        <v>5.0</v>
      </c>
      <c r="E66" s="9">
        <f>IFERROR(__xludf.DUMMYFUNCTION("IFERROR(
ROUND(
AVERAGE(
FILTER(
'BGE-M3 Top K = 5 , Chunk 64'!E:E,
TRIM('BGE-M3 Top K = 5 , Chunk 64'!J:J)=""Evidence-based QA""
)
),
4),
""Data tidak ada""
)
"),0.7589)</f>
        <v>0.7589</v>
      </c>
      <c r="F66" s="9">
        <f>IFERROR(__xludf.DUMMYFUNCTION("IFERROR(
ROUND(
AVERAGE(
FILTER(
'BGE-M3 Top K = 5 , Chunk 64'!F:F,
TRIM('BGE-M3 Top K = 5 , Chunk 64'!J:J)=""Evidence-based QA""
)
),
4),
""Data tidak ada""
)
"),0.7934)</f>
        <v>0.7934</v>
      </c>
      <c r="G66" s="9">
        <f>IFERROR(__xludf.DUMMYFUNCTION("IFERROR(
ROUND(
AVERAGE(
FILTER(
'BGE-M3 Top K = 5 , Chunk 64'!G:G,
TRIM('BGE-M3 Top K = 5 , Chunk 64'!J:J)=""Evidence-based QA""
)
),
4),
""Data tidak ada""
)
"),0.7465)</f>
        <v>0.7465</v>
      </c>
      <c r="H66" s="9">
        <f>IFERROR(__xludf.DUMMYFUNCTION("IFERROR(
ROUND(
AVERAGE(
FILTER(
'BGE-M3 Top K = 5 , Chunk 64'!H:H,
TRIM('BGE-M3 Top K = 5 , Chunk 64'!J:J)=""Evidence-based QA""
)
),
4),
""Data tidak ada""
)
"),0.6977)</f>
        <v>0.6977</v>
      </c>
    </row>
    <row r="69">
      <c r="A69" s="12" t="s">
        <v>18</v>
      </c>
    </row>
    <row r="71">
      <c r="A71" s="13" t="s">
        <v>0</v>
      </c>
      <c r="B71" s="13" t="s">
        <v>1</v>
      </c>
      <c r="C71" s="13" t="s">
        <v>2</v>
      </c>
      <c r="D71" s="14" t="s">
        <v>3</v>
      </c>
      <c r="E71" s="14" t="s">
        <v>4</v>
      </c>
      <c r="F71" s="14" t="s">
        <v>5</v>
      </c>
      <c r="G71" s="14" t="s">
        <v>6</v>
      </c>
    </row>
    <row r="72">
      <c r="A72" s="15" t="s">
        <v>7</v>
      </c>
      <c r="B72" s="8">
        <v>32.0</v>
      </c>
      <c r="C72" s="8">
        <v>3.0</v>
      </c>
      <c r="D72" s="9">
        <f>COUNTIF('Labse Top K=3 Chunk = 32'!E:E,"&lt;=0.5")</f>
        <v>30</v>
      </c>
      <c r="E72" s="9">
        <f>COUNTIF('Labse Top K=3 Chunk = 32'!F:F,"&lt;=0.5")</f>
        <v>16</v>
      </c>
      <c r="F72" s="9">
        <f>COUNTIF('Labse Top K=3 Chunk = 32'!G:G,"&lt;=0.5")</f>
        <v>35</v>
      </c>
      <c r="G72" s="9">
        <f>COUNTIF('Labse Top K=3 Chunk = 32'!H:H,"&lt;=0.5")</f>
        <v>30</v>
      </c>
    </row>
    <row r="73">
      <c r="A73" s="15" t="s">
        <v>7</v>
      </c>
      <c r="B73" s="8">
        <v>32.0</v>
      </c>
      <c r="C73" s="8">
        <v>5.0</v>
      </c>
      <c r="D73" s="9">
        <f>COUNTIF('Labse Top K=5 Chunk = 32'!E:E,"&lt;=0.5")</f>
        <v>28</v>
      </c>
      <c r="E73" s="9">
        <f>COUNTIF('Labse Top K=5 Chunk = 32'!F:F,"&lt;=0.5")</f>
        <v>14</v>
      </c>
      <c r="F73" s="9">
        <f>COUNTIF('Labse Top K=5 Chunk = 32'!G:G,"&lt;=0.5")</f>
        <v>36</v>
      </c>
      <c r="G73" s="9">
        <f>COUNTIF('Labse Top K=5 Chunk = 32'!H:H,"&lt;=0.5")</f>
        <v>18</v>
      </c>
    </row>
    <row r="74">
      <c r="A74" s="15" t="s">
        <v>7</v>
      </c>
      <c r="B74" s="8">
        <v>64.0</v>
      </c>
      <c r="C74" s="8">
        <v>3.0</v>
      </c>
      <c r="D74" s="9">
        <f>COUNTIF('Labse Top K=3 Chunk = 64'!E:E,"&lt;=0.5")</f>
        <v>24</v>
      </c>
      <c r="E74" s="9">
        <f>COUNTIF('Labse Top K=3 Chunk = 64'!F:F,"&lt;=0.5")</f>
        <v>22</v>
      </c>
      <c r="F74" s="9">
        <f>COUNTIF('Labse Top K=3 Chunk = 64'!G:G,"&lt;=0.5")</f>
        <v>35</v>
      </c>
      <c r="G74" s="9">
        <f>COUNTIF('Labse Top K=3 Chunk = 64'!H:H,"&lt;=0.5")</f>
        <v>23</v>
      </c>
    </row>
    <row r="75">
      <c r="A75" s="15" t="s">
        <v>7</v>
      </c>
      <c r="B75" s="8">
        <v>64.0</v>
      </c>
      <c r="C75" s="8">
        <v>5.0</v>
      </c>
      <c r="D75" s="9">
        <f>COUNTIF('Labse Top K=5 Chunk = 64'!E:E,"&lt;=0.5")</f>
        <v>28</v>
      </c>
      <c r="E75" s="9">
        <f>COUNTIF('Labse Top K=5 Chunk = 64'!F:F,"&lt;=0.5")</f>
        <v>19</v>
      </c>
      <c r="F75" s="9">
        <f>COUNTIF('Labse Top K=5 Chunk = 64'!G:G,"&lt;=0.5")</f>
        <v>30</v>
      </c>
      <c r="G75" s="9">
        <f>COUNTIF('Labse Top K=5 Chunk = 64'!H:H,"&lt;=0.5")</f>
        <v>19</v>
      </c>
    </row>
    <row r="76">
      <c r="A76" s="8" t="s">
        <v>8</v>
      </c>
      <c r="B76" s="8">
        <v>32.0</v>
      </c>
      <c r="C76" s="8">
        <v>3.0</v>
      </c>
      <c r="D76" s="9">
        <f>COUNTIF('BGE-M3 Top K = 3 , Chunk 32'!E:E,"&lt;=0.5")</f>
        <v>15</v>
      </c>
      <c r="E76" s="9">
        <f>COUNTIF('BGE-M3 Top K = 3 , Chunk 32'!F:F,"&lt;0.5")</f>
        <v>6</v>
      </c>
      <c r="F76" s="9">
        <f>COUNTIF('BGE-M3 Top K = 3 , Chunk 32'!G:G,"&lt;0.5")</f>
        <v>11</v>
      </c>
      <c r="G76" s="9">
        <f>COUNTIF('BGE-M3 Top K = 3 , Chunk 32'!H:H,"&lt;0.5")</f>
        <v>23</v>
      </c>
    </row>
    <row r="77">
      <c r="A77" s="8" t="s">
        <v>8</v>
      </c>
      <c r="B77" s="8">
        <v>32.0</v>
      </c>
      <c r="C77" s="8">
        <v>5.0</v>
      </c>
      <c r="D77" s="9">
        <f>COUNTIF('BGE-M3 Top K = 5 , Chunk 32'!E:E,"&lt;0.5")</f>
        <v>8</v>
      </c>
      <c r="E77" s="9">
        <f>COUNTIF('BGE-M3 Top K = 5 , Chunk 32'!F:F,"&lt;0.5")</f>
        <v>2</v>
      </c>
      <c r="F77" s="9">
        <f>COUNTIF('BGE-M3 Top K = 5 , Chunk 32'!G:G,"&lt;0.5")</f>
        <v>11</v>
      </c>
      <c r="G77" s="9">
        <f>COUNTIF('BGE-M3 Top K = 5 , Chunk 32'!H:H,"&lt;0.5")</f>
        <v>21</v>
      </c>
    </row>
    <row r="78">
      <c r="A78" s="8" t="s">
        <v>8</v>
      </c>
      <c r="B78" s="8">
        <v>64.0</v>
      </c>
      <c r="C78" s="8">
        <v>3.0</v>
      </c>
      <c r="D78" s="9">
        <f>COUNTIF('BGE-M3 Top K = 3 , Chunk 64'!E:E,"&lt;=0.5")</f>
        <v>22</v>
      </c>
      <c r="E78" s="9">
        <f>COUNTIF('BGE-M3 Top K = 3 , Chunk 64'!F:F,"&lt;=0.5")</f>
        <v>7</v>
      </c>
      <c r="F78" s="9">
        <f>COUNTIF('BGE-M3 Top K = 3 , Chunk 64'!G:G,"&lt;=0.5")</f>
        <v>14</v>
      </c>
      <c r="G78" s="9">
        <f>COUNTIF('BGE-M3 Top K = 3 , Chunk 64'!H:H,"&lt;=0.5")</f>
        <v>17</v>
      </c>
    </row>
    <row r="79">
      <c r="A79" s="8" t="s">
        <v>8</v>
      </c>
      <c r="B79" s="8">
        <v>64.0</v>
      </c>
      <c r="C79" s="8">
        <v>5.0</v>
      </c>
      <c r="D79" s="9">
        <f>COUNTIF('BGE-M3 Top K = 5 , Chunk 64'!E:E,"&lt;=0.5")</f>
        <v>18</v>
      </c>
      <c r="E79" s="9">
        <f>COUNTIF('BGE-M3 Top K = 5 , Chunk 64'!F:F,"&lt;=0.5")</f>
        <v>5</v>
      </c>
      <c r="F79" s="9">
        <f>COUNTIF('BGE-M3 Top K = 5 , Chunk 64'!G:G,"&lt;=0.5")</f>
        <v>10</v>
      </c>
      <c r="G79" s="9">
        <f>COUNTIF('BGE-M3 Top K = 5 , Chunk 64'!H:H,"&lt;=0.5")</f>
        <v>13</v>
      </c>
    </row>
    <row r="85">
      <c r="A85" s="6" t="s">
        <v>0</v>
      </c>
      <c r="B85" s="6" t="s">
        <v>9</v>
      </c>
      <c r="C85" s="6" t="s">
        <v>1</v>
      </c>
      <c r="D85" s="6" t="s">
        <v>10</v>
      </c>
      <c r="E85" s="14" t="s">
        <v>3</v>
      </c>
      <c r="F85" s="14" t="s">
        <v>4</v>
      </c>
      <c r="G85" s="14" t="s">
        <v>5</v>
      </c>
      <c r="H85" s="14" t="s">
        <v>6</v>
      </c>
    </row>
    <row r="86">
      <c r="A86" s="8" t="s">
        <v>7</v>
      </c>
      <c r="B86" s="8" t="s">
        <v>14</v>
      </c>
      <c r="C86" s="8">
        <v>32.0</v>
      </c>
      <c r="D86" s="8">
        <v>3.0</v>
      </c>
      <c r="E86" s="9">
        <f>COUNTIFS(
'Labse Top K=3 Chunk = 32'!E:E,"&lt;=0.5",
'Labse Top K=3 Chunk = 32'!J:J,"Trend Analysis "
)
</f>
        <v>8</v>
      </c>
      <c r="F86" s="9">
        <f>COUNTIFS(
'Labse Top K=3 Chunk = 32'!F:F,"&lt;=0.5",
'Labse Top K=3 Chunk = 32'!J:J,"Trend Analysis "
)
</f>
        <v>2</v>
      </c>
      <c r="G86" s="9">
        <f>COUNTIFS(
'Labse Top K=3 Chunk = 32'!G:G,"&lt;=0.5",
'Labse Top K=3 Chunk = 32'!J:J,"Trend Analysis "
)
</f>
        <v>8</v>
      </c>
      <c r="H86" s="9">
        <f>COUNTIFS(
'Labse Top K=3 Chunk = 32'!H:H,"&lt;=0.5",
'Labse Top K=3 Chunk = 32'!J:J,"Trend Analysis "
)
</f>
        <v>6</v>
      </c>
    </row>
    <row r="87">
      <c r="A87" s="8" t="s">
        <v>7</v>
      </c>
      <c r="B87" s="8" t="s">
        <v>15</v>
      </c>
      <c r="C87" s="8">
        <v>32.0</v>
      </c>
      <c r="D87" s="8">
        <v>3.0</v>
      </c>
      <c r="E87" s="9">
        <f>COUNTIFS(
'Labse Top K=3 Chunk = 32'!E:E,"&lt;=0.5",
'Labse Top K=3 Chunk = 32'!J:J,"Gap Detection"
)
</f>
        <v>7</v>
      </c>
      <c r="F87" s="9">
        <f>COUNTIFS(
'Labse Top K=3 Chunk = 32'!F:F,"&lt;=0.5",
'Labse Top K=3 Chunk = 32'!J:J,"Gap Detection"
)
</f>
        <v>2</v>
      </c>
      <c r="G87" s="9">
        <f>COUNTIFS(
'Labse Top K=3 Chunk = 32'!G:G,"&lt;=0.5",
'Labse Top K=3 Chunk = 32'!J:J,"Gap Detection"
)
</f>
        <v>6</v>
      </c>
      <c r="H87" s="9">
        <f>COUNTIFS(
'Labse Top K=3 Chunk = 32'!H:H,"&lt;=0.5",
'Labse Top K=3 Chunk = 32'!J:J,"Gap Detection"
)
</f>
        <v>6</v>
      </c>
    </row>
    <row r="88">
      <c r="A88" s="8" t="s">
        <v>7</v>
      </c>
      <c r="B88" s="8" t="s">
        <v>16</v>
      </c>
      <c r="C88" s="8">
        <v>32.0</v>
      </c>
      <c r="D88" s="8">
        <v>3.0</v>
      </c>
      <c r="E88" s="9">
        <f>COUNTIFS(
'Labse Top K=3 Chunk = 32'!E:E,"&lt;=0.5",
'Labse Top K=3 Chunk = 32'!J:J,"Comparative Synthesis"
)
</f>
        <v>8</v>
      </c>
      <c r="F88" s="9">
        <f>COUNTIFS(
'Labse Top K=3 Chunk = 32'!F:F,"&lt;=0.5",
'Labse Top K=3 Chunk = 32'!J:J,"Comparative Synthesis"
)
</f>
        <v>4</v>
      </c>
      <c r="G88" s="9">
        <f>COUNTIFS(
'Labse Top K=3 Chunk = 32'!G:G,"&lt;=0.5",
'Labse Top K=3 Chunk = 32'!J:J,"Comparative Synthesis"
)
</f>
        <v>10</v>
      </c>
      <c r="H88" s="9">
        <f>COUNTIFS(
'Labse Top K=3 Chunk = 32'!H:H,"&lt;=0.5",
'Labse Top K=3 Chunk = 32'!J:J,"Comparative Synthesis"
)
</f>
        <v>11</v>
      </c>
    </row>
    <row r="89">
      <c r="A89" s="8" t="s">
        <v>7</v>
      </c>
      <c r="B89" s="8" t="s">
        <v>17</v>
      </c>
      <c r="C89" s="8">
        <v>32.0</v>
      </c>
      <c r="D89" s="8">
        <v>3.0</v>
      </c>
      <c r="E89" s="9">
        <f>COUNTIFS(
'Labse Top K=3 Chunk = 32'!E:E,"&lt;0.5",
'Labse Top K=3 Chunk = 32'!J:J,"Evidence-based QA"
)
</f>
        <v>5</v>
      </c>
      <c r="F89" s="9">
        <f>COUNTIFS(
'Labse Top K=3 Chunk = 32'!F:F,"&lt;0.5",
'Labse Top K=3 Chunk = 32'!J:J,"Evidence-based QA"
)
</f>
        <v>8</v>
      </c>
      <c r="G89" s="9">
        <f>COUNTIFS(
'Labse Top K=3 Chunk = 32'!G:G,"&lt;0.5",
'Labse Top K=3 Chunk = 32'!J:J,"Evidence-based QA"
)
</f>
        <v>10</v>
      </c>
      <c r="H89" s="9">
        <f>COUNTIFS(
'Labse Top K=3 Chunk = 32'!H:H,"&lt;0.5",
'Labse Top K=3 Chunk = 32'!J:J,"Evidence-based QA"
)
</f>
        <v>7</v>
      </c>
    </row>
    <row r="90">
      <c r="A90" s="8" t="s">
        <v>7</v>
      </c>
      <c r="B90" s="8" t="s">
        <v>14</v>
      </c>
      <c r="C90" s="8">
        <v>32.0</v>
      </c>
      <c r="D90" s="8">
        <v>5.0</v>
      </c>
      <c r="E90" s="9">
        <f>COUNTIFS(
'Labse Top K=5 Chunk = 32'!E:E,"&lt;0.5",
'Labse Top K=5 Chunk = 32'!J:J,"Trend Analysis "
)
</f>
        <v>3</v>
      </c>
      <c r="F90" s="9">
        <f>COUNTIFS(
'Labse Top K=5 Chunk = 32'!F:F,"&lt;0.5",
'Labse Top K=5 Chunk = 32'!J:J,"Trend Analysis "
)
</f>
        <v>4</v>
      </c>
      <c r="G90" s="9">
        <f>COUNTIFS(
'Labse Top K=5 Chunk = 32'!G:G,"&lt;0.5",
'Labse Top K=5 Chunk = 32'!J:J,"Trend Analysis "
)
</f>
        <v>9</v>
      </c>
      <c r="H90" s="9">
        <f>COUNTIFS(
'Labse Top K=5 Chunk = 32'!H:H,"&lt;0.5",
'Labse Top K=5 Chunk = 32'!J:J,"Trend Analysis "
)
</f>
        <v>4</v>
      </c>
    </row>
    <row r="91">
      <c r="A91" s="8" t="s">
        <v>7</v>
      </c>
      <c r="B91" s="8" t="s">
        <v>15</v>
      </c>
      <c r="C91" s="8">
        <v>32.0</v>
      </c>
      <c r="D91" s="8">
        <v>5.0</v>
      </c>
      <c r="E91" s="9">
        <f>COUNTIFS(
'Labse Top K=5 Chunk = 32'!E:E,"&lt;0.5",
'Labse Top K=5 Chunk = 32'!J:J,"Gap Detection"
)
</f>
        <v>6</v>
      </c>
      <c r="F91" s="9">
        <f>COUNTIFS(
'Labse Top K=5 Chunk = 32'!F:F,"&lt;0.5",
'Labse Top K=5 Chunk = 32'!J:J,"Gap Detection"
)
</f>
        <v>4</v>
      </c>
      <c r="G91" s="9">
        <f>COUNTIFS(
'Labse Top K=5 Chunk = 32'!G:G,"&lt;0.5",
'Labse Top K=5 Chunk = 32'!J:J,"Gap Detection"
)
</f>
        <v>6</v>
      </c>
      <c r="H91" s="9">
        <f>COUNTIFS(
'Labse Top K=5 Chunk = 32'!H:H,"&lt;0.5",
'Labse Top K=5 Chunk = 32'!J:J,"Gap Detection"
)
</f>
        <v>3</v>
      </c>
    </row>
    <row r="92">
      <c r="A92" s="8" t="s">
        <v>7</v>
      </c>
      <c r="B92" s="8" t="s">
        <v>16</v>
      </c>
      <c r="C92" s="8">
        <v>32.0</v>
      </c>
      <c r="D92" s="8">
        <v>5.0</v>
      </c>
      <c r="E92" s="9">
        <f>COUNTIFS(
'Labse Top K=5 Chunk = 32'!E:E,"&lt;0.5",
'Labse Top K=5 Chunk = 32'!J:J,"Comparative Synthesis"
)
</f>
        <v>8</v>
      </c>
      <c r="F92" s="9">
        <f>COUNTIFS(
'Labse Top K=5 Chunk = 32'!F:F,"&lt;0.5",
'Labse Top K=5 Chunk = 32'!J:J,"Comparative Synthesis"
)
</f>
        <v>1</v>
      </c>
      <c r="G92" s="9">
        <f>COUNTIFS(
'Labse Top K=5 Chunk = 32'!G:G,"&lt;0.5",
'Labse Top K=5 Chunk = 32'!J:J,"Comparative Synthesis"
)
</f>
        <v>6</v>
      </c>
      <c r="H92" s="9">
        <f>COUNTIFS(
'Labse Top K=5 Chunk = 32'!H:H,"&lt;0.5",
'Labse Top K=5 Chunk = 32'!J:J,"Comparative Synthesis"
)
</f>
        <v>8</v>
      </c>
    </row>
    <row r="93">
      <c r="A93" s="8" t="s">
        <v>7</v>
      </c>
      <c r="B93" s="8" t="s">
        <v>17</v>
      </c>
      <c r="C93" s="8">
        <v>32.0</v>
      </c>
      <c r="D93" s="8">
        <v>5.0</v>
      </c>
      <c r="E93" s="9">
        <f>COUNTIFS(
'Labse Top K=5 Chunk = 32'!E:E,"&lt;0.5",
'Labse Top K=5 Chunk = 32'!J:J,"Evidence-based QA"
)
</f>
        <v>7</v>
      </c>
      <c r="F93" s="9">
        <f>COUNTIFS(
'Labse Top K=5 Chunk = 32'!F:F,"&lt;0.5",
'Labse Top K=5 Chunk = 32'!J:J,"Evidence-based QA"
)
</f>
        <v>5</v>
      </c>
      <c r="G93" s="9">
        <f>COUNTIFS(
'Labse Top K=5 Chunk = 32'!G:G,"&lt;0.5",
'Labse Top K=5 Chunk = 32'!J:J,"Evidence-based QA"
)
</f>
        <v>12</v>
      </c>
      <c r="H93" s="9">
        <f>COUNTIFS(
'Labse Top K=5 Chunk = 32'!H:H,"&lt;0.5",
'Labse Top K=5 Chunk = 32'!J:J,"Evidence-based QA"
)
</f>
        <v>3</v>
      </c>
    </row>
    <row r="94">
      <c r="A94" s="8" t="s">
        <v>7</v>
      </c>
      <c r="B94" s="8" t="s">
        <v>14</v>
      </c>
      <c r="C94" s="8">
        <v>64.0</v>
      </c>
      <c r="D94" s="8">
        <v>3.0</v>
      </c>
      <c r="E94" s="9">
        <f>COUNTIFS(
'Labse Top K=3 Chunk = 64'!E:E,"&lt;0.5",
'Labse Top K=3 Chunk = 64'!J:J,"Trend Analysis "
)
</f>
        <v>7</v>
      </c>
      <c r="F94" s="9">
        <f>COUNTIFS(
'Labse Top K=3 Chunk = 64'!F:F,"&lt;0.5",
'Labse Top K=3 Chunk = 64'!J:J,"Trend Analysis "
)
</f>
        <v>5</v>
      </c>
      <c r="G94" s="9">
        <f>COUNTIFS(
'Labse Top K=3 Chunk = 64'!G:G,"&lt;0.5",
'Labse Top K=3 Chunk = 64'!J:J,"Trend Analysis "
)
</f>
        <v>8</v>
      </c>
      <c r="H94" s="9">
        <f>COUNTIFS(
'Labse Top K=3 Chunk = 64'!H:H,"&lt;0.5",
'Labse Top K=3 Chunk = 64'!J:J,"Trend Analysis "
)
</f>
        <v>5</v>
      </c>
    </row>
    <row r="95">
      <c r="A95" s="8" t="s">
        <v>7</v>
      </c>
      <c r="B95" s="8" t="s">
        <v>15</v>
      </c>
      <c r="C95" s="8">
        <v>64.0</v>
      </c>
      <c r="D95" s="8">
        <v>3.0</v>
      </c>
      <c r="E95" s="9">
        <f>COUNTIFS(
'Labse Top K=3 Chunk = 64'!E:E,"&lt;0.5",
'Labse Top K=3 Chunk = 64'!J:J,"Gap Detection"
)
</f>
        <v>4</v>
      </c>
      <c r="F95" s="9">
        <f>COUNTIFS(
'Labse Top K=3 Chunk = 64'!F:F,"&lt;0.5",
'Labse Top K=3 Chunk = 64'!J:J,"Gap Detection"
)
</f>
        <v>6</v>
      </c>
      <c r="G95" s="9">
        <f>COUNTIFS(
'Labse Top K=3 Chunk = 64'!G:G,"&lt;0.5",
'Labse Top K=3 Chunk = 64'!J:J,"Gap Detection"
)
</f>
        <v>5</v>
      </c>
      <c r="H95" s="9">
        <f>COUNTIFS(
'Labse Top K=3 Chunk = 64'!H:H,"&lt;0.5",
'Labse Top K=3 Chunk = 64'!J:J,"Gap Detection"
)
</f>
        <v>6</v>
      </c>
    </row>
    <row r="96">
      <c r="A96" s="8" t="s">
        <v>7</v>
      </c>
      <c r="B96" s="8" t="s">
        <v>16</v>
      </c>
      <c r="C96" s="8">
        <v>64.0</v>
      </c>
      <c r="D96" s="8">
        <v>3.0</v>
      </c>
      <c r="E96" s="9">
        <f>COUNTIFS(
'Labse Top K=3 Chunk = 64'!E:E,"&lt;0.5",
'Labse Top K=3 Chunk = 64'!J:J,"Comparative Synthesis"
)
</f>
        <v>5</v>
      </c>
      <c r="F96" s="9">
        <f>COUNTIFS(
'Labse Top K=3 Chunk = 64'!F:F,"&lt;0.5",
'Labse Top K=3 Chunk = 64'!J:J,"Comparative Synthesis"
)
</f>
        <v>1</v>
      </c>
      <c r="G96" s="9">
        <f>COUNTIFS(
'Labse Top K=3 Chunk = 64'!G:G,"&lt;0.5",
'Labse Top K=3 Chunk = 64'!J:J,"Comparative Synthesis"
)
</f>
        <v>4</v>
      </c>
      <c r="H96" s="9">
        <f>COUNTIFS(
'Labse Top K=3 Chunk = 64'!H:H,"&lt;0.5",
'Labse Top K=3 Chunk = 64'!J:J,"Comparative Synthesis"
)
</f>
        <v>8</v>
      </c>
    </row>
    <row r="97">
      <c r="A97" s="8" t="s">
        <v>7</v>
      </c>
      <c r="B97" s="8" t="s">
        <v>17</v>
      </c>
      <c r="C97" s="8">
        <v>64.0</v>
      </c>
      <c r="D97" s="8">
        <v>3.0</v>
      </c>
      <c r="E97" s="9">
        <f>COUNTIFS(
'Labse Top K=3 Chunk = 64'!E:E,"&lt;0.5",
'Labse Top K=3 Chunk = 64'!J:J,"Evidence-based QA"
)
</f>
        <v>5</v>
      </c>
      <c r="F97" s="9">
        <f>COUNTIFS(
'Labse Top K=3 Chunk = 64'!F:F,"&lt;0.5",
'Labse Top K=3 Chunk = 64'!J:J,"Evidence-based QA"
)
</f>
        <v>10</v>
      </c>
      <c r="G97" s="9">
        <f>COUNTIFS(
'Labse Top K=3 Chunk = 64'!G:G,"&lt;0.5",
'Labse Top K=3 Chunk = 64'!J:J,"Evidence-based QA"
)
</f>
        <v>11</v>
      </c>
      <c r="H97" s="9">
        <f>COUNTIFS(
'Labse Top K=3 Chunk = 64'!H:H,"&lt;0.5",
'Labse Top K=3 Chunk = 64'!J:J,"Evidence-based QA"
)
</f>
        <v>4</v>
      </c>
    </row>
    <row r="98">
      <c r="A98" s="8" t="s">
        <v>7</v>
      </c>
      <c r="B98" s="8" t="s">
        <v>14</v>
      </c>
      <c r="C98" s="8">
        <v>64.0</v>
      </c>
      <c r="D98" s="8">
        <v>5.0</v>
      </c>
      <c r="E98" s="9">
        <f>COUNTIFS(
'Labse Top K=5 Chunk = 64'!E:E,"&lt;0.5",
'Labse Top K=5 Chunk = 64'!J:J,"Trend Analysis "
)
</f>
        <v>8</v>
      </c>
      <c r="F98" s="9">
        <f>COUNTIFS(
'Labse Top K=5 Chunk = 64'!F:F,"&lt;0.5",
'Labse Top K=5 Chunk = 64'!J:J,"Trend Analysis "
)
</f>
        <v>2</v>
      </c>
      <c r="G98" s="9">
        <f>COUNTIFS(
'Labse Top K=5 Chunk = 64'!G:G,"&lt;0.5",
'Labse Top K=5 Chunk = 64'!J:J,"Trend Analysis "
)
</f>
        <v>5</v>
      </c>
      <c r="H98" s="9">
        <f>COUNTIFS(
'Labse Top K=5 Chunk = 64'!H:H,"&lt;0.5",
'Labse Top K=5 Chunk = 64'!J:J,"Trend Analysis "
)
</f>
        <v>4</v>
      </c>
    </row>
    <row r="99">
      <c r="A99" s="8" t="s">
        <v>7</v>
      </c>
      <c r="B99" s="8" t="s">
        <v>15</v>
      </c>
      <c r="C99" s="8">
        <v>64.0</v>
      </c>
      <c r="D99" s="8">
        <v>5.0</v>
      </c>
      <c r="E99" s="9">
        <f>COUNTIFS(
'Labse Top K=5 Chunk = 64'!E:E,"&lt;0.5",
'Labse Top K=5 Chunk = 64'!J:J,"Gap Detection"
)
</f>
        <v>5</v>
      </c>
      <c r="F99" s="9">
        <f>COUNTIFS(
'Labse Top K=5 Chunk = 64'!F:F,"&lt;0.5",
'Labse Top K=5 Chunk = 64'!J:J,"Gap Detection"
)
</f>
        <v>5</v>
      </c>
      <c r="G99" s="9">
        <f>COUNTIFS(
'Labse Top K=5 Chunk = 64'!G:G,"&lt;0.5",
'Labse Top K=5 Chunk = 64'!J:J,"Gap Detection"
)
</f>
        <v>5</v>
      </c>
      <c r="H99" s="9">
        <f>COUNTIFS(
'Labse Top K=5 Chunk = 64'!H:H,"&lt;0.5",
'Labse Top K=5 Chunk = 64'!J:J,"Gap Detection"
)
</f>
        <v>3</v>
      </c>
    </row>
    <row r="100">
      <c r="A100" s="8" t="s">
        <v>7</v>
      </c>
      <c r="B100" s="8" t="s">
        <v>16</v>
      </c>
      <c r="C100" s="8">
        <v>64.0</v>
      </c>
      <c r="D100" s="8">
        <v>5.0</v>
      </c>
      <c r="E100" s="9">
        <f>COUNTIFS(
'Labse Top K=5 Chunk = 64'!E:E,"&lt;0.5",
'Labse Top K=5 Chunk = 64'!J:J,"Comparative Synthesis"
)
</f>
        <v>6</v>
      </c>
      <c r="F100" s="9">
        <f>COUNTIFS(
'Labse Top K=5 Chunk = 64'!F:F,"&lt;0.5",
'Labse Top K=5 Chunk = 64'!J:J,"Comparative Synthesis"
)
</f>
        <v>3</v>
      </c>
      <c r="G100" s="9">
        <f>COUNTIFS(
'Labse Top K=5 Chunk = 64'!G:G,"&lt;0.5",
'Labse Top K=5 Chunk = 64'!J:J,"Comparative Synthesis"
)
</f>
        <v>6</v>
      </c>
      <c r="H100" s="9">
        <f>COUNTIFS(
'Labse Top K=5 Chunk = 64'!H:H,"&lt;0.5",
'Labse Top K=5 Chunk = 64'!J:J,"Comparative Synthesis"
)
</f>
        <v>8</v>
      </c>
    </row>
    <row r="101">
      <c r="A101" s="8" t="s">
        <v>7</v>
      </c>
      <c r="B101" s="8" t="s">
        <v>17</v>
      </c>
      <c r="C101" s="8">
        <v>64.0</v>
      </c>
      <c r="D101" s="8">
        <v>5.0</v>
      </c>
      <c r="E101" s="9">
        <f>COUNTIFS(
'Labse Top K=5 Chunk = 64'!E:E,"&lt;0.5",
'Labse Top K=5 Chunk = 64'!J:J,"Evidence-based QA"
)
</f>
        <v>3</v>
      </c>
      <c r="F101" s="9">
        <f>COUNTIFS(
'Labse Top K=5 Chunk = 64'!F:F,"&lt;0.5",
'Labse Top K=5 Chunk = 64'!J:J,"Evidence-based QA"
)
</f>
        <v>9</v>
      </c>
      <c r="G101" s="9">
        <f>COUNTIFS(
'Labse Top K=5 Chunk = 64'!G:G,"&lt;0.5",
'Labse Top K=5 Chunk = 64'!J:J,"Evidence-based QA"
)
</f>
        <v>12</v>
      </c>
      <c r="H101" s="9">
        <f>COUNTIFS(
'Labse Top K=5 Chunk = 64'!H:H,"&lt;0.5",
'Labse Top K=5 Chunk = 64'!J:J,"Evidence-based QA"
)
</f>
        <v>3</v>
      </c>
    </row>
    <row r="102">
      <c r="A102" s="11" t="s">
        <v>8</v>
      </c>
      <c r="B102" s="8" t="s">
        <v>14</v>
      </c>
      <c r="C102" s="8">
        <v>32.0</v>
      </c>
      <c r="D102" s="8">
        <v>3.0</v>
      </c>
      <c r="E102" s="9">
        <f>COUNTIFS('BGE-M3 Top K = 3 , Chunk 32'!E:E,"&lt;0.5",
'BGE-M3 Top K = 3 , Chunk 32'!J:J,"Trend Analysis ")
</f>
        <v>4</v>
      </c>
      <c r="F102" s="9">
        <f>COUNTIFS('BGE-M3 Top K = 3 , Chunk 32'!F:F,"&lt;0.5",
'BGE-M3 Top K = 3 , Chunk 32'!J:J,"Trend Analysis ")
</f>
        <v>0</v>
      </c>
      <c r="G102" s="9">
        <f>COUNTIFS('BGE-M3 Top K = 3 , Chunk 32'!G:G,"&lt;0.5",
'BGE-M3 Top K = 3 , Chunk 32'!J:J,"Trend Analysis ")
</f>
        <v>1</v>
      </c>
      <c r="H102" s="9">
        <f>COUNTIFS('BGE-M3 Top K = 3 , Chunk 32'!H:H,"&lt;0.5",
'BGE-M3 Top K = 3 , Chunk 32'!J:J,"Trend Analysis ")
</f>
        <v>4</v>
      </c>
    </row>
    <row r="103">
      <c r="A103" s="11" t="s">
        <v>8</v>
      </c>
      <c r="B103" s="8" t="s">
        <v>15</v>
      </c>
      <c r="C103" s="8">
        <v>32.0</v>
      </c>
      <c r="D103" s="8">
        <v>3.0</v>
      </c>
      <c r="E103" s="9">
        <f>COUNTIFS('BGE-M3 Top K = 3 , Chunk 32'!E:E,"&lt;0.5",
'BGE-M3 Top K = 3 , Chunk 32'!J:J,"Gap Detection")
</f>
        <v>1</v>
      </c>
      <c r="F103" s="9">
        <f>COUNTIFS('BGE-M3 Top K = 3 , Chunk 32'!F:F,"&lt;0.5",
'BGE-M3 Top K = 3 , Chunk 32'!J:J,"Gap Detection")
</f>
        <v>2</v>
      </c>
      <c r="G103" s="9">
        <f>COUNTIFS('BGE-M3 Top K = 3 , Chunk 32'!G:G,"&lt;0.5",
'BGE-M3 Top K = 3 , Chunk 32'!J:J,"Gap Detection")
</f>
        <v>2</v>
      </c>
      <c r="H103" s="9">
        <f>COUNTIFS('BGE-M3 Top K = 3 , Chunk 32'!H:H,"&lt;0.5",
'BGE-M3 Top K = 3 , Chunk 32'!J:J,"Gap Detection")
</f>
        <v>4</v>
      </c>
    </row>
    <row r="104">
      <c r="A104" s="11" t="s">
        <v>8</v>
      </c>
      <c r="B104" s="8" t="s">
        <v>16</v>
      </c>
      <c r="C104" s="8">
        <v>32.0</v>
      </c>
      <c r="D104" s="8">
        <v>3.0</v>
      </c>
      <c r="E104" s="9">
        <f>COUNTIFS('BGE-M3 Top K = 3 , Chunk 32'!E:E,"&lt;0.5",
'BGE-M3 Top K = 3 , Chunk 32'!J:J,"Comparative Synthesis")
</f>
        <v>4</v>
      </c>
      <c r="F104" s="9">
        <f>COUNTIFS('BGE-M3 Top K = 3 , Chunk 32'!F:F,"&lt;0.5",
'BGE-M3 Top K = 3 , Chunk 32'!J:J,"Comparative Synthesis")
</f>
        <v>1</v>
      </c>
      <c r="G104" s="9">
        <f>COUNTIFS('BGE-M3 Top K = 3 , Chunk 32'!G:G,"&lt;0.5",
'BGE-M3 Top K = 3 , Chunk 32'!J:J,"Comparative Synthesis")
</f>
        <v>2</v>
      </c>
      <c r="H104" s="9">
        <f>COUNTIFS('BGE-M3 Top K = 3 , Chunk 32'!H:H,"&lt;0.5",
'BGE-M3 Top K = 3 , Chunk 32'!J:J,"Comparative Synthesis")
</f>
        <v>9</v>
      </c>
    </row>
    <row r="105" ht="1.5" customHeight="1">
      <c r="A105" s="11" t="s">
        <v>8</v>
      </c>
      <c r="B105" s="8" t="s">
        <v>17</v>
      </c>
      <c r="C105" s="8">
        <v>32.0</v>
      </c>
      <c r="D105" s="8">
        <v>3.0</v>
      </c>
      <c r="E105" s="9">
        <f>COUNTIFS('BGE-M3 Top K = 3 , Chunk 32'!E:E,"&lt;0.5",
'BGE-M3 Top K = 3 , Chunk 32'!J:J,"Evidence-based QA")
</f>
        <v>1</v>
      </c>
      <c r="F105" s="9">
        <f>COUNTIFS('BGE-M3 Top K = 3 , Chunk 32'!F:F,"&lt;0.5",
'BGE-M3 Top K = 3 , Chunk 32'!J:J,"Evidence-based QA")
</f>
        <v>3</v>
      </c>
      <c r="G105" s="9">
        <f>COUNTIFS('BGE-M3 Top K = 3 , Chunk 32'!G:G,"&lt;0.5",
'BGE-M3 Top K = 3 , Chunk 32'!J:J,"Evidence-based QA")
</f>
        <v>6</v>
      </c>
      <c r="H105" s="9">
        <f>COUNTIFS('BGE-M3 Top K = 3 , Chunk 32'!H:H,"&lt;0.5",
'BGE-M3 Top K = 3 , Chunk 32'!J:J,"Evidence-based QA")
</f>
        <v>6</v>
      </c>
    </row>
    <row r="106">
      <c r="A106" s="11" t="s">
        <v>8</v>
      </c>
      <c r="B106" s="8" t="s">
        <v>14</v>
      </c>
      <c r="C106" s="8">
        <v>32.0</v>
      </c>
      <c r="D106" s="8">
        <v>5.0</v>
      </c>
      <c r="E106" s="9">
        <f>COUNTIFS('BGE-M3 Top K = 5 , Chunk 32'!E:E,"&lt;0.5",
'BGE-M3 Top K = 5 , Chunk 32'!J:J,"Trend Analysis ")
</f>
        <v>2</v>
      </c>
      <c r="F106" s="9">
        <f>COUNTIFS('BGE-M3 Top K = 5 , Chunk 32'!F:F,"&lt;0.5",
'BGE-M3 Top K = 5 , Chunk 32'!J:J,"Trend Analysis ")
</f>
        <v>0</v>
      </c>
      <c r="G106" s="9">
        <f>COUNTIFS('BGE-M3 Top K = 5 , Chunk 32'!G:G,"&lt;0.5",
'BGE-M3 Top K = 5 , Chunk 32'!J:J,"Trend Analysis ")
</f>
        <v>2</v>
      </c>
      <c r="H106" s="9">
        <f>COUNTIFS('BGE-M3 Top K = 5 , Chunk 32'!H:H,"&lt;0.5",
'BGE-M3 Top K = 5 , Chunk 32'!J:J,"Trend Analysis ")
</f>
        <v>6</v>
      </c>
    </row>
    <row r="107">
      <c r="A107" s="11" t="s">
        <v>8</v>
      </c>
      <c r="B107" s="8" t="s">
        <v>15</v>
      </c>
      <c r="C107" s="8">
        <v>32.0</v>
      </c>
      <c r="D107" s="8">
        <v>5.0</v>
      </c>
      <c r="E107" s="9">
        <f>COUNTIFS('BGE-M3 Top K = 5 , Chunk 32'!E:E,"&lt;0.5",
'BGE-M3 Top K = 5 , Chunk 32'!J:J,"Gap Detection")
</f>
        <v>1</v>
      </c>
      <c r="F107" s="9">
        <f>COUNTIFS('BGE-M3 Top K = 5 , Chunk 32'!F:F,"&lt;0.5",
'BGE-M3 Top K = 5 , Chunk 32'!J:J,"Gap Detection")
</f>
        <v>1</v>
      </c>
      <c r="G107" s="9">
        <f>COUNTIFS('BGE-M3 Top K = 5 , Chunk 32'!G:G,"&lt;0.5",
'BGE-M3 Top K = 5 , Chunk 32'!J:J,"Gap Detection")
</f>
        <v>2</v>
      </c>
      <c r="H107" s="9">
        <f>COUNTIFS('BGE-M3 Top K = 5 , Chunk 32'!H:H,"&lt;0.5",
'BGE-M3 Top K = 5 , Chunk 32'!J:J,"Gap Detection")
</f>
        <v>5</v>
      </c>
    </row>
    <row r="108">
      <c r="A108" s="11" t="s">
        <v>8</v>
      </c>
      <c r="B108" s="8" t="s">
        <v>16</v>
      </c>
      <c r="C108" s="8">
        <v>32.0</v>
      </c>
      <c r="D108" s="8">
        <v>5.0</v>
      </c>
      <c r="E108" s="9">
        <f>COUNTIFS('BGE-M3 Top K = 5 , Chunk 32'!E:E,"&lt;0.5",
'BGE-M3 Top K = 5 , Chunk 32'!J:J,"Comparative Synthesis")
</f>
        <v>3</v>
      </c>
      <c r="F108" s="9">
        <f>COUNTIFS('BGE-M3 Top K = 5 , Chunk 32'!F:F,"&lt;0.5",
'BGE-M3 Top K = 5 , Chunk 32'!J:J,"Comparative Synthesis")
</f>
        <v>0</v>
      </c>
      <c r="G108" s="9">
        <f>COUNTIFS('BGE-M3 Top K = 5 , Chunk 32'!G:G,"&lt;0.5",
'BGE-M3 Top K = 5 , Chunk 32'!J:J,"Comparative Synthesis")
</f>
        <v>1</v>
      </c>
      <c r="H108" s="9">
        <f>COUNTIFS('BGE-M3 Top K = 5 , Chunk 32'!H:H,"&lt;0.5",
'BGE-M3 Top K = 5 , Chunk 32'!J:J,"Comparative Synthesis")
</f>
        <v>8</v>
      </c>
    </row>
    <row r="109">
      <c r="A109" s="11" t="s">
        <v>8</v>
      </c>
      <c r="B109" s="8" t="s">
        <v>17</v>
      </c>
      <c r="C109" s="8">
        <v>32.0</v>
      </c>
      <c r="D109" s="8">
        <v>5.0</v>
      </c>
      <c r="E109" s="9">
        <f>COUNTIFS('BGE-M3 Top K = 5 , Chunk 32'!E:E,"&lt;0.5",
'BGE-M3 Top K = 5 , Chunk 32'!J:J,"Evidence-based QA")
</f>
        <v>2</v>
      </c>
      <c r="F109" s="9">
        <f>COUNTIFS('BGE-M3 Top K = 5 , Chunk 32'!F:F,"&lt;0.5",
'BGE-M3 Top K = 5 , Chunk 32'!J:J,"Evidence-based QA")
</f>
        <v>1</v>
      </c>
      <c r="G109" s="9">
        <f>COUNTIFS('BGE-M3 Top K = 5 , Chunk 32'!G:G,"&lt;0.5",
'BGE-M3 Top K = 5 , Chunk 32'!J:J,"Evidence-based QA")
</f>
        <v>6</v>
      </c>
      <c r="H109" s="9">
        <f>COUNTIFS('BGE-M3 Top K = 5 , Chunk 32'!H:H,"&lt;0.5",
'BGE-M3 Top K = 5 , Chunk 32'!J:J,"Evidence-based QA")
</f>
        <v>2</v>
      </c>
    </row>
    <row r="110">
      <c r="A110" s="11" t="s">
        <v>8</v>
      </c>
      <c r="B110" s="8" t="s">
        <v>14</v>
      </c>
      <c r="C110" s="8">
        <v>64.0</v>
      </c>
      <c r="D110" s="8">
        <v>3.0</v>
      </c>
      <c r="E110" s="9">
        <f>COUNTIFS('BGE-M3 Top K = 3 , Chunk 64'!E:E,"&lt;0.5",
'BGE-M3 Top K = 3 , Chunk 64'!J:J,"Trend Analysis ")
</f>
        <v>6</v>
      </c>
      <c r="F110" s="9">
        <f>COUNTIFS('BGE-M3 Top K = 3 , Chunk 64'!F:F,"&lt;0.5",
'BGE-M3 Top K = 3 , Chunk 64'!J:J,"Trend Analysis ")
</f>
        <v>1</v>
      </c>
      <c r="G110" s="9">
        <f>COUNTIFS('BGE-M3 Top K = 3 , Chunk 64'!G:G,"&lt;0.5",
'BGE-M3 Top K = 3 , Chunk 64'!J:J,"Trend Analysis ")
</f>
        <v>1</v>
      </c>
      <c r="H110" s="9">
        <f>COUNTIFS('BGE-M3 Top K = 3 , Chunk 64'!H:H,"&lt;0.5",
'BGE-M3 Top K = 3 , Chunk 64'!J:J,"Trend Analysis ")
</f>
        <v>2</v>
      </c>
    </row>
    <row r="111">
      <c r="A111" s="11" t="s">
        <v>8</v>
      </c>
      <c r="B111" s="8" t="s">
        <v>15</v>
      </c>
      <c r="C111" s="8">
        <v>64.0</v>
      </c>
      <c r="D111" s="8">
        <v>3.0</v>
      </c>
      <c r="E111" s="9">
        <f>COUNTIFS('BGE-M3 Top K = 3 , Chunk 64'!E:E,"&lt;0.5",
'BGE-M3 Top K = 3 , Chunk 64'!J:J,"Gap Detection")
</f>
        <v>5</v>
      </c>
      <c r="F111" s="9">
        <f>COUNTIFS('BGE-M3 Top K = 3 , Chunk 64'!F:F,"&lt;0.5",
'BGE-M3 Top K = 3 , Chunk 64'!J:J,"Gap Detection")
</f>
        <v>3</v>
      </c>
      <c r="G111" s="9">
        <f>COUNTIFS('BGE-M3 Top K = 3 , Chunk 64'!G:G,"&lt;0.5",
'BGE-M3 Top K = 3 , Chunk 64'!J:J,"Gap Detection")
</f>
        <v>4</v>
      </c>
      <c r="H111" s="9">
        <f>COUNTIFS('BGE-M3 Top K = 3 , Chunk 64'!H:H,"&lt;0.5",
'BGE-M3 Top K = 3 , Chunk 64'!J:J,"Gap Detection")
</f>
        <v>2</v>
      </c>
    </row>
    <row r="112">
      <c r="A112" s="11" t="s">
        <v>8</v>
      </c>
      <c r="B112" s="8" t="s">
        <v>16</v>
      </c>
      <c r="C112" s="8">
        <v>64.0</v>
      </c>
      <c r="D112" s="8">
        <v>3.0</v>
      </c>
      <c r="E112" s="9">
        <f>COUNTIFS('BGE-M3 Top K = 3 , Chunk 64'!E:E,"&lt;0.5",
'BGE-M3 Top K = 3 , Chunk 64'!J:J,"Comparative Synthesis")
</f>
        <v>5</v>
      </c>
      <c r="F112" s="9">
        <f>COUNTIFS('BGE-M3 Top K = 3 , Chunk 64'!F:F,"&lt;0.5",
'BGE-M3 Top K = 3 , Chunk 64'!J:J,"Comparative Synthesis")
</f>
        <v>0</v>
      </c>
      <c r="G112" s="9">
        <f>COUNTIFS('BGE-M3 Top K = 3 , Chunk 64'!G:G,"&lt;0.5",
'BGE-M3 Top K = 3 , Chunk 64'!J:J,"Comparative Synthesis")
</f>
        <v>3</v>
      </c>
      <c r="H112" s="9">
        <f>COUNTIFS('BGE-M3 Top K = 3 , Chunk 64'!H:H,"&lt;0.5",
'BGE-M3 Top K = 3 , Chunk 64'!J:J,"Comparative Synthesis")
</f>
        <v>7</v>
      </c>
    </row>
    <row r="113">
      <c r="A113" s="11" t="s">
        <v>8</v>
      </c>
      <c r="B113" s="8" t="s">
        <v>17</v>
      </c>
      <c r="C113" s="8">
        <v>64.0</v>
      </c>
      <c r="D113" s="8">
        <v>3.0</v>
      </c>
      <c r="E113" s="9">
        <f>COUNTIFS('BGE-M3 Top K = 3 , Chunk 64'!E:E,"&lt;0.5",
'BGE-M3 Top K = 3 , Chunk 64'!J:J,"Evidence-based QA")
</f>
        <v>4</v>
      </c>
      <c r="F113" s="9">
        <f>COUNTIFS('BGE-M3 Top K = 3 , Chunk 64'!F:F,"&lt;0.5",
'BGE-M3 Top K = 3 , Chunk 64'!J:J,"Evidence-based QA")
</f>
        <v>3</v>
      </c>
      <c r="G113" s="9">
        <f>COUNTIFS('BGE-M3 Top K = 3 , Chunk 64'!G:G,"&lt;0.5",
'BGE-M3 Top K = 3 , Chunk 64'!J:J,"Evidence-based QA")
</f>
        <v>4</v>
      </c>
      <c r="H113" s="9">
        <f>COUNTIFS('BGE-M3 Top K = 3 , Chunk 64'!H:H,"&lt;0.5",
'BGE-M3 Top K = 3 , Chunk 64'!J:J,"Evidence-based QA")
</f>
        <v>3</v>
      </c>
    </row>
    <row r="114">
      <c r="A114" s="11" t="s">
        <v>8</v>
      </c>
      <c r="B114" s="8" t="s">
        <v>14</v>
      </c>
      <c r="C114" s="8">
        <v>64.0</v>
      </c>
      <c r="D114" s="8">
        <v>5.0</v>
      </c>
      <c r="E114" s="9">
        <f>COUNTIFS('BGE-M3 Top K = 5 , Chunk 64'!E:E,"&lt;0.5",
'BGE-M3 Top K = 5 , Chunk 64'!J:J,"Trend Analysis ")
</f>
        <v>6</v>
      </c>
      <c r="F114" s="9">
        <f>COUNTIFS('BGE-M3 Top K = 5 , Chunk 64'!F:F,"&lt;0.5",
'BGE-M3 Top K = 5 , Chunk 64'!J:J,"Trend Analysis ")
</f>
        <v>1</v>
      </c>
      <c r="G114" s="9">
        <f>COUNTIFS('BGE-M3 Top K = 5 , Chunk 64'!G:G,"&lt;0.5",
'BGE-M3 Top K = 5 , Chunk 64'!J:J,"Trend Analysis ")
</f>
        <v>1</v>
      </c>
      <c r="H114" s="9">
        <f>COUNTIFS('BGE-M3 Top K = 5 , Chunk 64'!H:H,"&lt;0.5",
'BGE-M3 Top K = 5 , Chunk 64'!J:J,"Trend Analysis ")
</f>
        <v>1</v>
      </c>
    </row>
    <row r="115">
      <c r="A115" s="11" t="s">
        <v>8</v>
      </c>
      <c r="B115" s="8" t="s">
        <v>15</v>
      </c>
      <c r="C115" s="8">
        <v>64.0</v>
      </c>
      <c r="D115" s="8">
        <v>5.0</v>
      </c>
      <c r="E115" s="9">
        <f>COUNTIFS('BGE-M3 Top K = 5 , Chunk 64'!E:E,"&lt;0.5",
'BGE-M3 Top K = 5 , Chunk 64'!J:J,"Gap Detection")
</f>
        <v>3</v>
      </c>
      <c r="F115" s="9">
        <f>COUNTIFS('BGE-M3 Top K = 5 , Chunk 64'!F:F,"&lt;0.5",
'BGE-M3 Top K = 5 , Chunk 64'!J:J,"Gap Detection")
</f>
        <v>1</v>
      </c>
      <c r="G115" s="9">
        <f>COUNTIFS('BGE-M3 Top K = 5 , Chunk 64'!G:G,"&lt;0.5",
'BGE-M3 Top K = 5 , Chunk 64'!J:J,"Gap Detection")
</f>
        <v>1</v>
      </c>
      <c r="H115" s="9">
        <f>COUNTIFS('BGE-M3 Top K = 5 , Chunk 64'!H:H,"&lt;0.5",
'BGE-M3 Top K = 5 , Chunk 64'!J:J,"Gap Detection")
</f>
        <v>3</v>
      </c>
    </row>
    <row r="116">
      <c r="A116" s="11" t="s">
        <v>8</v>
      </c>
      <c r="B116" s="8" t="s">
        <v>16</v>
      </c>
      <c r="C116" s="8">
        <v>64.0</v>
      </c>
      <c r="D116" s="8">
        <v>5.0</v>
      </c>
      <c r="E116" s="9">
        <f>COUNTIFS('BGE-M3 Top K = 5 , Chunk 64'!E:E,"&lt;0.5",
'BGE-M3 Top K = 5 , Chunk 64'!J:J,"Comparative Synthesis")
</f>
        <v>4</v>
      </c>
      <c r="F116" s="9">
        <f>COUNTIFS('BGE-M3 Top K = 5 , Chunk 64'!F:F,"&lt;0.5",
'BGE-M3 Top K = 5 , Chunk 64'!J:J,"Comparative Synthesis")
</f>
        <v>0</v>
      </c>
      <c r="G116" s="9">
        <f>COUNTIFS('BGE-M3 Top K = 5 , Chunk 64'!G:G,"&lt;0.5",
'BGE-M3 Top K = 5 , Chunk 64'!J:J,"Comparative Synthesis")
</f>
        <v>1</v>
      </c>
      <c r="H116" s="9">
        <f>COUNTIFS('BGE-M3 Top K = 5 , Chunk 64'!H:H,"&lt;0.5",
'BGE-M3 Top K = 5 , Chunk 64'!J:J,"Comparative Synthesis")
</f>
        <v>4</v>
      </c>
    </row>
    <row r="117">
      <c r="A117" s="11" t="s">
        <v>8</v>
      </c>
      <c r="B117" s="8" t="s">
        <v>17</v>
      </c>
      <c r="C117" s="8">
        <v>64.0</v>
      </c>
      <c r="D117" s="8">
        <v>5.0</v>
      </c>
      <c r="E117" s="9">
        <f>COUNTIFS('BGE-M3 Top K = 5 , Chunk 64'!E:E,"&lt;0.5",
'BGE-M3 Top K = 5 , Chunk 64'!J:J,"Evidence-based QA")
</f>
        <v>2</v>
      </c>
      <c r="F117" s="9">
        <f>COUNTIFS('BGE-M3 Top K = 5 , Chunk 64'!F:F,"&lt;0.5",
'BGE-M3 Top K = 5 , Chunk 64'!J:J,"Evidence-based QA")
</f>
        <v>3</v>
      </c>
      <c r="G117" s="9">
        <f>COUNTIFS('BGE-M3 Top K = 5 , Chunk 64'!G:G,"&lt;0.5",
'BGE-M3 Top K = 5 , Chunk 64'!J:J,"Evidence-based QA")
</f>
        <v>5</v>
      </c>
      <c r="H117" s="9">
        <f>COUNTIFS('BGE-M3 Top K = 5 , Chunk 64'!H:H,"&lt;0.5",
'BGE-M3 Top K = 5 , Chunk 64'!J:J,"Evidence-based QA")
</f>
        <v>5</v>
      </c>
    </row>
    <row r="120">
      <c r="A120" s="6" t="s">
        <v>19</v>
      </c>
      <c r="B120" s="6" t="s">
        <v>20</v>
      </c>
      <c r="C120" s="8" t="s">
        <v>21</v>
      </c>
      <c r="D120" s="8" t="s">
        <v>22</v>
      </c>
    </row>
    <row r="121">
      <c r="A121" s="16" t="s">
        <v>23</v>
      </c>
      <c r="B121" s="8" t="s">
        <v>24</v>
      </c>
      <c r="C121" s="9">
        <f>COUNTIF(Hallucinantion!K:K, "Abstractive Deviation")</f>
        <v>51</v>
      </c>
      <c r="D121" s="17">
        <f>sum(C121:C124)</f>
        <v>141</v>
      </c>
    </row>
    <row r="122">
      <c r="A122" s="18"/>
      <c r="B122" s="19" t="s">
        <v>25</v>
      </c>
      <c r="C122" s="9">
        <f>COUNTIF(Hallucinantion!K:K, "Unsupported Generation")</f>
        <v>17</v>
      </c>
      <c r="D122" s="18"/>
    </row>
    <row r="123">
      <c r="A123" s="18"/>
      <c r="B123" s="19" t="s">
        <v>26</v>
      </c>
      <c r="C123" s="9">
        <f>COUNTIF(Hallucinantion!K:K, "True Hallucination")</f>
        <v>5</v>
      </c>
      <c r="D123" s="18"/>
    </row>
    <row r="124">
      <c r="A124" s="20"/>
      <c r="B124" s="21" t="s">
        <v>27</v>
      </c>
      <c r="C124" s="9">
        <f>COUNTIF(Hallucinantion!K:K, "Other Error")</f>
        <v>68</v>
      </c>
      <c r="D124" s="20"/>
    </row>
    <row r="125">
      <c r="A125" s="16" t="s">
        <v>28</v>
      </c>
      <c r="B125" s="21" t="s">
        <v>29</v>
      </c>
      <c r="C125" s="9">
        <f>COUNTIF('Retrieval Failure'!K:K, "Hard Retrieval Miss")</f>
        <v>10</v>
      </c>
      <c r="D125" s="17">
        <f>SUM(C125:C127)</f>
        <v>28</v>
      </c>
    </row>
    <row r="126">
      <c r="A126" s="18"/>
      <c r="B126" s="21" t="s">
        <v>30</v>
      </c>
      <c r="C126" s="9">
        <f>COUNTIF('Retrieval Failure'!K:K, "Partial Recall Loss")</f>
        <v>17</v>
      </c>
      <c r="D126" s="18"/>
    </row>
    <row r="127">
      <c r="A127" s="20"/>
      <c r="B127" s="21" t="s">
        <v>27</v>
      </c>
      <c r="C127" s="9">
        <f>COUNTIF('Retrieval Failure'!K:K, "Other Error")</f>
        <v>1</v>
      </c>
      <c r="D127" s="20"/>
    </row>
    <row r="128">
      <c r="A128" s="16" t="s">
        <v>31</v>
      </c>
      <c r="B128" s="8" t="s">
        <v>32</v>
      </c>
      <c r="C128" s="9">
        <f>COUNTIF('Context Noise'!K:K, "Dominant Noise")</f>
        <v>8</v>
      </c>
      <c r="D128" s="17">
        <f>SUM(C128:C130)</f>
        <v>9</v>
      </c>
    </row>
    <row r="129">
      <c r="A129" s="18"/>
      <c r="B129" s="8" t="s">
        <v>33</v>
      </c>
      <c r="C129" s="9">
        <f>COUNTIF('Context Noise'!K:K, "Mixed Context")</f>
        <v>0</v>
      </c>
      <c r="D129" s="18"/>
    </row>
    <row r="130">
      <c r="A130" s="20"/>
      <c r="B130" s="8" t="s">
        <v>27</v>
      </c>
      <c r="C130" s="9">
        <f>COUNTIF('Context Noise'!K:K, "Other Error")</f>
        <v>1</v>
      </c>
      <c r="D130" s="20"/>
    </row>
    <row r="131">
      <c r="A131" s="16" t="s">
        <v>34</v>
      </c>
      <c r="B131" s="8" t="s">
        <v>35</v>
      </c>
      <c r="C131" s="9">
        <f>COUNTIF('Semantic Drift'!K:K, "Intent Drift")</f>
        <v>43</v>
      </c>
      <c r="D131" s="17">
        <f>SUM(C131:C133)</f>
        <v>46</v>
      </c>
    </row>
    <row r="132">
      <c r="A132" s="18"/>
      <c r="B132" s="8" t="s">
        <v>36</v>
      </c>
      <c r="C132" s="9">
        <f>COUNTIF('Semantic Drift'!K:K, "Scope Drift")</f>
        <v>0</v>
      </c>
      <c r="D132" s="18"/>
    </row>
    <row r="133">
      <c r="A133" s="20"/>
      <c r="B133" s="8" t="s">
        <v>27</v>
      </c>
      <c r="C133" s="9">
        <f>COUNTIF('Semantic Drift'!K:K, "Other Error")</f>
        <v>3</v>
      </c>
      <c r="D133" s="20"/>
    </row>
    <row r="134">
      <c r="A134" s="16" t="s">
        <v>37</v>
      </c>
      <c r="B134" s="8" t="s">
        <v>38</v>
      </c>
      <c r="C134" s="9">
        <f>COUNTIF('Incomplete Answer'!K:K, "Partial Coverage")</f>
        <v>17</v>
      </c>
      <c r="D134" s="17">
        <f>SUM(C134:C136)</f>
        <v>96</v>
      </c>
    </row>
    <row r="135">
      <c r="A135" s="18"/>
      <c r="B135" s="8" t="s">
        <v>39</v>
      </c>
      <c r="C135" s="9">
        <f>COUNTIF('Incomplete Answer'!K:K, "Dimension Omission")</f>
        <v>9</v>
      </c>
      <c r="D135" s="18"/>
    </row>
    <row r="136">
      <c r="A136" s="20"/>
      <c r="B136" s="8" t="s">
        <v>27</v>
      </c>
      <c r="C136" s="9">
        <f>COUNTIF('Incomplete Answer'!K:K, "Other Error")</f>
        <v>70</v>
      </c>
      <c r="D136" s="20"/>
    </row>
    <row r="137">
      <c r="A137" s="8" t="s">
        <v>40</v>
      </c>
      <c r="B137" s="9"/>
      <c r="C137" s="9">
        <f>COUNTA('Correct Answer'!J:J)-1</f>
        <v>320</v>
      </c>
      <c r="D137" s="9">
        <f>COUNTA('Correct Answer'!J:J)-1</f>
        <v>320</v>
      </c>
    </row>
    <row r="138">
      <c r="A138" s="22" t="s">
        <v>22</v>
      </c>
      <c r="B138" s="23"/>
      <c r="C138" s="24"/>
      <c r="D138" s="9">
        <f>SUM(D121:D137)</f>
        <v>640</v>
      </c>
    </row>
  </sheetData>
  <mergeCells count="12">
    <mergeCell ref="D128:D130"/>
    <mergeCell ref="D131:D133"/>
    <mergeCell ref="A134:A136"/>
    <mergeCell ref="D134:D136"/>
    <mergeCell ref="A138:C138"/>
    <mergeCell ref="A69:G69"/>
    <mergeCell ref="A121:A124"/>
    <mergeCell ref="D121:D124"/>
    <mergeCell ref="A125:A127"/>
    <mergeCell ref="D125:D127"/>
    <mergeCell ref="A128:A130"/>
    <mergeCell ref="A131:A133"/>
  </mergeCells>
  <conditionalFormatting sqref="D2:D9">
    <cfRule type="colorScale" priority="1">
      <colorScale>
        <cfvo type="min"/>
        <cfvo type="percentile" val="50"/>
        <cfvo type="max"/>
        <color rgb="FF57BB8A"/>
        <color rgb="FFFFD666"/>
        <color rgb="FFE67C73"/>
      </colorScale>
    </cfRule>
  </conditionalFormatting>
  <conditionalFormatting sqref="E2:E9">
    <cfRule type="colorScale" priority="2">
      <colorScale>
        <cfvo type="min"/>
        <cfvo type="percentile" val="50"/>
        <cfvo type="max"/>
        <color rgb="FF57BB8A"/>
        <color rgb="FFFFD666"/>
        <color rgb="FFE67C73"/>
      </colorScale>
    </cfRule>
  </conditionalFormatting>
  <conditionalFormatting sqref="F2:F9">
    <cfRule type="colorScale" priority="3">
      <colorScale>
        <cfvo type="min"/>
        <cfvo type="percentile" val="50"/>
        <cfvo type="max"/>
        <color rgb="FF57BB8A"/>
        <color rgb="FFFFD666"/>
        <color rgb="FFE67C73"/>
      </colorScale>
    </cfRule>
  </conditionalFormatting>
  <conditionalFormatting sqref="G2:G9">
    <cfRule type="colorScale" priority="4">
      <colorScale>
        <cfvo type="min"/>
        <cfvo type="percentile" val="50"/>
        <cfvo type="max"/>
        <color rgb="FF57BB8A"/>
        <color rgb="FFFFD666"/>
        <color rgb="FFE67C73"/>
      </colorScale>
    </cfRule>
  </conditionalFormatting>
  <dataValidations>
    <dataValidation type="list" allowBlank="1" showErrorMessage="1" sqref="B2:B9 B72:B79">
      <formula1>"32,64"</formula1>
    </dataValidation>
    <dataValidation type="list" allowBlank="1" showErrorMessage="1" sqref="C2:C9 C72:C79">
      <formula1>"3,5"</formula1>
    </dataValidation>
    <dataValidation type="list" allowBlank="1" showErrorMessage="1" sqref="A2:A9">
      <formula1>"LaBSE,BGE-M3"</formula1>
    </dataValidation>
  </dataValidations>
  <drawing r:id="rId1"/>
  <tableParts count="3">
    <tablePart r:id="rId5"/>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2" max="2" width="13.88"/>
    <col customWidth="1" min="3" max="3" width="16.63"/>
    <col customWidth="1" min="4" max="4" width="13.38"/>
    <col customWidth="1" min="5" max="5" width="101.88"/>
    <col customWidth="1" min="6" max="7" width="37.63"/>
    <col customWidth="1" min="9" max="9" width="26.75"/>
    <col customWidth="1" min="10" max="10" width="29.0"/>
    <col customWidth="1" min="11" max="11" width="21.75"/>
    <col customWidth="1" min="12" max="12" width="39.38"/>
  </cols>
  <sheetData>
    <row r="1" ht="22.5" customHeight="1">
      <c r="A1" s="25" t="s">
        <v>41</v>
      </c>
      <c r="B1" s="1" t="s">
        <v>0</v>
      </c>
      <c r="C1" s="1" t="s">
        <v>1</v>
      </c>
      <c r="D1" s="1" t="s">
        <v>2</v>
      </c>
      <c r="E1" s="26" t="s">
        <v>42</v>
      </c>
      <c r="F1" s="26" t="s">
        <v>43</v>
      </c>
      <c r="G1" s="26" t="s">
        <v>44</v>
      </c>
      <c r="H1" s="2" t="s">
        <v>3</v>
      </c>
      <c r="I1" s="2" t="s">
        <v>4</v>
      </c>
      <c r="J1" s="2" t="s">
        <v>5</v>
      </c>
      <c r="K1" s="2" t="s">
        <v>6</v>
      </c>
      <c r="L1" s="26" t="s">
        <v>45</v>
      </c>
    </row>
    <row r="2" ht="22.5" customHeight="1">
      <c r="A2" s="4">
        <f t="array" ref="A2:A641">SEQUENCE(640,1)</f>
        <v>1</v>
      </c>
      <c r="B2" s="3" t="s">
        <v>7</v>
      </c>
      <c r="C2" s="3">
        <v>32.0</v>
      </c>
      <c r="D2" s="3">
        <v>3.0</v>
      </c>
      <c r="E2" s="5" t="s">
        <v>46</v>
      </c>
      <c r="F2" s="5" t="s">
        <v>47</v>
      </c>
      <c r="G2" s="5" t="s">
        <v>48</v>
      </c>
      <c r="H2" s="27">
        <v>1.0</v>
      </c>
      <c r="I2" s="27">
        <v>0.901</v>
      </c>
      <c r="J2" s="27">
        <v>1.0</v>
      </c>
      <c r="K2" s="27">
        <v>0.875</v>
      </c>
      <c r="L2" s="4" t="str">
        <f>IMAGE("https://drive.google.com/uc?export=view&amp;id=1yWqfLrwrmcdiwdqVorVHl9lGOMhO-QEg")</f>
        <v/>
      </c>
    </row>
    <row r="3" ht="22.5" customHeight="1">
      <c r="A3" s="4">
        <v>2.0</v>
      </c>
      <c r="B3" s="3" t="s">
        <v>7</v>
      </c>
      <c r="C3" s="3">
        <v>32.0</v>
      </c>
      <c r="D3" s="3">
        <v>3.0</v>
      </c>
      <c r="E3" s="5" t="s">
        <v>49</v>
      </c>
      <c r="F3" s="5" t="s">
        <v>50</v>
      </c>
      <c r="G3" s="5" t="s">
        <v>51</v>
      </c>
      <c r="H3" s="27">
        <v>0.429</v>
      </c>
      <c r="I3" s="27">
        <v>1.0</v>
      </c>
      <c r="J3" s="27">
        <v>0.333</v>
      </c>
      <c r="K3" s="27">
        <v>1.0</v>
      </c>
      <c r="L3" s="4" t="str">
        <f>IMAGE("https://drive.google.com/uc?export=view&amp;id=1FxO3OeVVwVfdbWaVF-TiLUcIeXutQ-6f")</f>
        <v/>
      </c>
    </row>
    <row r="4" ht="22.5" customHeight="1">
      <c r="A4" s="4">
        <v>3.0</v>
      </c>
      <c r="B4" s="3" t="s">
        <v>7</v>
      </c>
      <c r="C4" s="3">
        <v>32.0</v>
      </c>
      <c r="D4" s="3">
        <v>3.0</v>
      </c>
      <c r="E4" s="5" t="s">
        <v>52</v>
      </c>
      <c r="F4" s="5" t="s">
        <v>53</v>
      </c>
      <c r="G4" s="5" t="s">
        <v>54</v>
      </c>
      <c r="H4" s="27">
        <v>1.0</v>
      </c>
      <c r="I4" s="27">
        <v>0.827</v>
      </c>
      <c r="J4" s="27">
        <v>1.0</v>
      </c>
      <c r="K4" s="27">
        <v>0.333</v>
      </c>
      <c r="L4" s="4" t="str">
        <f>IMAGE("https://drive.google.com/uc?export=view&amp;id=1dV58gtSqEiTa5kdZ6WMlUDwpnp4_jjSm")</f>
        <v/>
      </c>
    </row>
    <row r="5" ht="22.5" customHeight="1">
      <c r="A5" s="4">
        <v>4.0</v>
      </c>
      <c r="B5" s="3" t="s">
        <v>7</v>
      </c>
      <c r="C5" s="3">
        <v>32.0</v>
      </c>
      <c r="D5" s="3">
        <v>3.0</v>
      </c>
      <c r="E5" s="5" t="s">
        <v>55</v>
      </c>
      <c r="F5" s="5" t="s">
        <v>56</v>
      </c>
      <c r="G5" s="5" t="s">
        <v>57</v>
      </c>
      <c r="H5" s="27">
        <v>0.571</v>
      </c>
      <c r="I5" s="27">
        <v>1.0</v>
      </c>
      <c r="J5" s="27">
        <v>1.0</v>
      </c>
      <c r="K5" s="27">
        <v>1.0</v>
      </c>
      <c r="L5" s="4" t="str">
        <f>IMAGE("https://drive.google.com/uc?export=view&amp;id=1A27oO-piM3pvWsnAMdr8bRcHquE5OX4D")</f>
        <v/>
      </c>
    </row>
    <row r="6" ht="22.5" customHeight="1">
      <c r="A6" s="4">
        <v>5.0</v>
      </c>
      <c r="B6" s="3" t="s">
        <v>7</v>
      </c>
      <c r="C6" s="3">
        <v>32.0</v>
      </c>
      <c r="D6" s="3">
        <v>3.0</v>
      </c>
      <c r="E6" s="5" t="s">
        <v>58</v>
      </c>
      <c r="F6" s="5" t="s">
        <v>59</v>
      </c>
      <c r="G6" s="5" t="s">
        <v>60</v>
      </c>
      <c r="H6" s="27">
        <v>0.667</v>
      </c>
      <c r="I6" s="27">
        <v>0.734</v>
      </c>
      <c r="J6" s="27">
        <v>0.833</v>
      </c>
      <c r="K6" s="27">
        <v>0.6</v>
      </c>
      <c r="L6" s="4" t="str">
        <f>IMAGE("https://drive.google.com/uc?export=view&amp;id=1o4D6HkiN88UnJ0EddFdQZvlMOl6o87ym")</f>
        <v/>
      </c>
    </row>
    <row r="7" ht="22.5" customHeight="1">
      <c r="A7" s="4">
        <v>6.0</v>
      </c>
      <c r="B7" s="3" t="s">
        <v>7</v>
      </c>
      <c r="C7" s="3">
        <v>32.0</v>
      </c>
      <c r="D7" s="3">
        <v>3.0</v>
      </c>
      <c r="E7" s="5" t="s">
        <v>61</v>
      </c>
      <c r="F7" s="5" t="s">
        <v>62</v>
      </c>
      <c r="G7" s="5" t="s">
        <v>63</v>
      </c>
      <c r="H7" s="27">
        <v>1.0</v>
      </c>
      <c r="I7" s="27">
        <v>1.0</v>
      </c>
      <c r="J7" s="27">
        <v>0.583</v>
      </c>
      <c r="K7" s="27">
        <v>1.0</v>
      </c>
      <c r="L7" s="4" t="str">
        <f>IMAGE("https://drive.google.com/uc?export=view&amp;id=1xIBTZB3ErCMFr52F6orM-oFUqWVPaGaS")</f>
        <v/>
      </c>
    </row>
    <row r="8" ht="22.5" customHeight="1">
      <c r="A8" s="4">
        <v>7.0</v>
      </c>
      <c r="B8" s="3" t="s">
        <v>7</v>
      </c>
      <c r="C8" s="3">
        <v>32.0</v>
      </c>
      <c r="D8" s="3">
        <v>3.0</v>
      </c>
      <c r="E8" s="5" t="s">
        <v>64</v>
      </c>
      <c r="F8" s="5" t="s">
        <v>65</v>
      </c>
      <c r="G8" s="5" t="s">
        <v>66</v>
      </c>
      <c r="H8" s="27">
        <v>0.0</v>
      </c>
      <c r="I8" s="27">
        <v>0.81</v>
      </c>
      <c r="J8" s="27">
        <v>0.0</v>
      </c>
      <c r="K8" s="27">
        <v>0.2</v>
      </c>
      <c r="L8" s="4" t="str">
        <f>IMAGE("https://drive.google.com/uc?export=view&amp;id=19w73J71Q6HnNGTwLM0fZ8hw84ev8h03Y")</f>
        <v/>
      </c>
    </row>
    <row r="9" ht="22.5" customHeight="1">
      <c r="A9" s="4">
        <v>8.0</v>
      </c>
      <c r="B9" s="3" t="s">
        <v>7</v>
      </c>
      <c r="C9" s="3">
        <v>32.0</v>
      </c>
      <c r="D9" s="3">
        <v>3.0</v>
      </c>
      <c r="E9" s="5" t="s">
        <v>67</v>
      </c>
      <c r="F9" s="5" t="s">
        <v>68</v>
      </c>
      <c r="G9" s="5" t="s">
        <v>69</v>
      </c>
      <c r="H9" s="27">
        <v>0.5</v>
      </c>
      <c r="I9" s="27">
        <v>0.821</v>
      </c>
      <c r="J9" s="27">
        <v>1.0</v>
      </c>
      <c r="K9" s="27">
        <v>0.333</v>
      </c>
      <c r="L9" s="4" t="str">
        <f>IMAGE("https://drive.google.com/uc?export=view&amp;id=1LphF5CdNh_uDjN3IlHgSPN3v3EAGpgH6")</f>
        <v/>
      </c>
    </row>
    <row r="10" ht="22.5" customHeight="1">
      <c r="A10" s="4">
        <v>9.0</v>
      </c>
      <c r="B10" s="3" t="s">
        <v>7</v>
      </c>
      <c r="C10" s="3">
        <v>32.0</v>
      </c>
      <c r="D10" s="3">
        <v>3.0</v>
      </c>
      <c r="E10" s="5" t="s">
        <v>70</v>
      </c>
      <c r="F10" s="5" t="s">
        <v>71</v>
      </c>
      <c r="G10" s="5" t="s">
        <v>72</v>
      </c>
      <c r="H10" s="27">
        <v>0.6</v>
      </c>
      <c r="I10" s="27">
        <v>0.523</v>
      </c>
      <c r="J10" s="27">
        <v>0.583</v>
      </c>
      <c r="K10" s="27">
        <v>0.0</v>
      </c>
      <c r="L10" s="4" t="str">
        <f>IMAGE("https://drive.google.com/uc?export=view&amp;id=1k5RfntDpLiJXy1b_yK39qUp9v3t8FKo5")</f>
        <v/>
      </c>
    </row>
    <row r="11" ht="22.5" customHeight="1">
      <c r="A11" s="4">
        <v>10.0</v>
      </c>
      <c r="B11" s="3" t="s">
        <v>7</v>
      </c>
      <c r="C11" s="3">
        <v>32.0</v>
      </c>
      <c r="D11" s="3">
        <v>3.0</v>
      </c>
      <c r="E11" s="5" t="s">
        <v>73</v>
      </c>
      <c r="F11" s="5" t="s">
        <v>74</v>
      </c>
      <c r="G11" s="5" t="s">
        <v>75</v>
      </c>
      <c r="H11" s="27">
        <v>0.286</v>
      </c>
      <c r="I11" s="27">
        <v>0.849</v>
      </c>
      <c r="J11" s="27">
        <v>0.333</v>
      </c>
      <c r="K11" s="27">
        <v>0.75</v>
      </c>
      <c r="L11" s="4" t="str">
        <f>IMAGE("https://drive.google.com/uc?export=view&amp;id=16_CTN-aJL1gxlASC-0unn2FOlybBzKC-")</f>
        <v/>
      </c>
    </row>
    <row r="12" ht="22.5" customHeight="1">
      <c r="A12" s="4">
        <v>11.0</v>
      </c>
      <c r="B12" s="3" t="s">
        <v>7</v>
      </c>
      <c r="C12" s="3">
        <v>32.0</v>
      </c>
      <c r="D12" s="3">
        <v>3.0</v>
      </c>
      <c r="E12" s="5" t="s">
        <v>76</v>
      </c>
      <c r="F12" s="5" t="s">
        <v>77</v>
      </c>
      <c r="G12" s="5" t="s">
        <v>78</v>
      </c>
      <c r="H12" s="27">
        <v>0.444</v>
      </c>
      <c r="I12" s="27">
        <v>0.597</v>
      </c>
      <c r="J12" s="27">
        <v>1.0</v>
      </c>
      <c r="K12" s="27">
        <v>1.0</v>
      </c>
      <c r="L12" s="4" t="str">
        <f>IMAGE("https://drive.google.com/uc?export=view&amp;id=1jYSdCJkyV8nELiXcu9pwlF1VWnGLMdsh")</f>
        <v/>
      </c>
    </row>
    <row r="13" ht="22.5" customHeight="1">
      <c r="A13" s="4">
        <v>12.0</v>
      </c>
      <c r="B13" s="3" t="s">
        <v>7</v>
      </c>
      <c r="C13" s="3">
        <v>32.0</v>
      </c>
      <c r="D13" s="3">
        <v>3.0</v>
      </c>
      <c r="E13" s="5" t="s">
        <v>79</v>
      </c>
      <c r="F13" s="5" t="s">
        <v>80</v>
      </c>
      <c r="G13" s="5" t="s">
        <v>81</v>
      </c>
      <c r="H13" s="27">
        <v>0.889</v>
      </c>
      <c r="I13" s="27">
        <v>0.0</v>
      </c>
      <c r="J13" s="27">
        <v>0.0</v>
      </c>
      <c r="K13" s="27">
        <v>0.667</v>
      </c>
      <c r="L13" s="4" t="str">
        <f>IMAGE("https://drive.google.com/uc?export=view&amp;id=10g3KSphlYmmWl8uVd0ORoR48gg0P6sTO")</f>
        <v/>
      </c>
    </row>
    <row r="14" ht="22.5" customHeight="1">
      <c r="A14" s="4">
        <v>13.0</v>
      </c>
      <c r="B14" s="3" t="s">
        <v>7</v>
      </c>
      <c r="C14" s="3">
        <v>32.0</v>
      </c>
      <c r="D14" s="3">
        <v>3.0</v>
      </c>
      <c r="E14" s="5" t="s">
        <v>82</v>
      </c>
      <c r="F14" s="5" t="s">
        <v>83</v>
      </c>
      <c r="G14" s="5" t="s">
        <v>84</v>
      </c>
      <c r="H14" s="27">
        <v>0.75</v>
      </c>
      <c r="I14" s="27">
        <v>0.502</v>
      </c>
      <c r="J14" s="27">
        <v>0.583</v>
      </c>
      <c r="K14" s="27">
        <v>1.0</v>
      </c>
      <c r="L14" s="4" t="str">
        <f>IMAGE("https://drive.google.com/uc?export=view&amp;id=1x9x1EkcTn2q_uQpxpPUFwF-P0iO-XqjN")</f>
        <v/>
      </c>
    </row>
    <row r="15" ht="22.5" customHeight="1">
      <c r="A15" s="4">
        <v>14.0</v>
      </c>
      <c r="B15" s="3" t="s">
        <v>7</v>
      </c>
      <c r="C15" s="3">
        <v>32.0</v>
      </c>
      <c r="D15" s="3">
        <v>3.0</v>
      </c>
      <c r="E15" s="5" t="s">
        <v>85</v>
      </c>
      <c r="F15" s="5" t="s">
        <v>86</v>
      </c>
      <c r="G15" s="5" t="s">
        <v>87</v>
      </c>
      <c r="H15" s="27">
        <v>0.786</v>
      </c>
      <c r="I15" s="27">
        <v>0.867</v>
      </c>
      <c r="J15" s="27">
        <v>0.0</v>
      </c>
      <c r="K15" s="27">
        <v>0.5</v>
      </c>
      <c r="L15" s="4" t="str">
        <f>IMAGE("https://drive.google.com/uc?export=view&amp;id=1v3vDBi_Tto_l9g1pufR3eisWwi3JIw52")</f>
        <v/>
      </c>
    </row>
    <row r="16" ht="22.5" customHeight="1">
      <c r="A16" s="4">
        <v>15.0</v>
      </c>
      <c r="B16" s="3" t="s">
        <v>7</v>
      </c>
      <c r="C16" s="3">
        <v>32.0</v>
      </c>
      <c r="D16" s="3">
        <v>3.0</v>
      </c>
      <c r="E16" s="5" t="s">
        <v>88</v>
      </c>
      <c r="F16" s="5" t="s">
        <v>89</v>
      </c>
      <c r="G16" s="5" t="s">
        <v>90</v>
      </c>
      <c r="H16" s="27">
        <v>1.0</v>
      </c>
      <c r="I16" s="27">
        <v>0.0</v>
      </c>
      <c r="J16" s="27">
        <v>0.0</v>
      </c>
      <c r="K16" s="27">
        <v>0.6</v>
      </c>
      <c r="L16" s="4" t="str">
        <f>IMAGE("https://drive.google.com/uc?export=view&amp;id=1LwhIqBgkAyCQ8maH4JVJ5YAyeYkgQh71")</f>
        <v/>
      </c>
    </row>
    <row r="17" ht="22.5" customHeight="1">
      <c r="A17" s="4">
        <v>16.0</v>
      </c>
      <c r="B17" s="3" t="s">
        <v>7</v>
      </c>
      <c r="C17" s="3">
        <v>32.0</v>
      </c>
      <c r="D17" s="3">
        <v>3.0</v>
      </c>
      <c r="E17" s="5" t="s">
        <v>91</v>
      </c>
      <c r="F17" s="5" t="s">
        <v>92</v>
      </c>
      <c r="G17" s="5" t="s">
        <v>93</v>
      </c>
      <c r="H17" s="27">
        <v>0.75</v>
      </c>
      <c r="I17" s="27">
        <v>0.99</v>
      </c>
      <c r="J17" s="27">
        <v>1.0</v>
      </c>
      <c r="K17" s="27">
        <v>1.0</v>
      </c>
      <c r="L17" s="4" t="str">
        <f>IMAGE("https://drive.google.com/uc?export=view&amp;id=1EnMTvK7mPyPiH_sKcFe4S-aV_170DW-4")</f>
        <v/>
      </c>
    </row>
    <row r="18" ht="22.5" customHeight="1">
      <c r="A18" s="4">
        <v>17.0</v>
      </c>
      <c r="B18" s="3" t="s">
        <v>7</v>
      </c>
      <c r="C18" s="3">
        <v>32.0</v>
      </c>
      <c r="D18" s="3">
        <v>3.0</v>
      </c>
      <c r="E18" s="5" t="s">
        <v>94</v>
      </c>
      <c r="F18" s="5" t="s">
        <v>95</v>
      </c>
      <c r="G18" s="5" t="s">
        <v>96</v>
      </c>
      <c r="H18" s="27">
        <v>0.0</v>
      </c>
      <c r="I18" s="27">
        <v>0.568</v>
      </c>
      <c r="J18" s="27">
        <v>0.333</v>
      </c>
      <c r="K18" s="27">
        <v>0.429</v>
      </c>
      <c r="L18" s="4" t="str">
        <f>IMAGE("https://drive.google.com/uc?export=view&amp;id=1OA_pJZ8kpxJXMw4q_oGuZcXkRXPpTPSR")</f>
        <v/>
      </c>
    </row>
    <row r="19" ht="22.5" customHeight="1">
      <c r="A19" s="4">
        <v>18.0</v>
      </c>
      <c r="B19" s="3" t="s">
        <v>7</v>
      </c>
      <c r="C19" s="3">
        <v>32.0</v>
      </c>
      <c r="D19" s="3">
        <v>3.0</v>
      </c>
      <c r="E19" s="5" t="s">
        <v>97</v>
      </c>
      <c r="F19" s="5" t="s">
        <v>98</v>
      </c>
      <c r="G19" s="5" t="s">
        <v>99</v>
      </c>
      <c r="H19" s="27">
        <v>0.45</v>
      </c>
      <c r="I19" s="27">
        <v>0.782</v>
      </c>
      <c r="J19" s="27">
        <v>1.0</v>
      </c>
      <c r="K19" s="27">
        <v>1.0</v>
      </c>
      <c r="L19" s="4" t="str">
        <f>IMAGE("https://drive.google.com/uc?export=view&amp;id=1zglQx8AVt2aHHh6tJlSuxjHqo_wczlqU")</f>
        <v/>
      </c>
    </row>
    <row r="20" ht="22.5" customHeight="1">
      <c r="A20" s="4">
        <v>19.0</v>
      </c>
      <c r="B20" s="3" t="s">
        <v>7</v>
      </c>
      <c r="C20" s="3">
        <v>32.0</v>
      </c>
      <c r="D20" s="3">
        <v>3.0</v>
      </c>
      <c r="E20" s="5" t="s">
        <v>100</v>
      </c>
      <c r="F20" s="5" t="s">
        <v>101</v>
      </c>
      <c r="G20" s="5" t="s">
        <v>102</v>
      </c>
      <c r="H20" s="27">
        <v>0.231</v>
      </c>
      <c r="I20" s="27">
        <v>0.933</v>
      </c>
      <c r="J20" s="27">
        <v>0.5</v>
      </c>
      <c r="K20" s="27">
        <v>1.0</v>
      </c>
      <c r="L20" s="4" t="str">
        <f>IMAGE("https://drive.google.com/uc?export=view&amp;id=1uHbhg6sQyqSpA-Wec4Oom2cnx6TehU9S")</f>
        <v/>
      </c>
    </row>
    <row r="21" ht="22.5" customHeight="1">
      <c r="A21" s="4">
        <v>20.0</v>
      </c>
      <c r="B21" s="3" t="s">
        <v>7</v>
      </c>
      <c r="C21" s="3">
        <v>32.0</v>
      </c>
      <c r="D21" s="3">
        <v>3.0</v>
      </c>
      <c r="E21" s="5" t="s">
        <v>103</v>
      </c>
      <c r="F21" s="5" t="s">
        <v>104</v>
      </c>
      <c r="G21" s="5" t="s">
        <v>105</v>
      </c>
      <c r="H21" s="27">
        <v>1.0</v>
      </c>
      <c r="I21" s="27">
        <v>0.987</v>
      </c>
      <c r="J21" s="27">
        <v>1.0</v>
      </c>
      <c r="K21" s="27">
        <v>1.0</v>
      </c>
      <c r="L21" s="4" t="str">
        <f>IMAGE("https://drive.google.com/uc?export=view&amp;id=1wN25mWZD8SBh2eOvAO_VePszbcmRkLws")</f>
        <v/>
      </c>
    </row>
    <row r="22" ht="22.5" customHeight="1">
      <c r="A22" s="4">
        <v>21.0</v>
      </c>
      <c r="B22" s="3" t="s">
        <v>7</v>
      </c>
      <c r="C22" s="3">
        <v>32.0</v>
      </c>
      <c r="D22" s="3">
        <v>3.0</v>
      </c>
      <c r="E22" s="5" t="s">
        <v>106</v>
      </c>
      <c r="F22" s="5" t="s">
        <v>107</v>
      </c>
      <c r="G22" s="5" t="s">
        <v>108</v>
      </c>
      <c r="H22" s="27">
        <v>0.909</v>
      </c>
      <c r="I22" s="27">
        <v>0.0</v>
      </c>
      <c r="J22" s="27">
        <v>0.0</v>
      </c>
      <c r="K22" s="27">
        <v>0.5</v>
      </c>
      <c r="L22" s="4" t="str">
        <f>IMAGE("https://drive.google.com/uc?export=view&amp;id=1ono8yAQKlxu2oMNAU9ILnErQ6LuzaiEh")</f>
        <v/>
      </c>
    </row>
    <row r="23" ht="22.5" customHeight="1">
      <c r="A23" s="4">
        <v>22.0</v>
      </c>
      <c r="B23" s="3" t="s">
        <v>7</v>
      </c>
      <c r="C23" s="3">
        <v>32.0</v>
      </c>
      <c r="D23" s="3">
        <v>3.0</v>
      </c>
      <c r="E23" s="5" t="s">
        <v>109</v>
      </c>
      <c r="F23" s="5" t="s">
        <v>110</v>
      </c>
      <c r="G23" s="5" t="s">
        <v>111</v>
      </c>
      <c r="H23" s="27">
        <v>0.333</v>
      </c>
      <c r="I23" s="27">
        <v>0.907</v>
      </c>
      <c r="J23" s="27">
        <v>1.0</v>
      </c>
      <c r="K23" s="27">
        <v>0.833</v>
      </c>
      <c r="L23" s="4" t="str">
        <f>IMAGE("https://drive.google.com/uc?export=view&amp;id=1AERoGmVzEqVr3eJlh62Fo8Pejewyr1xK")</f>
        <v/>
      </c>
    </row>
    <row r="24" ht="22.5" customHeight="1">
      <c r="A24" s="4">
        <v>23.0</v>
      </c>
      <c r="B24" s="3" t="s">
        <v>7</v>
      </c>
      <c r="C24" s="3">
        <v>32.0</v>
      </c>
      <c r="D24" s="3">
        <v>3.0</v>
      </c>
      <c r="E24" s="5" t="s">
        <v>112</v>
      </c>
      <c r="F24" s="5" t="s">
        <v>113</v>
      </c>
      <c r="G24" s="5" t="s">
        <v>114</v>
      </c>
      <c r="H24" s="27">
        <v>0.733</v>
      </c>
      <c r="I24" s="27">
        <v>0.947</v>
      </c>
      <c r="J24" s="27">
        <v>0.833</v>
      </c>
      <c r="K24" s="27">
        <v>0.714</v>
      </c>
      <c r="L24" s="4" t="str">
        <f>IMAGE("https://drive.google.com/uc?export=view&amp;id=1Xmvj0ndXjo9UDUpWmqUipwFBEXiuIrBJ")</f>
        <v/>
      </c>
    </row>
    <row r="25" ht="22.5" customHeight="1">
      <c r="A25" s="4">
        <v>24.0</v>
      </c>
      <c r="B25" s="3" t="s">
        <v>7</v>
      </c>
      <c r="C25" s="3">
        <v>32.0</v>
      </c>
      <c r="D25" s="3">
        <v>3.0</v>
      </c>
      <c r="E25" s="5" t="s">
        <v>115</v>
      </c>
      <c r="F25" s="5" t="s">
        <v>116</v>
      </c>
      <c r="G25" s="5" t="s">
        <v>117</v>
      </c>
      <c r="H25" s="27">
        <v>0.9</v>
      </c>
      <c r="I25" s="27">
        <v>0.945</v>
      </c>
      <c r="J25" s="27">
        <v>0.833</v>
      </c>
      <c r="K25" s="27">
        <v>0.8</v>
      </c>
      <c r="L25" s="4" t="str">
        <f>IMAGE("https://drive.google.com/uc?export=view&amp;id=11k2Xh8eVwH7dr5ND96qeLKcJGyM6EYPO")</f>
        <v/>
      </c>
    </row>
    <row r="26" ht="22.5" customHeight="1">
      <c r="A26" s="4">
        <v>25.0</v>
      </c>
      <c r="B26" s="3" t="s">
        <v>7</v>
      </c>
      <c r="C26" s="3">
        <v>32.0</v>
      </c>
      <c r="D26" s="3">
        <v>3.0</v>
      </c>
      <c r="E26" s="5" t="s">
        <v>118</v>
      </c>
      <c r="F26" s="5" t="s">
        <v>119</v>
      </c>
      <c r="G26" s="5" t="s">
        <v>120</v>
      </c>
      <c r="H26" s="27">
        <v>0.417</v>
      </c>
      <c r="I26" s="27">
        <v>1.0</v>
      </c>
      <c r="J26" s="27">
        <v>0.0</v>
      </c>
      <c r="K26" s="27">
        <v>0.833</v>
      </c>
      <c r="L26" s="4" t="str">
        <f>IMAGE("https://drive.google.com/uc?export=view&amp;id=1twjvGs92Q9SZf2CFWlAOaWC0jBL954NB")</f>
        <v/>
      </c>
    </row>
    <row r="27" ht="22.5" customHeight="1">
      <c r="A27" s="4">
        <v>26.0</v>
      </c>
      <c r="B27" s="3" t="s">
        <v>7</v>
      </c>
      <c r="C27" s="3">
        <v>32.0</v>
      </c>
      <c r="D27" s="3">
        <v>3.0</v>
      </c>
      <c r="E27" s="5" t="s">
        <v>121</v>
      </c>
      <c r="F27" s="5" t="s">
        <v>122</v>
      </c>
      <c r="G27" s="5" t="s">
        <v>123</v>
      </c>
      <c r="H27" s="27">
        <v>0.917</v>
      </c>
      <c r="I27" s="27">
        <v>0.874</v>
      </c>
      <c r="J27" s="27">
        <v>0.0</v>
      </c>
      <c r="K27" s="27">
        <v>0.667</v>
      </c>
      <c r="L27" s="4" t="str">
        <f>IMAGE("https://drive.google.com/uc?export=view&amp;id=1rwSFn2jMq7gy515qsOkA2P3jNxORmBXX")</f>
        <v/>
      </c>
    </row>
    <row r="28" ht="22.5" customHeight="1">
      <c r="A28" s="4">
        <v>27.0</v>
      </c>
      <c r="B28" s="3" t="s">
        <v>7</v>
      </c>
      <c r="C28" s="3">
        <v>32.0</v>
      </c>
      <c r="D28" s="3">
        <v>3.0</v>
      </c>
      <c r="E28" s="5" t="s">
        <v>124</v>
      </c>
      <c r="F28" s="5" t="s">
        <v>125</v>
      </c>
      <c r="G28" s="5" t="s">
        <v>126</v>
      </c>
      <c r="H28" s="27">
        <v>0.0</v>
      </c>
      <c r="I28" s="27">
        <v>0.91</v>
      </c>
      <c r="J28" s="27">
        <v>0.833</v>
      </c>
      <c r="K28" s="27">
        <v>0.0</v>
      </c>
      <c r="L28" s="4" t="str">
        <f>IMAGE("https://drive.google.com/uc?export=view&amp;id=1U28eMG8BNVltWp7pEiNNWYgTqYsnAR3t")</f>
        <v/>
      </c>
    </row>
    <row r="29" ht="22.5" customHeight="1">
      <c r="A29" s="4">
        <v>28.0</v>
      </c>
      <c r="B29" s="3" t="s">
        <v>7</v>
      </c>
      <c r="C29" s="3">
        <v>32.0</v>
      </c>
      <c r="D29" s="3">
        <v>3.0</v>
      </c>
      <c r="E29" s="5" t="s">
        <v>127</v>
      </c>
      <c r="F29" s="5" t="s">
        <v>128</v>
      </c>
      <c r="G29" s="5" t="s">
        <v>129</v>
      </c>
      <c r="H29" s="27">
        <v>1.0</v>
      </c>
      <c r="I29" s="27">
        <v>0.997</v>
      </c>
      <c r="J29" s="27">
        <v>1.0</v>
      </c>
      <c r="K29" s="27">
        <v>1.0</v>
      </c>
      <c r="L29" s="4" t="str">
        <f>IMAGE("https://drive.google.com/uc?export=view&amp;id=1Geia3CnhkOEgr-lUaUtsACw2vChzGniU")</f>
        <v/>
      </c>
    </row>
    <row r="30" ht="22.5" customHeight="1">
      <c r="A30" s="4">
        <v>29.0</v>
      </c>
      <c r="B30" s="3" t="s">
        <v>7</v>
      </c>
      <c r="C30" s="3">
        <v>32.0</v>
      </c>
      <c r="D30" s="3">
        <v>3.0</v>
      </c>
      <c r="E30" s="5" t="s">
        <v>130</v>
      </c>
      <c r="F30" s="5" t="s">
        <v>131</v>
      </c>
      <c r="G30" s="5" t="s">
        <v>132</v>
      </c>
      <c r="H30" s="27">
        <v>0.615</v>
      </c>
      <c r="I30" s="27">
        <v>0.788</v>
      </c>
      <c r="J30" s="27">
        <v>1.0</v>
      </c>
      <c r="K30" s="27">
        <v>1.0</v>
      </c>
      <c r="L30" s="4" t="str">
        <f>IMAGE("https://drive.google.com/uc?export=view&amp;id=19uHDXwCi8xNh2zM_zNPikxrJYkrzq3gd")</f>
        <v/>
      </c>
    </row>
    <row r="31" ht="22.5" customHeight="1">
      <c r="A31" s="4">
        <v>30.0</v>
      </c>
      <c r="B31" s="3" t="s">
        <v>7</v>
      </c>
      <c r="C31" s="3">
        <v>32.0</v>
      </c>
      <c r="D31" s="3">
        <v>3.0</v>
      </c>
      <c r="E31" s="5" t="s">
        <v>133</v>
      </c>
      <c r="F31" s="5" t="s">
        <v>134</v>
      </c>
      <c r="G31" s="5" t="s">
        <v>135</v>
      </c>
      <c r="H31" s="27">
        <v>0.636</v>
      </c>
      <c r="I31" s="27">
        <v>0.0</v>
      </c>
      <c r="J31" s="27">
        <v>0.0</v>
      </c>
      <c r="K31" s="27">
        <v>0.833</v>
      </c>
      <c r="L31" s="4" t="str">
        <f>IMAGE("https://drive.google.com/uc?export=view&amp;id=16qR0NBfmgUhRWFcgED_caeRK0QVq4OCo")</f>
        <v/>
      </c>
    </row>
    <row r="32" ht="22.5" customHeight="1">
      <c r="A32" s="4">
        <v>31.0</v>
      </c>
      <c r="B32" s="3" t="s">
        <v>7</v>
      </c>
      <c r="C32" s="3">
        <v>32.0</v>
      </c>
      <c r="D32" s="3">
        <v>3.0</v>
      </c>
      <c r="E32" s="5" t="s">
        <v>136</v>
      </c>
      <c r="F32" s="5" t="s">
        <v>137</v>
      </c>
      <c r="G32" s="5" t="s">
        <v>138</v>
      </c>
      <c r="H32" s="27">
        <v>0.909</v>
      </c>
      <c r="I32" s="27">
        <v>0.61</v>
      </c>
      <c r="J32" s="27">
        <v>0.833</v>
      </c>
      <c r="K32" s="27">
        <v>0.8</v>
      </c>
      <c r="L32" s="4" t="str">
        <f>IMAGE("https://drive.google.com/uc?export=view&amp;id=1w58_q53naUe5yDOpHUZE0eZCypIjtstN")</f>
        <v/>
      </c>
    </row>
    <row r="33" ht="22.5" customHeight="1">
      <c r="A33" s="4">
        <v>32.0</v>
      </c>
      <c r="B33" s="3" t="s">
        <v>7</v>
      </c>
      <c r="C33" s="3">
        <v>32.0</v>
      </c>
      <c r="D33" s="3">
        <v>3.0</v>
      </c>
      <c r="E33" s="5" t="s">
        <v>139</v>
      </c>
      <c r="F33" s="5" t="s">
        <v>140</v>
      </c>
      <c r="G33" s="5" t="s">
        <v>141</v>
      </c>
      <c r="H33" s="27">
        <v>0.875</v>
      </c>
      <c r="I33" s="27">
        <v>1.0</v>
      </c>
      <c r="J33" s="27">
        <v>0.583</v>
      </c>
      <c r="K33" s="27">
        <v>0.4</v>
      </c>
      <c r="L33" s="4" t="str">
        <f>IMAGE("https://drive.google.com/uc?export=view&amp;id=1sej2nsS3g8Z8JVXnU2hEDexNryCnV1y9")</f>
        <v/>
      </c>
    </row>
    <row r="34" ht="22.5" customHeight="1">
      <c r="A34" s="4">
        <v>33.0</v>
      </c>
      <c r="B34" s="3" t="s">
        <v>7</v>
      </c>
      <c r="C34" s="3">
        <v>32.0</v>
      </c>
      <c r="D34" s="3">
        <v>3.0</v>
      </c>
      <c r="E34" s="5" t="s">
        <v>142</v>
      </c>
      <c r="F34" s="5" t="s">
        <v>143</v>
      </c>
      <c r="G34" s="5" t="s">
        <v>144</v>
      </c>
      <c r="H34" s="27">
        <v>1.0</v>
      </c>
      <c r="I34" s="27">
        <v>0.781</v>
      </c>
      <c r="J34" s="27">
        <v>0.0</v>
      </c>
      <c r="K34" s="27">
        <v>0.0</v>
      </c>
      <c r="L34" s="4" t="str">
        <f>IMAGE("https://drive.google.com/uc?export=view&amp;id=1_7Fkg3Ap8HPDFWWp45NdGVyyl7LRjthD")</f>
        <v/>
      </c>
    </row>
    <row r="35" ht="22.5" customHeight="1">
      <c r="A35" s="4">
        <v>34.0</v>
      </c>
      <c r="B35" s="3" t="s">
        <v>7</v>
      </c>
      <c r="C35" s="3">
        <v>32.0</v>
      </c>
      <c r="D35" s="3">
        <v>3.0</v>
      </c>
      <c r="E35" s="5" t="s">
        <v>145</v>
      </c>
      <c r="F35" s="5" t="s">
        <v>146</v>
      </c>
      <c r="G35" s="5" t="s">
        <v>147</v>
      </c>
      <c r="H35" s="27">
        <v>0.5</v>
      </c>
      <c r="I35" s="27">
        <v>0.687</v>
      </c>
      <c r="J35" s="27">
        <v>1.0</v>
      </c>
      <c r="K35" s="27">
        <v>1.0</v>
      </c>
      <c r="L35" s="4" t="str">
        <f>IMAGE("https://drive.google.com/uc?export=view&amp;id=1GYZS0Vk8guz6U0Xq94z-QejuTsPhPZKD")</f>
        <v/>
      </c>
    </row>
    <row r="36" ht="22.5" customHeight="1">
      <c r="A36" s="4">
        <v>35.0</v>
      </c>
      <c r="B36" s="3" t="s">
        <v>7</v>
      </c>
      <c r="C36" s="3">
        <v>32.0</v>
      </c>
      <c r="D36" s="3">
        <v>3.0</v>
      </c>
      <c r="E36" s="5" t="s">
        <v>148</v>
      </c>
      <c r="F36" s="5" t="s">
        <v>149</v>
      </c>
      <c r="G36" s="5" t="s">
        <v>150</v>
      </c>
      <c r="H36" s="27">
        <v>0.167</v>
      </c>
      <c r="I36" s="27">
        <v>0.633</v>
      </c>
      <c r="J36" s="27">
        <v>0.333</v>
      </c>
      <c r="K36" s="27">
        <v>0.75</v>
      </c>
      <c r="L36" s="4" t="str">
        <f>IMAGE("https://drive.google.com/uc?export=view&amp;id=1g9J73cfCWCbyNuXCrjNt522MTfFsAYX8")</f>
        <v/>
      </c>
    </row>
    <row r="37" ht="22.5" customHeight="1">
      <c r="A37" s="4">
        <v>36.0</v>
      </c>
      <c r="B37" s="3" t="s">
        <v>7</v>
      </c>
      <c r="C37" s="3">
        <v>32.0</v>
      </c>
      <c r="D37" s="3">
        <v>3.0</v>
      </c>
      <c r="E37" s="5" t="s">
        <v>151</v>
      </c>
      <c r="F37" s="5" t="s">
        <v>152</v>
      </c>
      <c r="G37" s="5" t="s">
        <v>153</v>
      </c>
      <c r="H37" s="27">
        <v>0.421</v>
      </c>
      <c r="I37" s="27">
        <v>0.888</v>
      </c>
      <c r="J37" s="27">
        <v>1.0</v>
      </c>
      <c r="K37" s="27">
        <v>0.375</v>
      </c>
      <c r="L37" s="4" t="str">
        <f>IMAGE("https://drive.google.com/uc?export=view&amp;id=1hTT1B6gIhiEZlrQEkr0HlX3oyXdMTj1B")</f>
        <v/>
      </c>
    </row>
    <row r="38" ht="22.5" customHeight="1">
      <c r="A38" s="4">
        <v>37.0</v>
      </c>
      <c r="B38" s="3" t="s">
        <v>7</v>
      </c>
      <c r="C38" s="3">
        <v>32.0</v>
      </c>
      <c r="D38" s="3">
        <v>3.0</v>
      </c>
      <c r="E38" s="5" t="s">
        <v>154</v>
      </c>
      <c r="F38" s="5" t="s">
        <v>155</v>
      </c>
      <c r="G38" s="5" t="s">
        <v>156</v>
      </c>
      <c r="H38" s="27">
        <v>0.556</v>
      </c>
      <c r="I38" s="27">
        <v>0.993</v>
      </c>
      <c r="J38" s="27">
        <v>1.0</v>
      </c>
      <c r="K38" s="27">
        <v>1.0</v>
      </c>
      <c r="L38" s="4" t="str">
        <f>IMAGE("https://drive.google.com/uc?export=view&amp;id=1fc26K7JoNzJqOhnJvK3R3069HDiuUNg8")</f>
        <v/>
      </c>
    </row>
    <row r="39" ht="22.5" customHeight="1">
      <c r="A39" s="4">
        <v>38.0</v>
      </c>
      <c r="B39" s="3" t="s">
        <v>7</v>
      </c>
      <c r="C39" s="3">
        <v>32.0</v>
      </c>
      <c r="D39" s="3">
        <v>3.0</v>
      </c>
      <c r="E39" s="5" t="s">
        <v>157</v>
      </c>
      <c r="F39" s="5" t="s">
        <v>158</v>
      </c>
      <c r="G39" s="5" t="s">
        <v>159</v>
      </c>
      <c r="H39" s="27">
        <v>1.0</v>
      </c>
      <c r="I39" s="27">
        <v>0.529</v>
      </c>
      <c r="J39" s="27">
        <v>0.583</v>
      </c>
      <c r="K39" s="27">
        <v>1.0</v>
      </c>
      <c r="L39" s="4" t="str">
        <f>IMAGE("https://drive.google.com/uc?export=view&amp;id=1WDloIopKysj6AnT744_jMJ0rcjeoOC8m")</f>
        <v/>
      </c>
    </row>
    <row r="40" ht="22.5" customHeight="1">
      <c r="A40" s="4">
        <v>39.0</v>
      </c>
      <c r="B40" s="3" t="s">
        <v>7</v>
      </c>
      <c r="C40" s="3">
        <v>32.0</v>
      </c>
      <c r="D40" s="3">
        <v>3.0</v>
      </c>
      <c r="E40" s="5" t="s">
        <v>160</v>
      </c>
      <c r="F40" s="5" t="s">
        <v>161</v>
      </c>
      <c r="G40" s="5" t="s">
        <v>162</v>
      </c>
      <c r="H40" s="27">
        <v>0.857</v>
      </c>
      <c r="I40" s="27">
        <v>0.914</v>
      </c>
      <c r="J40" s="27">
        <v>1.0</v>
      </c>
      <c r="K40" s="27">
        <v>0.75</v>
      </c>
      <c r="L40" s="4" t="str">
        <f>IMAGE("https://drive.google.com/uc?export=view&amp;id=1XoAzIZW89y4y49fQNjcBSdn81B0M2Yix")</f>
        <v/>
      </c>
    </row>
    <row r="41" ht="22.5" customHeight="1">
      <c r="A41" s="4">
        <v>40.0</v>
      </c>
      <c r="B41" s="3" t="s">
        <v>7</v>
      </c>
      <c r="C41" s="3">
        <v>32.0</v>
      </c>
      <c r="D41" s="3">
        <v>3.0</v>
      </c>
      <c r="E41" s="5" t="s">
        <v>163</v>
      </c>
      <c r="F41" s="5" t="s">
        <v>164</v>
      </c>
      <c r="G41" s="5" t="s">
        <v>165</v>
      </c>
      <c r="H41" s="27">
        <v>0.381</v>
      </c>
      <c r="I41" s="27">
        <v>0.617</v>
      </c>
      <c r="J41" s="27">
        <v>1.0</v>
      </c>
      <c r="K41" s="27">
        <v>0.333</v>
      </c>
      <c r="L41" s="4" t="str">
        <f>IMAGE("https://drive.google.com/uc?export=view&amp;id=1mubrba--d0x7zjdfChjJQBSlxlI1xslI")</f>
        <v/>
      </c>
    </row>
    <row r="42" ht="22.5" customHeight="1">
      <c r="A42" s="4">
        <v>41.0</v>
      </c>
      <c r="B42" s="3" t="s">
        <v>7</v>
      </c>
      <c r="C42" s="3">
        <v>32.0</v>
      </c>
      <c r="D42" s="3">
        <v>3.0</v>
      </c>
      <c r="E42" s="5" t="s">
        <v>166</v>
      </c>
      <c r="F42" s="5" t="s">
        <v>167</v>
      </c>
      <c r="G42" s="5" t="s">
        <v>168</v>
      </c>
      <c r="H42" s="27">
        <v>0.308</v>
      </c>
      <c r="I42" s="27">
        <v>0.935</v>
      </c>
      <c r="J42" s="27">
        <v>0.833</v>
      </c>
      <c r="K42" s="27">
        <v>0.0</v>
      </c>
      <c r="L42" s="4" t="str">
        <f>IMAGE("https://drive.google.com/uc?export=view&amp;id=1W4xIx8yezp7_U-WJLwsUbgFbErv_kfhQ")</f>
        <v/>
      </c>
    </row>
    <row r="43" ht="22.5" customHeight="1">
      <c r="A43" s="4">
        <v>42.0</v>
      </c>
      <c r="B43" s="3" t="s">
        <v>7</v>
      </c>
      <c r="C43" s="3">
        <v>32.0</v>
      </c>
      <c r="D43" s="3">
        <v>3.0</v>
      </c>
      <c r="E43" s="5" t="s">
        <v>169</v>
      </c>
      <c r="F43" s="5" t="s">
        <v>170</v>
      </c>
      <c r="G43" s="5" t="s">
        <v>171</v>
      </c>
      <c r="H43" s="27">
        <v>0.733</v>
      </c>
      <c r="I43" s="27">
        <v>0.724</v>
      </c>
      <c r="J43" s="27">
        <v>0.5</v>
      </c>
      <c r="K43" s="27">
        <v>0.0</v>
      </c>
      <c r="L43" s="4" t="str">
        <f>IMAGE("https://drive.google.com/uc?export=view&amp;id=13KAnbvmNygz_-roDb2gZhhkePpSJEFVw")</f>
        <v/>
      </c>
    </row>
    <row r="44" ht="22.5" customHeight="1">
      <c r="A44" s="4">
        <v>43.0</v>
      </c>
      <c r="B44" s="3" t="s">
        <v>7</v>
      </c>
      <c r="C44" s="3">
        <v>32.0</v>
      </c>
      <c r="D44" s="3">
        <v>3.0</v>
      </c>
      <c r="E44" s="5" t="s">
        <v>172</v>
      </c>
      <c r="F44" s="5" t="s">
        <v>173</v>
      </c>
      <c r="G44" s="5" t="s">
        <v>174</v>
      </c>
      <c r="H44" s="27">
        <v>0.875</v>
      </c>
      <c r="I44" s="27">
        <v>0.0</v>
      </c>
      <c r="J44" s="27">
        <v>0.0</v>
      </c>
      <c r="K44" s="27">
        <v>0.2</v>
      </c>
      <c r="L44" s="4" t="str">
        <f>IMAGE("https://drive.google.com/uc?export=view&amp;id=1p0umA6oALCJiPY5_Irhm8Vuc9Jwd-tGq")</f>
        <v/>
      </c>
    </row>
    <row r="45" ht="22.5" customHeight="1">
      <c r="A45" s="4">
        <v>44.0</v>
      </c>
      <c r="B45" s="3" t="s">
        <v>7</v>
      </c>
      <c r="C45" s="3">
        <v>32.0</v>
      </c>
      <c r="D45" s="3">
        <v>3.0</v>
      </c>
      <c r="E45" s="5" t="s">
        <v>175</v>
      </c>
      <c r="F45" s="5" t="s">
        <v>176</v>
      </c>
      <c r="G45" s="5" t="s">
        <v>177</v>
      </c>
      <c r="H45" s="27">
        <v>0.667</v>
      </c>
      <c r="I45" s="27">
        <v>0.0</v>
      </c>
      <c r="J45" s="27">
        <v>0.0</v>
      </c>
      <c r="K45" s="27">
        <v>0.333</v>
      </c>
      <c r="L45" s="4" t="str">
        <f>IMAGE("https://drive.google.com/uc?export=view&amp;id=1mqSHgo2h4GpJNcjeUwDWg6YbRXGip_bh")</f>
        <v/>
      </c>
    </row>
    <row r="46" ht="22.5" customHeight="1">
      <c r="A46" s="4">
        <v>45.0</v>
      </c>
      <c r="B46" s="3" t="s">
        <v>7</v>
      </c>
      <c r="C46" s="3">
        <v>32.0</v>
      </c>
      <c r="D46" s="3">
        <v>3.0</v>
      </c>
      <c r="E46" s="5" t="s">
        <v>178</v>
      </c>
      <c r="F46" s="5" t="s">
        <v>179</v>
      </c>
      <c r="G46" s="5" t="s">
        <v>180</v>
      </c>
      <c r="H46" s="27">
        <v>0.111</v>
      </c>
      <c r="I46" s="27">
        <v>0.863</v>
      </c>
      <c r="J46" s="27">
        <v>0.0</v>
      </c>
      <c r="K46" s="27">
        <v>0.0</v>
      </c>
      <c r="L46" s="4" t="str">
        <f>IMAGE("https://drive.google.com/uc?export=view&amp;id=1yPmKAELlL9sBrFvofBw-OVm1mQaxVPwR")</f>
        <v/>
      </c>
    </row>
    <row r="47" ht="22.5" customHeight="1">
      <c r="A47" s="4">
        <v>46.0</v>
      </c>
      <c r="B47" s="3" t="s">
        <v>7</v>
      </c>
      <c r="C47" s="3">
        <v>32.0</v>
      </c>
      <c r="D47" s="3">
        <v>3.0</v>
      </c>
      <c r="E47" s="5" t="s">
        <v>181</v>
      </c>
      <c r="F47" s="5" t="s">
        <v>182</v>
      </c>
      <c r="G47" s="5" t="s">
        <v>183</v>
      </c>
      <c r="H47" s="27">
        <v>1.0</v>
      </c>
      <c r="I47" s="27">
        <v>0.889</v>
      </c>
      <c r="J47" s="27">
        <v>1.0</v>
      </c>
      <c r="K47" s="27">
        <v>1.0</v>
      </c>
      <c r="L47" s="4" t="str">
        <f>IMAGE("https://drive.google.com/uc?export=view&amp;id=1fkidZgCJZo8Fna4aJigCzZr52MHiqXhe")</f>
        <v/>
      </c>
    </row>
    <row r="48" ht="22.5" customHeight="1">
      <c r="A48" s="4">
        <v>47.0</v>
      </c>
      <c r="B48" s="3" t="s">
        <v>7</v>
      </c>
      <c r="C48" s="3">
        <v>32.0</v>
      </c>
      <c r="D48" s="3">
        <v>3.0</v>
      </c>
      <c r="E48" s="5" t="s">
        <v>184</v>
      </c>
      <c r="F48" s="5" t="s">
        <v>185</v>
      </c>
      <c r="G48" s="5" t="s">
        <v>186</v>
      </c>
      <c r="H48" s="27">
        <v>1.0</v>
      </c>
      <c r="I48" s="27">
        <v>0.821</v>
      </c>
      <c r="J48" s="27">
        <v>1.0</v>
      </c>
      <c r="K48" s="27">
        <v>1.0</v>
      </c>
      <c r="L48" s="4" t="str">
        <f>IMAGE("https://drive.google.com/uc?export=view&amp;id=1GuRIAmAzLBH6Tsyc9-roTRnBoP0XbWvv")</f>
        <v/>
      </c>
    </row>
    <row r="49" ht="22.5" customHeight="1">
      <c r="A49" s="4">
        <v>48.0</v>
      </c>
      <c r="B49" s="3" t="s">
        <v>7</v>
      </c>
      <c r="C49" s="3">
        <v>32.0</v>
      </c>
      <c r="D49" s="3">
        <v>3.0</v>
      </c>
      <c r="E49" s="5" t="s">
        <v>187</v>
      </c>
      <c r="F49" s="5" t="s">
        <v>188</v>
      </c>
      <c r="G49" s="5" t="s">
        <v>189</v>
      </c>
      <c r="H49" s="27">
        <v>0.4</v>
      </c>
      <c r="I49" s="27">
        <v>0.995</v>
      </c>
      <c r="J49" s="27">
        <v>1.0</v>
      </c>
      <c r="K49" s="27">
        <v>0.0</v>
      </c>
      <c r="L49" s="4" t="str">
        <f>IMAGE("https://drive.google.com/uc?export=view&amp;id=1lF4BBMER-oKPQT-ArVcPLKZI6AYJrP0v")</f>
        <v/>
      </c>
    </row>
    <row r="50" ht="22.5" customHeight="1">
      <c r="A50" s="4">
        <v>49.0</v>
      </c>
      <c r="B50" s="3" t="s">
        <v>7</v>
      </c>
      <c r="C50" s="3">
        <v>32.0</v>
      </c>
      <c r="D50" s="3">
        <v>3.0</v>
      </c>
      <c r="E50" s="5" t="s">
        <v>190</v>
      </c>
      <c r="F50" s="5" t="s">
        <v>191</v>
      </c>
      <c r="G50" s="5" t="s">
        <v>192</v>
      </c>
      <c r="H50" s="27">
        <v>0.0</v>
      </c>
      <c r="I50" s="27">
        <v>0.764</v>
      </c>
      <c r="J50" s="27">
        <v>1.0</v>
      </c>
      <c r="K50" s="27">
        <v>1.0</v>
      </c>
      <c r="L50" s="4" t="str">
        <f>IMAGE("https://drive.google.com/uc?export=view&amp;id=1JQPWoOeZZZPErLDL25Fd3tI_Kci-3ycf")</f>
        <v/>
      </c>
    </row>
    <row r="51" ht="22.5" customHeight="1">
      <c r="A51" s="4">
        <v>50.0</v>
      </c>
      <c r="B51" s="3" t="s">
        <v>7</v>
      </c>
      <c r="C51" s="3">
        <v>32.0</v>
      </c>
      <c r="D51" s="3">
        <v>3.0</v>
      </c>
      <c r="E51" s="5" t="s">
        <v>193</v>
      </c>
      <c r="F51" s="5" t="s">
        <v>194</v>
      </c>
      <c r="G51" s="5" t="s">
        <v>195</v>
      </c>
      <c r="H51" s="27">
        <v>0.222</v>
      </c>
      <c r="I51" s="27">
        <v>0.389</v>
      </c>
      <c r="J51" s="27">
        <v>0.333</v>
      </c>
      <c r="K51" s="27">
        <v>0.0</v>
      </c>
      <c r="L51" s="4" t="str">
        <f>IMAGE("https://drive.google.com/uc?export=view&amp;id=1F0M_5Bgc1foHunLrgY4xgC33q47AMySd")</f>
        <v/>
      </c>
    </row>
    <row r="52" ht="22.5" customHeight="1">
      <c r="A52" s="4">
        <v>51.0</v>
      </c>
      <c r="B52" s="3" t="s">
        <v>7</v>
      </c>
      <c r="C52" s="3">
        <v>32.0</v>
      </c>
      <c r="D52" s="3">
        <v>3.0</v>
      </c>
      <c r="E52" s="5" t="s">
        <v>196</v>
      </c>
      <c r="F52" s="5" t="s">
        <v>197</v>
      </c>
      <c r="G52" s="5" t="s">
        <v>198</v>
      </c>
      <c r="H52" s="27">
        <v>1.0</v>
      </c>
      <c r="I52" s="27">
        <v>0.0</v>
      </c>
      <c r="J52" s="27">
        <v>0.0</v>
      </c>
      <c r="K52" s="27">
        <v>0.571</v>
      </c>
      <c r="L52" s="4" t="str">
        <f>IMAGE("https://drive.google.com/uc?export=view&amp;id=18anli5Uya-MohZyBN7MI6gZYWv8SLaQj")</f>
        <v/>
      </c>
    </row>
    <row r="53" ht="22.5" customHeight="1">
      <c r="A53" s="4">
        <v>52.0</v>
      </c>
      <c r="B53" s="3" t="s">
        <v>7</v>
      </c>
      <c r="C53" s="3">
        <v>32.0</v>
      </c>
      <c r="D53" s="3">
        <v>3.0</v>
      </c>
      <c r="E53" s="5" t="s">
        <v>199</v>
      </c>
      <c r="F53" s="5" t="s">
        <v>200</v>
      </c>
      <c r="G53" s="5" t="s">
        <v>201</v>
      </c>
      <c r="H53" s="27">
        <v>0.25</v>
      </c>
      <c r="I53" s="27">
        <v>0.862</v>
      </c>
      <c r="J53" s="27">
        <v>0.5</v>
      </c>
      <c r="K53" s="27">
        <v>0.857</v>
      </c>
      <c r="L53" s="4" t="str">
        <f>IMAGE("https://drive.google.com/uc?export=view&amp;id=1KutkJ5-U0ZD_Jli1HXn7GZrZJXLyz6YJ")</f>
        <v/>
      </c>
    </row>
    <row r="54" ht="22.5" customHeight="1">
      <c r="A54" s="4">
        <v>53.0</v>
      </c>
      <c r="B54" s="3" t="s">
        <v>7</v>
      </c>
      <c r="C54" s="3">
        <v>32.0</v>
      </c>
      <c r="D54" s="3">
        <v>3.0</v>
      </c>
      <c r="E54" s="5" t="s">
        <v>202</v>
      </c>
      <c r="F54" s="5" t="s">
        <v>203</v>
      </c>
      <c r="G54" s="5" t="s">
        <v>204</v>
      </c>
      <c r="H54" s="27">
        <v>0.462</v>
      </c>
      <c r="I54" s="27">
        <v>0.605</v>
      </c>
      <c r="J54" s="27">
        <v>0.0</v>
      </c>
      <c r="K54" s="27">
        <v>1.0</v>
      </c>
      <c r="L54" s="4" t="str">
        <f>IMAGE("https://drive.google.com/uc?export=view&amp;id=1BjIT34BE5CT_6n7GJnrYjIuv9NDs9gft")</f>
        <v/>
      </c>
    </row>
    <row r="55" ht="22.5" customHeight="1">
      <c r="A55" s="4">
        <v>54.0</v>
      </c>
      <c r="B55" s="3" t="s">
        <v>7</v>
      </c>
      <c r="C55" s="3">
        <v>32.0</v>
      </c>
      <c r="D55" s="3">
        <v>3.0</v>
      </c>
      <c r="E55" s="5" t="s">
        <v>205</v>
      </c>
      <c r="F55" s="5" t="s">
        <v>206</v>
      </c>
      <c r="G55" s="5" t="s">
        <v>207</v>
      </c>
      <c r="H55" s="27">
        <v>0.0</v>
      </c>
      <c r="I55" s="27">
        <v>1.0</v>
      </c>
      <c r="J55" s="27">
        <v>0.5</v>
      </c>
      <c r="K55" s="27">
        <v>0.0</v>
      </c>
      <c r="L55" s="4" t="str">
        <f>IMAGE("https://drive.google.com/uc?export=view&amp;id=1BnknDk_7LOEv8jrFLoPv7Fm6YJTa_p_9")</f>
        <v/>
      </c>
    </row>
    <row r="56" ht="22.5" customHeight="1">
      <c r="A56" s="4">
        <v>55.0</v>
      </c>
      <c r="B56" s="3" t="s">
        <v>7</v>
      </c>
      <c r="C56" s="3">
        <v>32.0</v>
      </c>
      <c r="D56" s="3">
        <v>3.0</v>
      </c>
      <c r="E56" s="5" t="s">
        <v>208</v>
      </c>
      <c r="F56" s="5" t="s">
        <v>209</v>
      </c>
      <c r="G56" s="5" t="s">
        <v>210</v>
      </c>
      <c r="H56" s="27">
        <v>1.0</v>
      </c>
      <c r="I56" s="27">
        <v>0.763</v>
      </c>
      <c r="J56" s="27">
        <v>1.0</v>
      </c>
      <c r="K56" s="27">
        <v>0.429</v>
      </c>
      <c r="L56" s="4" t="str">
        <f>IMAGE("https://drive.google.com/uc?export=view&amp;id=1uN3iR3D6k1_FL7A3VXf4V0C_j_PE0_so")</f>
        <v/>
      </c>
    </row>
    <row r="57" ht="22.5" customHeight="1">
      <c r="A57" s="4">
        <v>56.0</v>
      </c>
      <c r="B57" s="3" t="s">
        <v>7</v>
      </c>
      <c r="C57" s="3">
        <v>32.0</v>
      </c>
      <c r="D57" s="3">
        <v>3.0</v>
      </c>
      <c r="E57" s="5" t="s">
        <v>211</v>
      </c>
      <c r="F57" s="5" t="s">
        <v>212</v>
      </c>
      <c r="G57" s="5" t="s">
        <v>213</v>
      </c>
      <c r="H57" s="27">
        <v>0.889</v>
      </c>
      <c r="I57" s="27">
        <v>0.926</v>
      </c>
      <c r="J57" s="27">
        <v>1.0</v>
      </c>
      <c r="K57" s="27">
        <v>1.0</v>
      </c>
      <c r="L57" s="4" t="str">
        <f>IMAGE("https://drive.google.com/uc?export=view&amp;id=1z2pmPIOtG2-I9RdMWlS3JGjEzRINo-1E")</f>
        <v/>
      </c>
    </row>
    <row r="58" ht="22.5" customHeight="1">
      <c r="A58" s="4">
        <v>57.0</v>
      </c>
      <c r="B58" s="3" t="s">
        <v>7</v>
      </c>
      <c r="C58" s="3">
        <v>32.0</v>
      </c>
      <c r="D58" s="3">
        <v>3.0</v>
      </c>
      <c r="E58" s="5" t="s">
        <v>214</v>
      </c>
      <c r="F58" s="5" t="s">
        <v>215</v>
      </c>
      <c r="G58" s="5" t="s">
        <v>216</v>
      </c>
      <c r="H58" s="27">
        <v>1.0</v>
      </c>
      <c r="I58" s="27">
        <v>0.741</v>
      </c>
      <c r="J58" s="27">
        <v>0.833</v>
      </c>
      <c r="K58" s="27">
        <v>1.0</v>
      </c>
      <c r="L58" s="4" t="str">
        <f>IMAGE("https://drive.google.com/uc?export=view&amp;id=1F04b_S7xX2MJ1oB5kaegDqbKzbpwoVoB")</f>
        <v/>
      </c>
    </row>
    <row r="59" ht="22.5" customHeight="1">
      <c r="A59" s="4">
        <v>58.0</v>
      </c>
      <c r="B59" s="3" t="s">
        <v>7</v>
      </c>
      <c r="C59" s="3">
        <v>32.0</v>
      </c>
      <c r="D59" s="3">
        <v>3.0</v>
      </c>
      <c r="E59" s="5" t="s">
        <v>217</v>
      </c>
      <c r="F59" s="5" t="s">
        <v>218</v>
      </c>
      <c r="G59" s="5" t="s">
        <v>219</v>
      </c>
      <c r="H59" s="27">
        <v>0.714</v>
      </c>
      <c r="I59" s="27">
        <v>0.803</v>
      </c>
      <c r="J59" s="27">
        <v>0.0</v>
      </c>
      <c r="K59" s="27">
        <v>0.0</v>
      </c>
      <c r="L59" s="4" t="str">
        <f>IMAGE("https://drive.google.com/uc?export=view&amp;id=1LkOzJNVZWdyvawAH45jPXoDnqwPUfT0q")</f>
        <v/>
      </c>
    </row>
    <row r="60" ht="22.5" customHeight="1">
      <c r="A60" s="4">
        <v>59.0</v>
      </c>
      <c r="B60" s="3" t="s">
        <v>7</v>
      </c>
      <c r="C60" s="3">
        <v>32.0</v>
      </c>
      <c r="D60" s="3">
        <v>3.0</v>
      </c>
      <c r="E60" s="5" t="s">
        <v>220</v>
      </c>
      <c r="F60" s="5" t="s">
        <v>221</v>
      </c>
      <c r="G60" s="5" t="s">
        <v>222</v>
      </c>
      <c r="H60" s="27">
        <v>0.667</v>
      </c>
      <c r="I60" s="27">
        <v>0.719</v>
      </c>
      <c r="J60" s="27">
        <v>1.0</v>
      </c>
      <c r="K60" s="27">
        <v>0.5</v>
      </c>
      <c r="L60" s="4" t="str">
        <f>IMAGE("https://drive.google.com/uc?export=view&amp;id=1kcJKuY1Hv8Fh5YMx_MdJKJujFuOx1j1u")</f>
        <v/>
      </c>
    </row>
    <row r="61" ht="22.5" customHeight="1">
      <c r="A61" s="4">
        <v>60.0</v>
      </c>
      <c r="B61" s="3" t="s">
        <v>7</v>
      </c>
      <c r="C61" s="3">
        <v>32.0</v>
      </c>
      <c r="D61" s="3">
        <v>3.0</v>
      </c>
      <c r="E61" s="5" t="s">
        <v>223</v>
      </c>
      <c r="F61" s="5" t="s">
        <v>224</v>
      </c>
      <c r="G61" s="5" t="s">
        <v>225</v>
      </c>
      <c r="H61" s="27">
        <v>0.875</v>
      </c>
      <c r="I61" s="27">
        <v>0.687</v>
      </c>
      <c r="J61" s="27">
        <v>1.0</v>
      </c>
      <c r="K61" s="27">
        <v>1.0</v>
      </c>
      <c r="L61" s="4" t="str">
        <f>IMAGE("https://drive.google.com/uc?export=view&amp;id=1wYpspIvsRCZM5jxPsVgac1NzhOMXdc98")</f>
        <v/>
      </c>
    </row>
    <row r="62" ht="22.5" customHeight="1">
      <c r="A62" s="4">
        <v>61.0</v>
      </c>
      <c r="B62" s="3" t="s">
        <v>7</v>
      </c>
      <c r="C62" s="3">
        <v>32.0</v>
      </c>
      <c r="D62" s="3">
        <v>3.0</v>
      </c>
      <c r="E62" s="5" t="s">
        <v>226</v>
      </c>
      <c r="F62" s="5" t="s">
        <v>227</v>
      </c>
      <c r="G62" s="5" t="s">
        <v>228</v>
      </c>
      <c r="H62" s="27">
        <v>1.0</v>
      </c>
      <c r="I62" s="27">
        <v>0.0</v>
      </c>
      <c r="J62" s="27">
        <v>0.0</v>
      </c>
      <c r="K62" s="27">
        <v>1.0</v>
      </c>
      <c r="L62" s="4" t="str">
        <f>IMAGE("https://drive.google.com/uc?export=view&amp;id=1uFlYVq6dWmlQ629Fu8GGgK0oXMbKRF3c")</f>
        <v/>
      </c>
    </row>
    <row r="63" ht="22.5" customHeight="1">
      <c r="A63" s="4">
        <v>62.0</v>
      </c>
      <c r="B63" s="3" t="s">
        <v>7</v>
      </c>
      <c r="C63" s="3">
        <v>32.0</v>
      </c>
      <c r="D63" s="3">
        <v>3.0</v>
      </c>
      <c r="E63" s="5" t="s">
        <v>229</v>
      </c>
      <c r="F63" s="5" t="s">
        <v>230</v>
      </c>
      <c r="G63" s="5" t="s">
        <v>231</v>
      </c>
      <c r="H63" s="27">
        <v>0.818</v>
      </c>
      <c r="I63" s="27">
        <v>0.0</v>
      </c>
      <c r="J63" s="27">
        <v>0.0</v>
      </c>
      <c r="K63" s="27">
        <v>0.8</v>
      </c>
      <c r="L63" s="4" t="str">
        <f>IMAGE("https://drive.google.com/uc?export=view&amp;id=1kv54n0gylMmhluXY0Qnkx8xuriQV38Ua")</f>
        <v/>
      </c>
    </row>
    <row r="64" ht="22.5" customHeight="1">
      <c r="A64" s="4">
        <v>63.0</v>
      </c>
      <c r="B64" s="3" t="s">
        <v>7</v>
      </c>
      <c r="C64" s="3">
        <v>32.0</v>
      </c>
      <c r="D64" s="3">
        <v>3.0</v>
      </c>
      <c r="E64" s="5" t="s">
        <v>232</v>
      </c>
      <c r="F64" s="5" t="s">
        <v>233</v>
      </c>
      <c r="G64" s="5" t="s">
        <v>234</v>
      </c>
      <c r="H64" s="27">
        <v>0.111</v>
      </c>
      <c r="I64" s="27">
        <v>0.797</v>
      </c>
      <c r="J64" s="27">
        <v>1.0</v>
      </c>
      <c r="K64" s="27">
        <v>0.333</v>
      </c>
      <c r="L64" s="4" t="str">
        <f>IMAGE("https://drive.google.com/uc?export=view&amp;id=1Q87fs95bOFxqxf9wOwmuAQdzNnPainK4")</f>
        <v/>
      </c>
    </row>
    <row r="65" ht="22.5" customHeight="1">
      <c r="A65" s="4">
        <v>64.0</v>
      </c>
      <c r="B65" s="3" t="s">
        <v>7</v>
      </c>
      <c r="C65" s="3">
        <v>32.0</v>
      </c>
      <c r="D65" s="3">
        <v>3.0</v>
      </c>
      <c r="E65" s="5" t="s">
        <v>235</v>
      </c>
      <c r="F65" s="5" t="s">
        <v>236</v>
      </c>
      <c r="G65" s="5" t="s">
        <v>237</v>
      </c>
      <c r="H65" s="27">
        <v>0.25</v>
      </c>
      <c r="I65" s="27">
        <v>0.827</v>
      </c>
      <c r="J65" s="27">
        <v>1.0</v>
      </c>
      <c r="K65" s="27">
        <v>0.333</v>
      </c>
      <c r="L65" s="4" t="str">
        <f>IMAGE("https://drive.google.com/uc?export=view&amp;id=1NThe3I-LCoRfm3TOHGIylS_UNmX61uVI")</f>
        <v/>
      </c>
    </row>
    <row r="66" ht="22.5" customHeight="1">
      <c r="A66" s="4">
        <v>65.0</v>
      </c>
      <c r="B66" s="3" t="s">
        <v>7</v>
      </c>
      <c r="C66" s="3">
        <v>32.0</v>
      </c>
      <c r="D66" s="3">
        <v>3.0</v>
      </c>
      <c r="E66" s="5" t="s">
        <v>238</v>
      </c>
      <c r="F66" s="5" t="s">
        <v>239</v>
      </c>
      <c r="G66" s="5" t="s">
        <v>240</v>
      </c>
      <c r="H66" s="27">
        <v>1.0</v>
      </c>
      <c r="I66" s="27">
        <v>0.601</v>
      </c>
      <c r="J66" s="27">
        <v>0.583</v>
      </c>
      <c r="K66" s="27">
        <v>1.0</v>
      </c>
      <c r="L66" s="4" t="str">
        <f>IMAGE("https://drive.google.com/uc?export=view&amp;id=1jBdmNu1VtCALQmAklL5tjQcwZUPbxwDl")</f>
        <v/>
      </c>
    </row>
    <row r="67" ht="22.5" customHeight="1">
      <c r="A67" s="4">
        <v>66.0</v>
      </c>
      <c r="B67" s="3" t="s">
        <v>7</v>
      </c>
      <c r="C67" s="3">
        <v>32.0</v>
      </c>
      <c r="D67" s="3">
        <v>3.0</v>
      </c>
      <c r="E67" s="5" t="s">
        <v>241</v>
      </c>
      <c r="F67" s="5" t="s">
        <v>242</v>
      </c>
      <c r="G67" s="5" t="s">
        <v>243</v>
      </c>
      <c r="H67" s="27">
        <v>0.917</v>
      </c>
      <c r="I67" s="27">
        <v>0.0</v>
      </c>
      <c r="J67" s="27">
        <v>0.0</v>
      </c>
      <c r="K67" s="27">
        <v>0.833</v>
      </c>
      <c r="L67" s="4" t="str">
        <f>IMAGE("https://drive.google.com/uc?export=view&amp;id=1iqffCmtCGaHX4Ei3hd9y5PlBKdVoeDg3")</f>
        <v/>
      </c>
    </row>
    <row r="68" ht="22.5" customHeight="1">
      <c r="A68" s="4">
        <v>67.0</v>
      </c>
      <c r="B68" s="3" t="s">
        <v>7</v>
      </c>
      <c r="C68" s="3">
        <v>32.0</v>
      </c>
      <c r="D68" s="3">
        <v>3.0</v>
      </c>
      <c r="E68" s="5" t="s">
        <v>244</v>
      </c>
      <c r="F68" s="5" t="s">
        <v>245</v>
      </c>
      <c r="G68" s="5" t="s">
        <v>246</v>
      </c>
      <c r="H68" s="27">
        <v>0.667</v>
      </c>
      <c r="I68" s="27">
        <v>0.637</v>
      </c>
      <c r="J68" s="27">
        <v>0.0</v>
      </c>
      <c r="K68" s="27">
        <v>0.75</v>
      </c>
      <c r="L68" s="4" t="str">
        <f>IMAGE("https://drive.google.com/uc?export=view&amp;id=1vs1C56Z_EVjyDuFeiNeVXZPu9RO_L1_T")</f>
        <v/>
      </c>
    </row>
    <row r="69" ht="22.5" customHeight="1">
      <c r="A69" s="4">
        <v>68.0</v>
      </c>
      <c r="B69" s="3" t="s">
        <v>7</v>
      </c>
      <c r="C69" s="3">
        <v>32.0</v>
      </c>
      <c r="D69" s="3">
        <v>3.0</v>
      </c>
      <c r="E69" s="5" t="s">
        <v>247</v>
      </c>
      <c r="F69" s="5" t="s">
        <v>248</v>
      </c>
      <c r="G69" s="5" t="s">
        <v>249</v>
      </c>
      <c r="H69" s="27">
        <v>1.0</v>
      </c>
      <c r="I69" s="27">
        <v>0.0</v>
      </c>
      <c r="J69" s="27">
        <v>0.0</v>
      </c>
      <c r="K69" s="27">
        <v>0.833</v>
      </c>
      <c r="L69" s="4" t="str">
        <f>IMAGE("https://drive.google.com/uc?export=view&amp;id=1uMgvkwNStSgXGIN25euRxEVKvjY-CpgW")</f>
        <v/>
      </c>
    </row>
    <row r="70" ht="22.5" customHeight="1">
      <c r="A70" s="4">
        <v>69.0</v>
      </c>
      <c r="B70" s="3" t="s">
        <v>7</v>
      </c>
      <c r="C70" s="3">
        <v>32.0</v>
      </c>
      <c r="D70" s="3">
        <v>3.0</v>
      </c>
      <c r="E70" s="5" t="s">
        <v>250</v>
      </c>
      <c r="F70" s="5" t="s">
        <v>251</v>
      </c>
      <c r="G70" s="5" t="s">
        <v>252</v>
      </c>
      <c r="H70" s="27">
        <v>0.692</v>
      </c>
      <c r="I70" s="27">
        <v>0.0</v>
      </c>
      <c r="J70" s="27">
        <v>0.0</v>
      </c>
      <c r="K70" s="27">
        <v>0.857</v>
      </c>
      <c r="L70" s="4" t="str">
        <f>IMAGE("https://drive.google.com/uc?export=view&amp;id=1jw-5ZWzDr5PS8nGAVDqKEO-SXszidSu3")</f>
        <v/>
      </c>
    </row>
    <row r="71" ht="22.5" customHeight="1">
      <c r="A71" s="4">
        <v>70.0</v>
      </c>
      <c r="B71" s="3" t="s">
        <v>7</v>
      </c>
      <c r="C71" s="3">
        <v>32.0</v>
      </c>
      <c r="D71" s="3">
        <v>3.0</v>
      </c>
      <c r="E71" s="5" t="s">
        <v>253</v>
      </c>
      <c r="F71" s="5" t="s">
        <v>254</v>
      </c>
      <c r="G71" s="5" t="s">
        <v>255</v>
      </c>
      <c r="H71" s="27">
        <v>0.636</v>
      </c>
      <c r="I71" s="27">
        <v>0.94</v>
      </c>
      <c r="J71" s="27">
        <v>1.0</v>
      </c>
      <c r="K71" s="27">
        <v>0.25</v>
      </c>
      <c r="L71" s="4" t="str">
        <f>IMAGE("https://drive.google.com/uc?export=view&amp;id=1nzAN9GdhpoIDOnim1qlUZ5m8NPmzeffG")</f>
        <v/>
      </c>
    </row>
    <row r="72" ht="22.5" customHeight="1">
      <c r="A72" s="4">
        <v>71.0</v>
      </c>
      <c r="B72" s="3" t="s">
        <v>7</v>
      </c>
      <c r="C72" s="3">
        <v>32.0</v>
      </c>
      <c r="D72" s="3">
        <v>3.0</v>
      </c>
      <c r="E72" s="5" t="s">
        <v>256</v>
      </c>
      <c r="F72" s="5" t="s">
        <v>257</v>
      </c>
      <c r="G72" s="5" t="s">
        <v>258</v>
      </c>
      <c r="H72" s="27">
        <v>0.0</v>
      </c>
      <c r="I72" s="27">
        <v>0.589</v>
      </c>
      <c r="J72" s="27">
        <v>0.833</v>
      </c>
      <c r="K72" s="27">
        <v>0.167</v>
      </c>
      <c r="L72" s="4" t="str">
        <f>IMAGE("https://drive.google.com/uc?export=view&amp;id=1hwjFnzCD5e9TpQDxCWyAeTrHKdpwr4mT")</f>
        <v/>
      </c>
    </row>
    <row r="73" ht="22.5" customHeight="1">
      <c r="A73" s="4">
        <v>72.0</v>
      </c>
      <c r="B73" s="3" t="s">
        <v>7</v>
      </c>
      <c r="C73" s="3">
        <v>32.0</v>
      </c>
      <c r="D73" s="3">
        <v>3.0</v>
      </c>
      <c r="E73" s="5" t="s">
        <v>259</v>
      </c>
      <c r="F73" s="5" t="s">
        <v>260</v>
      </c>
      <c r="G73" s="5" t="s">
        <v>261</v>
      </c>
      <c r="H73" s="27">
        <v>0.857</v>
      </c>
      <c r="I73" s="27">
        <v>0.0</v>
      </c>
      <c r="J73" s="27">
        <v>0.0</v>
      </c>
      <c r="K73" s="27">
        <v>0.0</v>
      </c>
      <c r="L73" s="4" t="str">
        <f>IMAGE("https://drive.google.com/uc?export=view&amp;id=10mhDHsMU6OWSJdzXOmCAH07FSnJxxfE-")</f>
        <v/>
      </c>
    </row>
    <row r="74" ht="22.5" customHeight="1">
      <c r="A74" s="4">
        <v>73.0</v>
      </c>
      <c r="B74" s="3" t="s">
        <v>7</v>
      </c>
      <c r="C74" s="3">
        <v>32.0</v>
      </c>
      <c r="D74" s="3">
        <v>3.0</v>
      </c>
      <c r="E74" s="5" t="s">
        <v>262</v>
      </c>
      <c r="F74" s="5" t="s">
        <v>263</v>
      </c>
      <c r="G74" s="5" t="s">
        <v>264</v>
      </c>
      <c r="H74" s="27">
        <v>0.0</v>
      </c>
      <c r="I74" s="27">
        <v>1.0</v>
      </c>
      <c r="J74" s="27">
        <v>0.0</v>
      </c>
      <c r="K74" s="27">
        <v>1.0</v>
      </c>
      <c r="L74" s="4" t="str">
        <f>IMAGE("https://drive.google.com/uc?export=view&amp;id=1qTEbfOgyDguepKtBYIfHvcbse6P_Z3ZG")</f>
        <v/>
      </c>
    </row>
    <row r="75" ht="22.5" customHeight="1">
      <c r="A75" s="4">
        <v>74.0</v>
      </c>
      <c r="B75" s="3" t="s">
        <v>7</v>
      </c>
      <c r="C75" s="3">
        <v>32.0</v>
      </c>
      <c r="D75" s="3">
        <v>3.0</v>
      </c>
      <c r="E75" s="5" t="s">
        <v>265</v>
      </c>
      <c r="F75" s="5" t="s">
        <v>266</v>
      </c>
      <c r="G75" s="5" t="s">
        <v>267</v>
      </c>
      <c r="H75" s="27">
        <v>0.5</v>
      </c>
      <c r="I75" s="27">
        <v>0.978</v>
      </c>
      <c r="J75" s="27">
        <v>0.333</v>
      </c>
      <c r="K75" s="27">
        <v>1.0</v>
      </c>
      <c r="L75" s="4" t="str">
        <f>IMAGE("https://drive.google.com/uc?export=view&amp;id=1SfHJO37HjRiEYtR0DDD7dh0sDLFPyKVJ")</f>
        <v/>
      </c>
    </row>
    <row r="76" ht="22.5" customHeight="1">
      <c r="A76" s="4">
        <v>75.0</v>
      </c>
      <c r="B76" s="3" t="s">
        <v>7</v>
      </c>
      <c r="C76" s="3">
        <v>32.0</v>
      </c>
      <c r="D76" s="3">
        <v>3.0</v>
      </c>
      <c r="E76" s="5" t="s">
        <v>268</v>
      </c>
      <c r="F76" s="5" t="s">
        <v>269</v>
      </c>
      <c r="G76" s="5" t="s">
        <v>270</v>
      </c>
      <c r="H76" s="27">
        <v>0.909</v>
      </c>
      <c r="I76" s="27">
        <v>0.551</v>
      </c>
      <c r="J76" s="27">
        <v>1.0</v>
      </c>
      <c r="K76" s="27">
        <v>0.444</v>
      </c>
      <c r="L76" s="4" t="str">
        <f>IMAGE("https://drive.google.com/uc?export=view&amp;id=1f_lV53csNw6SGjNFeCrheiZP896taysg")</f>
        <v/>
      </c>
    </row>
    <row r="77" ht="22.5" customHeight="1">
      <c r="A77" s="4">
        <v>76.0</v>
      </c>
      <c r="B77" s="3" t="s">
        <v>7</v>
      </c>
      <c r="C77" s="3">
        <v>32.0</v>
      </c>
      <c r="D77" s="3">
        <v>3.0</v>
      </c>
      <c r="E77" s="5" t="s">
        <v>271</v>
      </c>
      <c r="F77" s="5" t="s">
        <v>272</v>
      </c>
      <c r="G77" s="5" t="s">
        <v>273</v>
      </c>
      <c r="H77" s="27">
        <v>0.778</v>
      </c>
      <c r="I77" s="27">
        <v>0.492</v>
      </c>
      <c r="J77" s="27">
        <v>1.0</v>
      </c>
      <c r="K77" s="27">
        <v>0.75</v>
      </c>
      <c r="L77" s="4" t="str">
        <f>IMAGE("https://drive.google.com/uc?export=view&amp;id=1dE4WhAA55Z0b0W8gUOWslty4AsDaTN1U")</f>
        <v/>
      </c>
    </row>
    <row r="78" ht="22.5" customHeight="1">
      <c r="A78" s="4">
        <v>77.0</v>
      </c>
      <c r="B78" s="3" t="s">
        <v>7</v>
      </c>
      <c r="C78" s="3">
        <v>32.0</v>
      </c>
      <c r="D78" s="3">
        <v>3.0</v>
      </c>
      <c r="E78" s="5" t="s">
        <v>274</v>
      </c>
      <c r="F78" s="5" t="s">
        <v>275</v>
      </c>
      <c r="G78" s="5" t="s">
        <v>276</v>
      </c>
      <c r="H78" s="27">
        <v>0.0</v>
      </c>
      <c r="I78" s="27">
        <v>0.611</v>
      </c>
      <c r="J78" s="27">
        <v>1.0</v>
      </c>
      <c r="K78" s="27">
        <v>1.0</v>
      </c>
      <c r="L78" s="4" t="str">
        <f>IMAGE("https://drive.google.com/uc?export=view&amp;id=1LXf_zJaN0WDTT61nkV9b996mH4smXG6N")</f>
        <v/>
      </c>
    </row>
    <row r="79" ht="22.5" customHeight="1">
      <c r="A79" s="4">
        <v>78.0</v>
      </c>
      <c r="B79" s="3" t="s">
        <v>7</v>
      </c>
      <c r="C79" s="3">
        <v>32.0</v>
      </c>
      <c r="D79" s="3">
        <v>3.0</v>
      </c>
      <c r="E79" s="5" t="s">
        <v>277</v>
      </c>
      <c r="F79" s="5" t="s">
        <v>278</v>
      </c>
      <c r="G79" s="5" t="s">
        <v>279</v>
      </c>
      <c r="H79" s="27">
        <v>0.5</v>
      </c>
      <c r="I79" s="27">
        <v>1.0</v>
      </c>
      <c r="J79" s="27">
        <v>0.5</v>
      </c>
      <c r="K79" s="27">
        <v>1.0</v>
      </c>
      <c r="L79" s="4" t="str">
        <f>IMAGE("https://drive.google.com/uc?export=view&amp;id=175n6mpYgKwk7BFRj3FRdnjxbiqkU4rTZ")</f>
        <v/>
      </c>
    </row>
    <row r="80" ht="22.5" customHeight="1">
      <c r="A80" s="4">
        <v>79.0</v>
      </c>
      <c r="B80" s="3" t="s">
        <v>7</v>
      </c>
      <c r="C80" s="3">
        <v>32.0</v>
      </c>
      <c r="D80" s="3">
        <v>3.0</v>
      </c>
      <c r="E80" s="5" t="s">
        <v>280</v>
      </c>
      <c r="F80" s="5" t="s">
        <v>281</v>
      </c>
      <c r="G80" s="5" t="s">
        <v>282</v>
      </c>
      <c r="H80" s="27">
        <v>0.6</v>
      </c>
      <c r="I80" s="27">
        <v>0.0</v>
      </c>
      <c r="J80" s="27">
        <v>0.0</v>
      </c>
      <c r="K80" s="27">
        <v>0.0</v>
      </c>
      <c r="L80" s="4" t="str">
        <f>IMAGE("https://drive.google.com/uc?export=view&amp;id=1h_dN3xp9cAkAiI7fms_HH8-bsP3OpOIV")</f>
        <v/>
      </c>
    </row>
    <row r="81" ht="22.5" customHeight="1">
      <c r="A81" s="4">
        <v>80.0</v>
      </c>
      <c r="B81" s="3" t="s">
        <v>7</v>
      </c>
      <c r="C81" s="3">
        <v>32.0</v>
      </c>
      <c r="D81" s="3">
        <v>3.0</v>
      </c>
      <c r="E81" s="5" t="s">
        <v>283</v>
      </c>
      <c r="F81" s="5" t="s">
        <v>284</v>
      </c>
      <c r="G81" s="5" t="s">
        <v>285</v>
      </c>
      <c r="H81" s="27">
        <v>0.688</v>
      </c>
      <c r="I81" s="27">
        <v>0.758</v>
      </c>
      <c r="J81" s="27">
        <v>1.0</v>
      </c>
      <c r="K81" s="27">
        <v>1.0</v>
      </c>
      <c r="L81" s="4" t="str">
        <f>IMAGE("https://drive.google.com/uc?export=view&amp;id=1NIjB7U0sq7GPfLXViYaaJdrYBMRqSai1")</f>
        <v/>
      </c>
    </row>
    <row r="82" ht="22.5" customHeight="1">
      <c r="A82" s="4">
        <v>81.0</v>
      </c>
      <c r="B82" s="3" t="s">
        <v>7</v>
      </c>
      <c r="C82" s="3">
        <v>32.0</v>
      </c>
      <c r="D82" s="3">
        <v>5.0</v>
      </c>
      <c r="E82" s="28" t="s">
        <v>46</v>
      </c>
      <c r="F82" s="28" t="s">
        <v>286</v>
      </c>
      <c r="G82" s="28" t="s">
        <v>287</v>
      </c>
      <c r="H82" s="29">
        <v>1.0</v>
      </c>
      <c r="I82" s="29">
        <v>0.954</v>
      </c>
      <c r="J82" s="29">
        <v>0.867</v>
      </c>
      <c r="K82" s="29">
        <v>0.8</v>
      </c>
      <c r="L82" s="4" t="str">
        <f>IMAGE("https://drive.google.com/uc?export=view&amp;id=1j6ewjKPyPocMxblWBWp86gwEs8IXq-aC")</f>
        <v/>
      </c>
    </row>
    <row r="83" ht="22.5" customHeight="1">
      <c r="A83" s="4">
        <v>82.0</v>
      </c>
      <c r="B83" s="3" t="s">
        <v>7</v>
      </c>
      <c r="C83" s="3">
        <v>32.0</v>
      </c>
      <c r="D83" s="3">
        <v>5.0</v>
      </c>
      <c r="E83" s="28" t="s">
        <v>49</v>
      </c>
      <c r="F83" s="28" t="s">
        <v>288</v>
      </c>
      <c r="G83" s="28" t="s">
        <v>289</v>
      </c>
      <c r="H83" s="29">
        <v>1.0</v>
      </c>
      <c r="I83" s="29">
        <v>0.0</v>
      </c>
      <c r="J83" s="29">
        <v>0.333</v>
      </c>
      <c r="K83" s="29">
        <v>0.8</v>
      </c>
      <c r="L83" s="4" t="str">
        <f>IMAGE("https://drive.google.com/uc?export=view&amp;id=1hUTwgIpVD0-2KBRwGUSeaAhE6SdJ8Ttr")</f>
        <v/>
      </c>
    </row>
    <row r="84" ht="22.5" customHeight="1">
      <c r="A84" s="4">
        <v>83.0</v>
      </c>
      <c r="B84" s="3" t="s">
        <v>7</v>
      </c>
      <c r="C84" s="3">
        <v>32.0</v>
      </c>
      <c r="D84" s="3">
        <v>5.0</v>
      </c>
      <c r="E84" s="28" t="s">
        <v>52</v>
      </c>
      <c r="F84" s="28" t="s">
        <v>290</v>
      </c>
      <c r="G84" s="28" t="s">
        <v>291</v>
      </c>
      <c r="H84" s="29">
        <v>0.6</v>
      </c>
      <c r="I84" s="29">
        <v>0.827</v>
      </c>
      <c r="J84" s="29">
        <v>1.0</v>
      </c>
      <c r="K84" s="29">
        <v>0.333</v>
      </c>
      <c r="L84" s="4" t="str">
        <f>IMAGE("https://drive.google.com/uc?export=view&amp;id=1mVN06XS0gH2KSLWKzOr2NC3Xz5UFWRv6")</f>
        <v/>
      </c>
    </row>
    <row r="85" ht="22.5" customHeight="1">
      <c r="A85" s="4">
        <v>84.0</v>
      </c>
      <c r="B85" s="3" t="s">
        <v>7</v>
      </c>
      <c r="C85" s="3">
        <v>32.0</v>
      </c>
      <c r="D85" s="3">
        <v>5.0</v>
      </c>
      <c r="E85" s="28" t="s">
        <v>55</v>
      </c>
      <c r="F85" s="28" t="s">
        <v>292</v>
      </c>
      <c r="G85" s="28" t="s">
        <v>293</v>
      </c>
      <c r="H85" s="29">
        <v>0.375</v>
      </c>
      <c r="I85" s="29">
        <v>1.0</v>
      </c>
      <c r="J85" s="29">
        <v>0.679</v>
      </c>
      <c r="K85" s="29">
        <v>1.0</v>
      </c>
      <c r="L85" s="4" t="str">
        <f>IMAGE("https://drive.google.com/uc?export=view&amp;id=1TXpAcLy1s8cHNzWBoSgmE516g8uKTJVG")</f>
        <v/>
      </c>
    </row>
    <row r="86" ht="22.5" customHeight="1">
      <c r="A86" s="4">
        <v>85.0</v>
      </c>
      <c r="B86" s="3" t="s">
        <v>7</v>
      </c>
      <c r="C86" s="3">
        <v>32.0</v>
      </c>
      <c r="D86" s="3">
        <v>5.0</v>
      </c>
      <c r="E86" s="28" t="s">
        <v>58</v>
      </c>
      <c r="F86" s="28" t="s">
        <v>294</v>
      </c>
      <c r="G86" s="28" t="s">
        <v>295</v>
      </c>
      <c r="H86" s="29">
        <v>0.5</v>
      </c>
      <c r="I86" s="29">
        <v>0.913</v>
      </c>
      <c r="J86" s="29">
        <v>1.0</v>
      </c>
      <c r="K86" s="29">
        <v>0.333</v>
      </c>
      <c r="L86" s="4" t="str">
        <f>IMAGE("https://drive.google.com/uc?export=view&amp;id=1uoCiM5UF8F7-RPE1WZxiSKV7UbJkMtmV")</f>
        <v/>
      </c>
    </row>
    <row r="87" ht="22.5" customHeight="1">
      <c r="A87" s="4">
        <v>86.0</v>
      </c>
      <c r="B87" s="3" t="s">
        <v>7</v>
      </c>
      <c r="C87" s="3">
        <v>32.0</v>
      </c>
      <c r="D87" s="3">
        <v>5.0</v>
      </c>
      <c r="E87" s="28" t="s">
        <v>61</v>
      </c>
      <c r="F87" s="28" t="s">
        <v>296</v>
      </c>
      <c r="G87" s="28" t="s">
        <v>297</v>
      </c>
      <c r="H87" s="29">
        <v>1.0</v>
      </c>
      <c r="I87" s="29">
        <v>0.976</v>
      </c>
      <c r="J87" s="29">
        <v>0.95</v>
      </c>
      <c r="K87" s="29">
        <v>1.0</v>
      </c>
      <c r="L87" s="4" t="str">
        <f>IMAGE("https://drive.google.com/uc?export=view&amp;id=1Ww49cSyXRwB9s0lVTdmCbrH8Vij0C6s8")</f>
        <v/>
      </c>
    </row>
    <row r="88" ht="22.5" customHeight="1">
      <c r="A88" s="4">
        <v>87.0</v>
      </c>
      <c r="B88" s="3" t="s">
        <v>7</v>
      </c>
      <c r="C88" s="3">
        <v>32.0</v>
      </c>
      <c r="D88" s="3">
        <v>5.0</v>
      </c>
      <c r="E88" s="28" t="s">
        <v>64</v>
      </c>
      <c r="F88" s="28" t="s">
        <v>298</v>
      </c>
      <c r="G88" s="28" t="s">
        <v>299</v>
      </c>
      <c r="H88" s="29">
        <v>0.5</v>
      </c>
      <c r="I88" s="29">
        <v>0.471</v>
      </c>
      <c r="J88" s="29">
        <v>0.0</v>
      </c>
      <c r="K88" s="29">
        <v>0.833</v>
      </c>
      <c r="L88" s="4" t="str">
        <f>IMAGE("https://drive.google.com/uc?export=view&amp;id=10b3bm5d9HKLWIItwCfa1wgj-fYC0RaVY")</f>
        <v/>
      </c>
    </row>
    <row r="89" ht="22.5" customHeight="1">
      <c r="A89" s="4">
        <v>88.0</v>
      </c>
      <c r="B89" s="3" t="s">
        <v>7</v>
      </c>
      <c r="C89" s="3">
        <v>32.0</v>
      </c>
      <c r="D89" s="3">
        <v>5.0</v>
      </c>
      <c r="E89" s="28" t="s">
        <v>67</v>
      </c>
      <c r="F89" s="28" t="s">
        <v>300</v>
      </c>
      <c r="G89" s="28" t="s">
        <v>301</v>
      </c>
      <c r="H89" s="29">
        <v>0.533</v>
      </c>
      <c r="I89" s="29">
        <v>0.83</v>
      </c>
      <c r="J89" s="29">
        <v>0.917</v>
      </c>
      <c r="K89" s="29">
        <v>0.667</v>
      </c>
      <c r="L89" s="4" t="str">
        <f>IMAGE("https://drive.google.com/uc?export=view&amp;id=1nSWd6okiNX-salxqTJBCunAh7oeAHIlf")</f>
        <v/>
      </c>
    </row>
    <row r="90" ht="22.5" customHeight="1">
      <c r="A90" s="4">
        <v>89.0</v>
      </c>
      <c r="B90" s="3" t="s">
        <v>7</v>
      </c>
      <c r="C90" s="3">
        <v>32.0</v>
      </c>
      <c r="D90" s="3">
        <v>5.0</v>
      </c>
      <c r="E90" s="28" t="s">
        <v>70</v>
      </c>
      <c r="F90" s="28" t="s">
        <v>302</v>
      </c>
      <c r="G90" s="28" t="s">
        <v>303</v>
      </c>
      <c r="H90" s="29">
        <v>0.444</v>
      </c>
      <c r="I90" s="29">
        <v>0.812</v>
      </c>
      <c r="J90" s="29">
        <v>0.2</v>
      </c>
      <c r="K90" s="29">
        <v>1.0</v>
      </c>
      <c r="L90" s="4" t="str">
        <f>IMAGE("https://drive.google.com/uc?export=view&amp;id=1XzeKHIoV5VZ9LcUBPRKmEUyV2O3eawy2")</f>
        <v/>
      </c>
    </row>
    <row r="91" ht="22.5" customHeight="1">
      <c r="A91" s="4">
        <v>90.0</v>
      </c>
      <c r="B91" s="3" t="s">
        <v>7</v>
      </c>
      <c r="C91" s="3">
        <v>32.0</v>
      </c>
      <c r="D91" s="3">
        <v>5.0</v>
      </c>
      <c r="E91" s="28" t="s">
        <v>73</v>
      </c>
      <c r="F91" s="28" t="s">
        <v>304</v>
      </c>
      <c r="G91" s="28" t="s">
        <v>305</v>
      </c>
      <c r="H91" s="29">
        <v>0.778</v>
      </c>
      <c r="I91" s="29">
        <v>0.849</v>
      </c>
      <c r="J91" s="29">
        <v>0.417</v>
      </c>
      <c r="K91" s="29">
        <v>0.833</v>
      </c>
      <c r="L91" s="4" t="str">
        <f>IMAGE("https://drive.google.com/uc?export=view&amp;id=1eeQYVVD_msm7F-4pHYF3UE4JZXSuyhsf")</f>
        <v/>
      </c>
    </row>
    <row r="92" ht="22.5" customHeight="1">
      <c r="A92" s="4">
        <v>91.0</v>
      </c>
      <c r="B92" s="3" t="s">
        <v>7</v>
      </c>
      <c r="C92" s="3">
        <v>32.0</v>
      </c>
      <c r="D92" s="3">
        <v>5.0</v>
      </c>
      <c r="E92" s="28" t="s">
        <v>76</v>
      </c>
      <c r="F92" s="28" t="s">
        <v>306</v>
      </c>
      <c r="G92" s="28" t="s">
        <v>307</v>
      </c>
      <c r="H92" s="29">
        <v>1.0</v>
      </c>
      <c r="I92" s="29">
        <v>0.852</v>
      </c>
      <c r="J92" s="29">
        <v>1.0</v>
      </c>
      <c r="K92" s="29">
        <v>1.0</v>
      </c>
      <c r="L92" s="4" t="str">
        <f>IMAGE("https://drive.google.com/uc?export=view&amp;id=1-0jym0jQpsOW0MmGGpuHtv_YiY4xyJ3a")</f>
        <v/>
      </c>
    </row>
    <row r="93" ht="22.5" customHeight="1">
      <c r="A93" s="4">
        <v>92.0</v>
      </c>
      <c r="B93" s="3" t="s">
        <v>7</v>
      </c>
      <c r="C93" s="3">
        <v>32.0</v>
      </c>
      <c r="D93" s="3">
        <v>5.0</v>
      </c>
      <c r="E93" s="28" t="s">
        <v>79</v>
      </c>
      <c r="F93" s="28" t="s">
        <v>308</v>
      </c>
      <c r="G93" s="28" t="s">
        <v>309</v>
      </c>
      <c r="H93" s="29">
        <v>0.571</v>
      </c>
      <c r="I93" s="29">
        <v>0.0</v>
      </c>
      <c r="J93" s="29">
        <v>0.0</v>
      </c>
      <c r="K93" s="29">
        <v>1.0</v>
      </c>
      <c r="L93" s="4" t="str">
        <f>IMAGE("https://drive.google.com/uc?export=view&amp;id=18jsZy_NC7eyaajHCfVWrj1HO1hVtHBwE")</f>
        <v/>
      </c>
    </row>
    <row r="94" ht="22.5" customHeight="1">
      <c r="A94" s="4">
        <v>93.0</v>
      </c>
      <c r="B94" s="3" t="s">
        <v>7</v>
      </c>
      <c r="C94" s="3">
        <v>32.0</v>
      </c>
      <c r="D94" s="3">
        <v>5.0</v>
      </c>
      <c r="E94" s="28" t="s">
        <v>82</v>
      </c>
      <c r="F94" s="28" t="s">
        <v>310</v>
      </c>
      <c r="G94" s="28" t="s">
        <v>311</v>
      </c>
      <c r="H94" s="29">
        <v>1.0</v>
      </c>
      <c r="I94" s="29">
        <v>0.634</v>
      </c>
      <c r="J94" s="29">
        <v>0.417</v>
      </c>
      <c r="K94" s="29">
        <v>1.0</v>
      </c>
      <c r="L94" s="4" t="str">
        <f>IMAGE("https://drive.google.com/uc?export=view&amp;id=1h5Et1JPyrrEvHQrUZ5E1NvyXg6TfrOfW")</f>
        <v/>
      </c>
    </row>
    <row r="95" ht="22.5" customHeight="1">
      <c r="A95" s="4">
        <v>94.0</v>
      </c>
      <c r="B95" s="3" t="s">
        <v>7</v>
      </c>
      <c r="C95" s="3">
        <v>32.0</v>
      </c>
      <c r="D95" s="3">
        <v>5.0</v>
      </c>
      <c r="E95" s="28" t="s">
        <v>85</v>
      </c>
      <c r="F95" s="28" t="s">
        <v>312</v>
      </c>
      <c r="G95" s="28" t="s">
        <v>313</v>
      </c>
      <c r="H95" s="29">
        <v>0.75</v>
      </c>
      <c r="I95" s="29">
        <v>0.982</v>
      </c>
      <c r="J95" s="29">
        <v>0.5</v>
      </c>
      <c r="K95" s="29">
        <v>0.0</v>
      </c>
      <c r="L95" s="4" t="str">
        <f>IMAGE("https://drive.google.com/uc?export=view&amp;id=10zh8wIP8cd-ExtNEBSI1xV2MfgyQ-p2X")</f>
        <v/>
      </c>
    </row>
    <row r="96" ht="22.5" customHeight="1">
      <c r="A96" s="4">
        <v>95.0</v>
      </c>
      <c r="B96" s="3" t="s">
        <v>7</v>
      </c>
      <c r="C96" s="3">
        <v>32.0</v>
      </c>
      <c r="D96" s="3">
        <v>5.0</v>
      </c>
      <c r="E96" s="28" t="s">
        <v>88</v>
      </c>
      <c r="F96" s="28" t="s">
        <v>314</v>
      </c>
      <c r="G96" s="28" t="s">
        <v>315</v>
      </c>
      <c r="H96" s="29">
        <v>0.875</v>
      </c>
      <c r="I96" s="29">
        <v>0.0</v>
      </c>
      <c r="J96" s="29">
        <v>0.0</v>
      </c>
      <c r="K96" s="29">
        <v>1.0</v>
      </c>
      <c r="L96" s="4" t="str">
        <f>IMAGE("https://drive.google.com/uc?export=view&amp;id=1rkawDHH9onpP4ySOoYnaCAULtzHs6gIT")</f>
        <v/>
      </c>
    </row>
    <row r="97" ht="22.5" customHeight="1">
      <c r="A97" s="4">
        <v>96.0</v>
      </c>
      <c r="B97" s="3" t="s">
        <v>7</v>
      </c>
      <c r="C97" s="3">
        <v>32.0</v>
      </c>
      <c r="D97" s="3">
        <v>5.0</v>
      </c>
      <c r="E97" s="28" t="s">
        <v>94</v>
      </c>
      <c r="F97" s="28" t="s">
        <v>316</v>
      </c>
      <c r="G97" s="28" t="s">
        <v>317</v>
      </c>
      <c r="H97" s="29">
        <v>0.875</v>
      </c>
      <c r="I97" s="29">
        <v>0.575</v>
      </c>
      <c r="J97" s="29">
        <v>0.333</v>
      </c>
      <c r="K97" s="29">
        <v>0.3</v>
      </c>
      <c r="L97" s="4" t="str">
        <f>IMAGE("https://drive.google.com/uc?export=view&amp;id=1HUdaj3LodGs8x_bd9AQezQNCD0TcPcSm")</f>
        <v/>
      </c>
    </row>
    <row r="98" ht="22.5" customHeight="1">
      <c r="A98" s="4">
        <v>97.0</v>
      </c>
      <c r="B98" s="3" t="s">
        <v>7</v>
      </c>
      <c r="C98" s="3">
        <v>32.0</v>
      </c>
      <c r="D98" s="3">
        <v>5.0</v>
      </c>
      <c r="E98" s="28" t="s">
        <v>100</v>
      </c>
      <c r="F98" s="28" t="s">
        <v>318</v>
      </c>
      <c r="G98" s="28" t="s">
        <v>319</v>
      </c>
      <c r="H98" s="29">
        <v>0.636</v>
      </c>
      <c r="I98" s="29">
        <v>0.965</v>
      </c>
      <c r="J98" s="29">
        <v>0.0</v>
      </c>
      <c r="K98" s="29">
        <v>1.0</v>
      </c>
      <c r="L98" s="4" t="str">
        <f>IMAGE("https://drive.google.com/uc?export=view&amp;id=115_uXqSfodQ7vWGGrWiUZ4-nnEge1DWJ")</f>
        <v/>
      </c>
    </row>
    <row r="99" ht="22.5" customHeight="1">
      <c r="A99" s="4">
        <v>98.0</v>
      </c>
      <c r="B99" s="3" t="s">
        <v>7</v>
      </c>
      <c r="C99" s="3">
        <v>32.0</v>
      </c>
      <c r="D99" s="3">
        <v>5.0</v>
      </c>
      <c r="E99" s="28" t="s">
        <v>115</v>
      </c>
      <c r="F99" s="28" t="s">
        <v>320</v>
      </c>
      <c r="G99" s="28" t="s">
        <v>321</v>
      </c>
      <c r="H99" s="29">
        <v>0.467</v>
      </c>
      <c r="I99" s="29">
        <v>0.994</v>
      </c>
      <c r="J99" s="29">
        <v>1.0</v>
      </c>
      <c r="K99" s="29">
        <v>0.8</v>
      </c>
      <c r="L99" s="4" t="str">
        <f>IMAGE("https://drive.google.com/uc?export=view&amp;id=10STbj-1vVs85re8FqT9jqaUJ_YU3Iz7t")</f>
        <v/>
      </c>
    </row>
    <row r="100" ht="22.5" customHeight="1">
      <c r="A100" s="4">
        <v>99.0</v>
      </c>
      <c r="B100" s="3" t="s">
        <v>7</v>
      </c>
      <c r="C100" s="3">
        <v>32.0</v>
      </c>
      <c r="D100" s="3">
        <v>5.0</v>
      </c>
      <c r="E100" s="28" t="s">
        <v>91</v>
      </c>
      <c r="F100" s="28" t="s">
        <v>322</v>
      </c>
      <c r="G100" s="28" t="s">
        <v>323</v>
      </c>
      <c r="H100" s="29">
        <v>0.5</v>
      </c>
      <c r="I100" s="29">
        <v>0.99</v>
      </c>
      <c r="J100" s="29">
        <v>0.833</v>
      </c>
      <c r="K100" s="29">
        <v>1.0</v>
      </c>
      <c r="L100" s="4" t="str">
        <f>IMAGE("https://drive.google.com/uc?export=view&amp;id=1uEI3HCdqUAGqH4Z8scngdgfI05sqpP6U")</f>
        <v/>
      </c>
    </row>
    <row r="101" ht="22.5" customHeight="1">
      <c r="A101" s="4">
        <v>100.0</v>
      </c>
      <c r="B101" s="3" t="s">
        <v>7</v>
      </c>
      <c r="C101" s="3">
        <v>32.0</v>
      </c>
      <c r="D101" s="3">
        <v>5.0</v>
      </c>
      <c r="E101" s="28" t="s">
        <v>97</v>
      </c>
      <c r="F101" s="28" t="s">
        <v>324</v>
      </c>
      <c r="G101" s="28" t="s">
        <v>325</v>
      </c>
      <c r="H101" s="29">
        <v>1.0</v>
      </c>
      <c r="I101" s="29">
        <v>0.963</v>
      </c>
      <c r="J101" s="29">
        <v>0.5</v>
      </c>
      <c r="K101" s="29">
        <v>1.0</v>
      </c>
      <c r="L101" s="4" t="str">
        <f>IMAGE("https://drive.google.com/uc?export=view&amp;id=19ig3muR3EXCJO2d9SU4coFKLamjJ-lpw")</f>
        <v/>
      </c>
    </row>
    <row r="102" ht="22.5" customHeight="1">
      <c r="A102" s="4">
        <v>101.0</v>
      </c>
      <c r="B102" s="3" t="s">
        <v>7</v>
      </c>
      <c r="C102" s="3">
        <v>32.0</v>
      </c>
      <c r="D102" s="3">
        <v>5.0</v>
      </c>
      <c r="E102" s="28" t="s">
        <v>103</v>
      </c>
      <c r="F102" s="28" t="s">
        <v>326</v>
      </c>
      <c r="G102" s="28" t="s">
        <v>327</v>
      </c>
      <c r="H102" s="29">
        <v>0.429</v>
      </c>
      <c r="I102" s="29">
        <v>0.987</v>
      </c>
      <c r="J102" s="29">
        <v>1.0</v>
      </c>
      <c r="K102" s="29">
        <v>0.8</v>
      </c>
      <c r="L102" s="4" t="str">
        <f>IMAGE("https://drive.google.com/uc?export=view&amp;id=1HbpvASnSDgu0XtlxV3i74e1dqgsUlOeb")</f>
        <v/>
      </c>
    </row>
    <row r="103" ht="22.5" customHeight="1">
      <c r="A103" s="4">
        <v>102.0</v>
      </c>
      <c r="B103" s="3" t="s">
        <v>7</v>
      </c>
      <c r="C103" s="3">
        <v>32.0</v>
      </c>
      <c r="D103" s="3">
        <v>5.0</v>
      </c>
      <c r="E103" s="28" t="s">
        <v>106</v>
      </c>
      <c r="F103" s="28" t="s">
        <v>328</v>
      </c>
      <c r="G103" s="28" t="s">
        <v>329</v>
      </c>
      <c r="H103" s="29">
        <v>0.786</v>
      </c>
      <c r="I103" s="29">
        <v>0.0</v>
      </c>
      <c r="J103" s="29">
        <v>0.0</v>
      </c>
      <c r="K103" s="29">
        <v>0.667</v>
      </c>
      <c r="L103" s="4" t="str">
        <f>IMAGE("https://drive.google.com/uc?export=view&amp;id=1DU30dOWBRyw_clYB6wYejdkWTAETfJaN")</f>
        <v/>
      </c>
    </row>
    <row r="104" ht="22.5" customHeight="1">
      <c r="A104" s="4">
        <v>103.0</v>
      </c>
      <c r="B104" s="3" t="s">
        <v>7</v>
      </c>
      <c r="C104" s="3">
        <v>32.0</v>
      </c>
      <c r="D104" s="3">
        <v>5.0</v>
      </c>
      <c r="E104" s="28" t="s">
        <v>109</v>
      </c>
      <c r="F104" s="28" t="s">
        <v>330</v>
      </c>
      <c r="G104" s="28" t="s">
        <v>331</v>
      </c>
      <c r="H104" s="29">
        <v>0.733</v>
      </c>
      <c r="I104" s="29">
        <v>0.58</v>
      </c>
      <c r="J104" s="29">
        <v>0.756</v>
      </c>
      <c r="K104" s="29">
        <v>0.833</v>
      </c>
      <c r="L104" s="4" t="str">
        <f>IMAGE("https://drive.google.com/uc?export=view&amp;id=1vUwUKmlJA4iJYWzHC-u5IR_msQaAmyJK")</f>
        <v/>
      </c>
    </row>
    <row r="105" ht="22.5" customHeight="1">
      <c r="A105" s="4">
        <v>104.0</v>
      </c>
      <c r="B105" s="3" t="s">
        <v>7</v>
      </c>
      <c r="C105" s="3">
        <v>32.0</v>
      </c>
      <c r="D105" s="3">
        <v>5.0</v>
      </c>
      <c r="E105" s="28" t="s">
        <v>112</v>
      </c>
      <c r="F105" s="28" t="s">
        <v>332</v>
      </c>
      <c r="G105" s="28" t="s">
        <v>333</v>
      </c>
      <c r="H105" s="29">
        <v>0.467</v>
      </c>
      <c r="I105" s="29">
        <v>0.947</v>
      </c>
      <c r="J105" s="29">
        <v>1.0</v>
      </c>
      <c r="K105" s="29">
        <v>0.556</v>
      </c>
      <c r="L105" s="4" t="str">
        <f>IMAGE("https://drive.google.com/uc?export=view&amp;id=1y-UZkwZpUsw9nsaCvnXJ7P6nBje_ANCo")</f>
        <v/>
      </c>
    </row>
    <row r="106" ht="22.5" customHeight="1">
      <c r="A106" s="4">
        <v>105.0</v>
      </c>
      <c r="B106" s="3" t="s">
        <v>7</v>
      </c>
      <c r="C106" s="3">
        <v>32.0</v>
      </c>
      <c r="D106" s="3">
        <v>5.0</v>
      </c>
      <c r="E106" s="28" t="s">
        <v>118</v>
      </c>
      <c r="F106" s="28" t="s">
        <v>334</v>
      </c>
      <c r="G106" s="28" t="s">
        <v>335</v>
      </c>
      <c r="H106" s="29">
        <v>0.444</v>
      </c>
      <c r="I106" s="29">
        <v>0.728</v>
      </c>
      <c r="J106" s="29">
        <v>0.589</v>
      </c>
      <c r="K106" s="29">
        <v>1.0</v>
      </c>
      <c r="L106" s="4" t="str">
        <f>IMAGE("https://drive.google.com/uc?export=view&amp;id=1STkKJRMCRLNzhVTtfdA5voiK8wR8B76W")</f>
        <v/>
      </c>
    </row>
    <row r="107" ht="22.5" customHeight="1">
      <c r="A107" s="4">
        <v>106.0</v>
      </c>
      <c r="B107" s="3" t="s">
        <v>7</v>
      </c>
      <c r="C107" s="3">
        <v>32.0</v>
      </c>
      <c r="D107" s="3">
        <v>5.0</v>
      </c>
      <c r="E107" s="28" t="s">
        <v>121</v>
      </c>
      <c r="F107" s="28" t="s">
        <v>336</v>
      </c>
      <c r="G107" s="28" t="s">
        <v>337</v>
      </c>
      <c r="H107" s="29">
        <v>0.909</v>
      </c>
      <c r="I107" s="29">
        <v>0.997</v>
      </c>
      <c r="J107" s="29">
        <v>0.45</v>
      </c>
      <c r="K107" s="29">
        <v>0.2</v>
      </c>
      <c r="L107" s="4" t="str">
        <f>IMAGE("https://drive.google.com/uc?export=view&amp;id=1rq-FabmxPxq2Xq1h_mbIKB09E4Utx8cf")</f>
        <v/>
      </c>
    </row>
    <row r="108" ht="22.5" customHeight="1">
      <c r="A108" s="4">
        <v>107.0</v>
      </c>
      <c r="B108" s="3" t="s">
        <v>7</v>
      </c>
      <c r="C108" s="3">
        <v>32.0</v>
      </c>
      <c r="D108" s="3">
        <v>5.0</v>
      </c>
      <c r="E108" s="28" t="s">
        <v>124</v>
      </c>
      <c r="F108" s="28" t="s">
        <v>338</v>
      </c>
      <c r="G108" s="28" t="s">
        <v>339</v>
      </c>
      <c r="H108" s="29">
        <v>0.0</v>
      </c>
      <c r="I108" s="29">
        <v>0.908</v>
      </c>
      <c r="J108" s="29">
        <v>0.0</v>
      </c>
      <c r="K108" s="29">
        <v>0.333</v>
      </c>
      <c r="L108" s="4" t="str">
        <f>IMAGE("https://drive.google.com/uc?export=view&amp;id=1FBNlDPS2W-UqdDayyzPuH68ohvi6zesR")</f>
        <v/>
      </c>
    </row>
    <row r="109" ht="22.5" customHeight="1">
      <c r="A109" s="4">
        <v>108.0</v>
      </c>
      <c r="B109" s="3" t="s">
        <v>7</v>
      </c>
      <c r="C109" s="3">
        <v>32.0</v>
      </c>
      <c r="D109" s="3">
        <v>5.0</v>
      </c>
      <c r="E109" s="28" t="s">
        <v>127</v>
      </c>
      <c r="F109" s="28" t="s">
        <v>340</v>
      </c>
      <c r="G109" s="28" t="s">
        <v>341</v>
      </c>
      <c r="H109" s="29">
        <v>0.818</v>
      </c>
      <c r="I109" s="29">
        <v>0.997</v>
      </c>
      <c r="J109" s="29">
        <v>1.0</v>
      </c>
      <c r="K109" s="29">
        <v>1.0</v>
      </c>
      <c r="L109" s="4" t="str">
        <f>IMAGE("https://drive.google.com/uc?export=view&amp;id=1V5xTFZQy9PJa7GeC2PB_p284A6WJCx1_")</f>
        <v/>
      </c>
    </row>
    <row r="110" ht="22.5" customHeight="1">
      <c r="A110" s="4">
        <v>109.0</v>
      </c>
      <c r="B110" s="3" t="s">
        <v>7</v>
      </c>
      <c r="C110" s="3">
        <v>32.0</v>
      </c>
      <c r="D110" s="3">
        <v>5.0</v>
      </c>
      <c r="E110" s="28" t="s">
        <v>130</v>
      </c>
      <c r="F110" s="28" t="s">
        <v>342</v>
      </c>
      <c r="G110" s="28" t="s">
        <v>343</v>
      </c>
      <c r="H110" s="29">
        <v>0.667</v>
      </c>
      <c r="I110" s="29">
        <v>0.788</v>
      </c>
      <c r="J110" s="29">
        <v>1.0</v>
      </c>
      <c r="K110" s="29">
        <v>1.0</v>
      </c>
      <c r="L110" s="4" t="str">
        <f>IMAGE("https://drive.google.com/uc?export=view&amp;id=1IjICGBEGVeMYtHgVx9kV0soSdODvDfS-")</f>
        <v/>
      </c>
    </row>
    <row r="111" ht="22.5" customHeight="1">
      <c r="A111" s="4">
        <v>110.0</v>
      </c>
      <c r="B111" s="3" t="s">
        <v>7</v>
      </c>
      <c r="C111" s="3">
        <v>32.0</v>
      </c>
      <c r="D111" s="3">
        <v>5.0</v>
      </c>
      <c r="E111" s="28" t="s">
        <v>133</v>
      </c>
      <c r="F111" s="28" t="s">
        <v>344</v>
      </c>
      <c r="G111" s="28" t="s">
        <v>345</v>
      </c>
      <c r="H111" s="29">
        <v>0.05</v>
      </c>
      <c r="I111" s="29">
        <v>0.993</v>
      </c>
      <c r="J111" s="29">
        <v>0.0</v>
      </c>
      <c r="K111" s="29">
        <v>0.583</v>
      </c>
      <c r="L111" s="4" t="str">
        <f>IMAGE("https://drive.google.com/uc?export=view&amp;id=19t7htM7HKok6D4MNOrYXeGCxv8JZRQTA")</f>
        <v/>
      </c>
    </row>
    <row r="112" ht="22.5" customHeight="1">
      <c r="A112" s="4">
        <v>111.0</v>
      </c>
      <c r="B112" s="3" t="s">
        <v>7</v>
      </c>
      <c r="C112" s="3">
        <v>32.0</v>
      </c>
      <c r="D112" s="3">
        <v>5.0</v>
      </c>
      <c r="E112" s="28" t="s">
        <v>136</v>
      </c>
      <c r="F112" s="28" t="s">
        <v>346</v>
      </c>
      <c r="G112" s="28" t="s">
        <v>347</v>
      </c>
      <c r="H112" s="29">
        <v>0.909</v>
      </c>
      <c r="I112" s="29">
        <v>0.61</v>
      </c>
      <c r="J112" s="29">
        <v>1.0</v>
      </c>
      <c r="K112" s="29">
        <v>1.0</v>
      </c>
      <c r="L112" s="4" t="str">
        <f>IMAGE("https://drive.google.com/uc?export=view&amp;id=1I4jU3mz_opYuSyULo-NJWSO5NTcItIOM")</f>
        <v/>
      </c>
    </row>
    <row r="113" ht="22.5" customHeight="1">
      <c r="A113" s="4">
        <v>112.0</v>
      </c>
      <c r="B113" s="3" t="s">
        <v>7</v>
      </c>
      <c r="C113" s="3">
        <v>32.0</v>
      </c>
      <c r="D113" s="3">
        <v>5.0</v>
      </c>
      <c r="E113" s="28" t="s">
        <v>139</v>
      </c>
      <c r="F113" s="28" t="s">
        <v>348</v>
      </c>
      <c r="G113" s="28" t="s">
        <v>349</v>
      </c>
      <c r="H113" s="29">
        <v>0.667</v>
      </c>
      <c r="I113" s="29">
        <v>0.703</v>
      </c>
      <c r="J113" s="29">
        <v>1.0</v>
      </c>
      <c r="K113" s="29">
        <v>1.0</v>
      </c>
      <c r="L113" s="4" t="str">
        <f>IMAGE("https://drive.google.com/uc?export=view&amp;id=1PxmOAzjIMw1M2Ugj7sypQNDlXWcYXSp-")</f>
        <v/>
      </c>
    </row>
    <row r="114" ht="22.5" customHeight="1">
      <c r="A114" s="4">
        <v>113.0</v>
      </c>
      <c r="B114" s="3" t="s">
        <v>7</v>
      </c>
      <c r="C114" s="3">
        <v>32.0</v>
      </c>
      <c r="D114" s="3">
        <v>5.0</v>
      </c>
      <c r="E114" s="28" t="s">
        <v>142</v>
      </c>
      <c r="F114" s="28" t="s">
        <v>350</v>
      </c>
      <c r="G114" s="28" t="s">
        <v>351</v>
      </c>
      <c r="H114" s="29">
        <v>0.722</v>
      </c>
      <c r="I114" s="29">
        <v>0.486</v>
      </c>
      <c r="J114" s="29">
        <v>1.0</v>
      </c>
      <c r="K114" s="29">
        <v>1.0</v>
      </c>
      <c r="L114" s="4" t="str">
        <f>IMAGE("https://drive.google.com/uc?export=view&amp;id=1mBOxhTQHCRuG_6hCjOQFYuC5yWQHml5V")</f>
        <v/>
      </c>
    </row>
    <row r="115" ht="22.5" customHeight="1">
      <c r="A115" s="4">
        <v>114.0</v>
      </c>
      <c r="B115" s="3" t="s">
        <v>7</v>
      </c>
      <c r="C115" s="3">
        <v>32.0</v>
      </c>
      <c r="D115" s="3">
        <v>5.0</v>
      </c>
      <c r="E115" s="28" t="s">
        <v>145</v>
      </c>
      <c r="F115" s="28" t="s">
        <v>352</v>
      </c>
      <c r="G115" s="28" t="s">
        <v>353</v>
      </c>
      <c r="H115" s="29">
        <v>0.583</v>
      </c>
      <c r="I115" s="29">
        <v>0.0</v>
      </c>
      <c r="J115" s="29">
        <v>0.0</v>
      </c>
      <c r="K115" s="29">
        <v>0.8</v>
      </c>
      <c r="L115" s="4" t="str">
        <f>IMAGE("https://drive.google.com/uc?export=view&amp;id=1pLXNdcwhpBRiDitC4vhw3B2CBkGuD4Ej")</f>
        <v/>
      </c>
    </row>
    <row r="116" ht="22.5" customHeight="1">
      <c r="A116" s="4">
        <v>115.0</v>
      </c>
      <c r="B116" s="3" t="s">
        <v>7</v>
      </c>
      <c r="C116" s="3">
        <v>32.0</v>
      </c>
      <c r="D116" s="3">
        <v>5.0</v>
      </c>
      <c r="E116" s="28" t="s">
        <v>148</v>
      </c>
      <c r="F116" s="28" t="s">
        <v>354</v>
      </c>
      <c r="G116" s="28" t="s">
        <v>355</v>
      </c>
      <c r="H116" s="29">
        <v>0.778</v>
      </c>
      <c r="I116" s="29">
        <v>0.604</v>
      </c>
      <c r="J116" s="29">
        <v>1.0</v>
      </c>
      <c r="K116" s="29">
        <v>1.0</v>
      </c>
      <c r="L116" s="4" t="str">
        <f>IMAGE("https://drive.google.com/uc?export=view&amp;id=1mPD7k07usj6yQnG7Ks-Xu8k6eYsNw5Ie")</f>
        <v/>
      </c>
    </row>
    <row r="117" ht="22.5" customHeight="1">
      <c r="A117" s="4">
        <v>116.0</v>
      </c>
      <c r="B117" s="3" t="s">
        <v>7</v>
      </c>
      <c r="C117" s="3">
        <v>32.0</v>
      </c>
      <c r="D117" s="3">
        <v>5.0</v>
      </c>
      <c r="E117" s="28" t="s">
        <v>151</v>
      </c>
      <c r="F117" s="28" t="s">
        <v>356</v>
      </c>
      <c r="G117" s="28" t="s">
        <v>357</v>
      </c>
      <c r="H117" s="29">
        <v>0.818</v>
      </c>
      <c r="I117" s="29">
        <v>0.888</v>
      </c>
      <c r="J117" s="29">
        <v>1.0</v>
      </c>
      <c r="K117" s="29">
        <v>0.286</v>
      </c>
      <c r="L117" s="4" t="str">
        <f>IMAGE("https://drive.google.com/uc?export=view&amp;id=1DoXIrLCvmLV9Hgm9sZ3V2us7PXdIx18U")</f>
        <v/>
      </c>
    </row>
    <row r="118" ht="22.5" customHeight="1">
      <c r="A118" s="4">
        <v>117.0</v>
      </c>
      <c r="B118" s="3" t="s">
        <v>7</v>
      </c>
      <c r="C118" s="3">
        <v>32.0</v>
      </c>
      <c r="D118" s="3">
        <v>5.0</v>
      </c>
      <c r="E118" s="28" t="s">
        <v>154</v>
      </c>
      <c r="F118" s="28" t="s">
        <v>358</v>
      </c>
      <c r="G118" s="28" t="s">
        <v>359</v>
      </c>
      <c r="H118" s="29">
        <v>1.0</v>
      </c>
      <c r="I118" s="29">
        <v>0.85</v>
      </c>
      <c r="J118" s="29">
        <v>1.0</v>
      </c>
      <c r="K118" s="29">
        <v>0.778</v>
      </c>
      <c r="L118" s="4" t="str">
        <f>IMAGE("https://drive.google.com/uc?export=view&amp;id=1Q1I-UZxDxXVOBcLEPKq6du5xD_RrlndI")</f>
        <v/>
      </c>
    </row>
    <row r="119" ht="22.5" customHeight="1">
      <c r="A119" s="4">
        <v>118.0</v>
      </c>
      <c r="B119" s="3" t="s">
        <v>7</v>
      </c>
      <c r="C119" s="3">
        <v>32.0</v>
      </c>
      <c r="D119" s="3">
        <v>5.0</v>
      </c>
      <c r="E119" s="28" t="s">
        <v>157</v>
      </c>
      <c r="F119" s="28" t="s">
        <v>360</v>
      </c>
      <c r="G119" s="28" t="s">
        <v>361</v>
      </c>
      <c r="H119" s="29">
        <v>0.692</v>
      </c>
      <c r="I119" s="29">
        <v>0.545</v>
      </c>
      <c r="J119" s="29">
        <v>0.417</v>
      </c>
      <c r="K119" s="29">
        <v>0.6</v>
      </c>
      <c r="L119" s="4" t="str">
        <f>IMAGE("https://drive.google.com/uc?export=view&amp;id=124t5vdn3DgTg8Z7XCyM_yV909SyrKZOX")</f>
        <v/>
      </c>
    </row>
    <row r="120" ht="22.5" customHeight="1">
      <c r="A120" s="4">
        <v>119.0</v>
      </c>
      <c r="B120" s="3" t="s">
        <v>7</v>
      </c>
      <c r="C120" s="3">
        <v>32.0</v>
      </c>
      <c r="D120" s="3">
        <v>5.0</v>
      </c>
      <c r="E120" s="28" t="s">
        <v>160</v>
      </c>
      <c r="F120" s="28" t="s">
        <v>362</v>
      </c>
      <c r="G120" s="28" t="s">
        <v>363</v>
      </c>
      <c r="H120" s="29">
        <v>0.857</v>
      </c>
      <c r="I120" s="29">
        <v>0.622</v>
      </c>
      <c r="J120" s="29">
        <v>1.0</v>
      </c>
      <c r="K120" s="29">
        <v>0.833</v>
      </c>
      <c r="L120" s="4" t="str">
        <f>IMAGE("https://drive.google.com/uc?export=view&amp;id=1cC79FVyvXJFSgHmuPaMOXtNmYjLENZQ2")</f>
        <v/>
      </c>
    </row>
    <row r="121" ht="22.5" customHeight="1">
      <c r="A121" s="4">
        <v>120.0</v>
      </c>
      <c r="B121" s="3" t="s">
        <v>7</v>
      </c>
      <c r="C121" s="3">
        <v>32.0</v>
      </c>
      <c r="D121" s="3">
        <v>5.0</v>
      </c>
      <c r="E121" s="28" t="s">
        <v>163</v>
      </c>
      <c r="F121" s="28" t="s">
        <v>364</v>
      </c>
      <c r="G121" s="28" t="s">
        <v>365</v>
      </c>
      <c r="H121" s="29">
        <v>0.273</v>
      </c>
      <c r="I121" s="29">
        <v>0.0</v>
      </c>
      <c r="J121" s="29">
        <v>1.0</v>
      </c>
      <c r="K121" s="29">
        <v>0.615</v>
      </c>
      <c r="L121" s="4" t="str">
        <f>IMAGE("https://drive.google.com/uc?export=view&amp;id=1mItI59gVOLOgtLGxMD11cWZA_j0piUYB")</f>
        <v/>
      </c>
    </row>
    <row r="122" ht="22.5" customHeight="1">
      <c r="A122" s="4">
        <v>121.0</v>
      </c>
      <c r="B122" s="3" t="s">
        <v>7</v>
      </c>
      <c r="C122" s="3">
        <v>32.0</v>
      </c>
      <c r="D122" s="3">
        <v>5.0</v>
      </c>
      <c r="E122" s="28" t="s">
        <v>166</v>
      </c>
      <c r="F122" s="28" t="s">
        <v>366</v>
      </c>
      <c r="G122" s="28" t="s">
        <v>367</v>
      </c>
      <c r="H122" s="29">
        <v>0.0</v>
      </c>
      <c r="I122" s="29">
        <v>1.0</v>
      </c>
      <c r="J122" s="29">
        <v>0.804</v>
      </c>
      <c r="K122" s="29">
        <v>0.286</v>
      </c>
      <c r="L122" s="4" t="str">
        <f>IMAGE("https://drive.google.com/uc?export=view&amp;id=14lsk2KNg73_3GkKw39eoe7HfNrk43v2g")</f>
        <v/>
      </c>
    </row>
    <row r="123" ht="22.5" customHeight="1">
      <c r="A123" s="4">
        <v>122.0</v>
      </c>
      <c r="B123" s="3" t="s">
        <v>7</v>
      </c>
      <c r="C123" s="3">
        <v>32.0</v>
      </c>
      <c r="D123" s="3">
        <v>5.0</v>
      </c>
      <c r="E123" s="28" t="s">
        <v>368</v>
      </c>
      <c r="F123" s="28" t="s">
        <v>369</v>
      </c>
      <c r="G123" s="28" t="s">
        <v>370</v>
      </c>
      <c r="H123" s="29">
        <v>0.63</v>
      </c>
      <c r="I123" s="29">
        <v>0.726</v>
      </c>
      <c r="J123" s="29">
        <v>1.0</v>
      </c>
      <c r="K123" s="29">
        <v>1.0</v>
      </c>
      <c r="L123" s="4" t="str">
        <f>IMAGE("https://drive.google.com/uc?export=view&amp;id=1cBGz8B2chaBWft2hCRX-HZcXUeTUHQmV")</f>
        <v/>
      </c>
    </row>
    <row r="124" ht="22.5" customHeight="1">
      <c r="A124" s="4">
        <v>123.0</v>
      </c>
      <c r="B124" s="3" t="s">
        <v>7</v>
      </c>
      <c r="C124" s="3">
        <v>32.0</v>
      </c>
      <c r="D124" s="3">
        <v>5.0</v>
      </c>
      <c r="E124" s="28" t="s">
        <v>172</v>
      </c>
      <c r="F124" s="28" t="s">
        <v>371</v>
      </c>
      <c r="G124" s="28" t="s">
        <v>372</v>
      </c>
      <c r="H124" s="29">
        <v>0.4</v>
      </c>
      <c r="I124" s="29">
        <v>0.916</v>
      </c>
      <c r="J124" s="29">
        <v>0.417</v>
      </c>
      <c r="K124" s="29">
        <v>0.0</v>
      </c>
      <c r="L124" s="4" t="str">
        <f>IMAGE("https://drive.google.com/uc?export=view&amp;id=1z0NAJ-4h1SX_jlFYG9monzn7MY7Lz1Kh")</f>
        <v/>
      </c>
    </row>
    <row r="125" ht="22.5" customHeight="1">
      <c r="A125" s="4">
        <v>124.0</v>
      </c>
      <c r="B125" s="3" t="s">
        <v>7</v>
      </c>
      <c r="C125" s="3">
        <v>32.0</v>
      </c>
      <c r="D125" s="3">
        <v>5.0</v>
      </c>
      <c r="E125" s="28" t="s">
        <v>175</v>
      </c>
      <c r="F125" s="28" t="s">
        <v>373</v>
      </c>
      <c r="G125" s="28" t="s">
        <v>374</v>
      </c>
      <c r="H125" s="29">
        <v>0.636</v>
      </c>
      <c r="I125" s="29">
        <v>0.879</v>
      </c>
      <c r="J125" s="29">
        <v>0.0</v>
      </c>
      <c r="K125" s="29">
        <v>0.167</v>
      </c>
      <c r="L125" s="4" t="str">
        <f>IMAGE("https://drive.google.com/uc?export=view&amp;id=1jtLRr0XZiUfQQfmZLUX6VRKTVQ4I1QAO")</f>
        <v/>
      </c>
    </row>
    <row r="126" ht="22.5" customHeight="1">
      <c r="A126" s="4">
        <v>125.0</v>
      </c>
      <c r="B126" s="3" t="s">
        <v>7</v>
      </c>
      <c r="C126" s="3">
        <v>32.0</v>
      </c>
      <c r="D126" s="3">
        <v>5.0</v>
      </c>
      <c r="E126" s="28" t="s">
        <v>178</v>
      </c>
      <c r="F126" s="28" t="s">
        <v>375</v>
      </c>
      <c r="G126" s="28" t="s">
        <v>376</v>
      </c>
      <c r="H126" s="29">
        <v>0.875</v>
      </c>
      <c r="I126" s="29">
        <v>0.863</v>
      </c>
      <c r="J126" s="29">
        <v>0.0</v>
      </c>
      <c r="K126" s="29">
        <v>0.167</v>
      </c>
      <c r="L126" s="4" t="str">
        <f>IMAGE("https://drive.google.com/uc?export=view&amp;id=1RUvtDj1VrKCUZKxGOX4DCQlMy3zbzt7W")</f>
        <v/>
      </c>
    </row>
    <row r="127" ht="22.5" customHeight="1">
      <c r="A127" s="4">
        <v>126.0</v>
      </c>
      <c r="B127" s="3" t="s">
        <v>7</v>
      </c>
      <c r="C127" s="3">
        <v>32.0</v>
      </c>
      <c r="D127" s="3">
        <v>5.0</v>
      </c>
      <c r="E127" s="28" t="s">
        <v>181</v>
      </c>
      <c r="F127" s="28" t="s">
        <v>377</v>
      </c>
      <c r="G127" s="28" t="s">
        <v>378</v>
      </c>
      <c r="H127" s="29">
        <v>0.0</v>
      </c>
      <c r="I127" s="29">
        <v>0.78</v>
      </c>
      <c r="J127" s="29">
        <v>0.887</v>
      </c>
      <c r="K127" s="29">
        <v>0.667</v>
      </c>
      <c r="L127" s="4" t="str">
        <f>IMAGE("https://drive.google.com/uc?export=view&amp;id=1m5tI_Rx_x_VeJa5QkzFXwtjlIbBmN_u6")</f>
        <v/>
      </c>
    </row>
    <row r="128" ht="22.5" customHeight="1">
      <c r="A128" s="4">
        <v>127.0</v>
      </c>
      <c r="B128" s="3" t="s">
        <v>7</v>
      </c>
      <c r="C128" s="3">
        <v>32.0</v>
      </c>
      <c r="D128" s="3">
        <v>5.0</v>
      </c>
      <c r="E128" s="28" t="s">
        <v>184</v>
      </c>
      <c r="F128" s="28" t="s">
        <v>379</v>
      </c>
      <c r="G128" s="28" t="s">
        <v>380</v>
      </c>
      <c r="H128" s="29">
        <v>0.0</v>
      </c>
      <c r="I128" s="29">
        <v>0.858</v>
      </c>
      <c r="J128" s="29">
        <v>1.0</v>
      </c>
      <c r="K128" s="29">
        <v>1.0</v>
      </c>
      <c r="L128" s="4" t="str">
        <f>IMAGE("https://drive.google.com/uc?export=view&amp;id=1w-yW5M7tTFt_d6YPCaKeDax99RmzIOBp")</f>
        <v/>
      </c>
    </row>
    <row r="129" ht="22.5" customHeight="1">
      <c r="A129" s="4">
        <v>128.0</v>
      </c>
      <c r="B129" s="3" t="s">
        <v>7</v>
      </c>
      <c r="C129" s="3">
        <v>32.0</v>
      </c>
      <c r="D129" s="3">
        <v>5.0</v>
      </c>
      <c r="E129" s="28" t="s">
        <v>187</v>
      </c>
      <c r="F129" s="28" t="s">
        <v>381</v>
      </c>
      <c r="G129" s="28" t="s">
        <v>382</v>
      </c>
      <c r="H129" s="29">
        <v>0.583</v>
      </c>
      <c r="I129" s="29">
        <v>0.995</v>
      </c>
      <c r="J129" s="29">
        <v>0.25</v>
      </c>
      <c r="K129" s="29">
        <v>1.0</v>
      </c>
      <c r="L129" s="4" t="str">
        <f>IMAGE("https://drive.google.com/uc?export=view&amp;id=1zNAFKZfyo-7kidiOls0hxzRFIxyYxXWX")</f>
        <v/>
      </c>
    </row>
    <row r="130" ht="22.5" customHeight="1">
      <c r="A130" s="4">
        <v>129.0</v>
      </c>
      <c r="B130" s="3" t="s">
        <v>7</v>
      </c>
      <c r="C130" s="3">
        <v>32.0</v>
      </c>
      <c r="D130" s="3">
        <v>5.0</v>
      </c>
      <c r="E130" s="28" t="s">
        <v>190</v>
      </c>
      <c r="F130" s="28" t="s">
        <v>383</v>
      </c>
      <c r="G130" s="28" t="s">
        <v>384</v>
      </c>
      <c r="H130" s="29">
        <v>1.0</v>
      </c>
      <c r="I130" s="29">
        <v>0.801</v>
      </c>
      <c r="J130" s="29">
        <v>1.0</v>
      </c>
      <c r="K130" s="29">
        <v>1.0</v>
      </c>
      <c r="L130" s="4" t="str">
        <f>IMAGE("https://drive.google.com/uc?export=view&amp;id=1Gmhfcfy3Uk8cRx8v28BFdSvnPFlwMW2s")</f>
        <v/>
      </c>
    </row>
    <row r="131" ht="22.5" customHeight="1">
      <c r="A131" s="4">
        <v>130.0</v>
      </c>
      <c r="B131" s="3" t="s">
        <v>7</v>
      </c>
      <c r="C131" s="3">
        <v>32.0</v>
      </c>
      <c r="D131" s="3">
        <v>5.0</v>
      </c>
      <c r="E131" s="28" t="s">
        <v>193</v>
      </c>
      <c r="F131" s="28" t="s">
        <v>385</v>
      </c>
      <c r="G131" s="28" t="s">
        <v>386</v>
      </c>
      <c r="H131" s="29">
        <v>0.75</v>
      </c>
      <c r="I131" s="29">
        <v>0.355</v>
      </c>
      <c r="J131" s="29">
        <v>0.756</v>
      </c>
      <c r="K131" s="29">
        <v>0.0</v>
      </c>
      <c r="L131" s="4" t="str">
        <f>IMAGE("https://drive.google.com/uc?export=view&amp;id=1KHhGJIgz4MS8uevIFowMbewMtXbvQinw")</f>
        <v/>
      </c>
    </row>
    <row r="132" ht="22.5" customHeight="1">
      <c r="A132" s="4">
        <v>131.0</v>
      </c>
      <c r="B132" s="3" t="s">
        <v>7</v>
      </c>
      <c r="C132" s="3">
        <v>32.0</v>
      </c>
      <c r="D132" s="3">
        <v>5.0</v>
      </c>
      <c r="E132" s="28" t="s">
        <v>196</v>
      </c>
      <c r="F132" s="28" t="s">
        <v>387</v>
      </c>
      <c r="G132" s="28" t="s">
        <v>388</v>
      </c>
      <c r="H132" s="29">
        <v>0.875</v>
      </c>
      <c r="I132" s="29">
        <v>0.858</v>
      </c>
      <c r="J132" s="29">
        <v>0.804</v>
      </c>
      <c r="K132" s="29">
        <v>0.833</v>
      </c>
      <c r="L132" s="4" t="str">
        <f>IMAGE("https://drive.google.com/uc?export=view&amp;id=1tUSQ9fS6cfPRrTJ67umaulAnytxdyrz9")</f>
        <v/>
      </c>
    </row>
    <row r="133" ht="22.5" customHeight="1">
      <c r="A133" s="4">
        <v>132.0</v>
      </c>
      <c r="B133" s="3" t="s">
        <v>7</v>
      </c>
      <c r="C133" s="3">
        <v>32.0</v>
      </c>
      <c r="D133" s="3">
        <v>5.0</v>
      </c>
      <c r="E133" s="28" t="s">
        <v>199</v>
      </c>
      <c r="F133" s="28" t="s">
        <v>389</v>
      </c>
      <c r="G133" s="28" t="s">
        <v>390</v>
      </c>
      <c r="H133" s="29">
        <v>0.9</v>
      </c>
      <c r="I133" s="29">
        <v>0.818</v>
      </c>
      <c r="J133" s="29">
        <v>0.5</v>
      </c>
      <c r="K133" s="29">
        <v>1.0</v>
      </c>
      <c r="L133" s="4" t="str">
        <f>IMAGE("https://drive.google.com/uc?export=view&amp;id=1ieaqgOJVRprcUtT1JmjZDZXwY124-WSz")</f>
        <v/>
      </c>
    </row>
    <row r="134" ht="22.5" customHeight="1">
      <c r="A134" s="4">
        <v>133.0</v>
      </c>
      <c r="B134" s="3" t="s">
        <v>7</v>
      </c>
      <c r="C134" s="3">
        <v>32.0</v>
      </c>
      <c r="D134" s="3">
        <v>5.0</v>
      </c>
      <c r="E134" s="28" t="s">
        <v>202</v>
      </c>
      <c r="F134" s="28" t="s">
        <v>391</v>
      </c>
      <c r="G134" s="28" t="s">
        <v>392</v>
      </c>
      <c r="H134" s="29">
        <v>0.0</v>
      </c>
      <c r="I134" s="29">
        <v>0.605</v>
      </c>
      <c r="J134" s="29">
        <v>0.2</v>
      </c>
      <c r="K134" s="29">
        <v>0.0</v>
      </c>
      <c r="L134" s="4" t="str">
        <f>IMAGE("https://drive.google.com/uc?export=view&amp;id=1etAbNDMXiD2umpgDt9PNtoaJRNU0wx0M")</f>
        <v/>
      </c>
    </row>
    <row r="135" ht="22.5" customHeight="1">
      <c r="A135" s="4">
        <v>134.0</v>
      </c>
      <c r="B135" s="3" t="s">
        <v>7</v>
      </c>
      <c r="C135" s="3">
        <v>32.0</v>
      </c>
      <c r="D135" s="3">
        <v>5.0</v>
      </c>
      <c r="E135" s="28" t="s">
        <v>205</v>
      </c>
      <c r="F135" s="28" t="s">
        <v>393</v>
      </c>
      <c r="G135" s="28" t="s">
        <v>394</v>
      </c>
      <c r="H135" s="29">
        <v>0.185</v>
      </c>
      <c r="I135" s="29">
        <v>1.0</v>
      </c>
      <c r="J135" s="29">
        <v>0.589</v>
      </c>
      <c r="K135" s="29">
        <v>1.0</v>
      </c>
      <c r="L135" s="4" t="str">
        <f>IMAGE("https://drive.google.com/uc?export=view&amp;id=110hcnzDfnAlNZLnktHoPK6_ntO7qTmwR")</f>
        <v/>
      </c>
    </row>
    <row r="136" ht="22.5" customHeight="1">
      <c r="A136" s="4">
        <v>135.0</v>
      </c>
      <c r="B136" s="3" t="s">
        <v>7</v>
      </c>
      <c r="C136" s="3">
        <v>32.0</v>
      </c>
      <c r="D136" s="3">
        <v>5.0</v>
      </c>
      <c r="E136" s="28" t="s">
        <v>208</v>
      </c>
      <c r="F136" s="28" t="s">
        <v>395</v>
      </c>
      <c r="G136" s="28" t="s">
        <v>396</v>
      </c>
      <c r="H136" s="29">
        <v>0.818</v>
      </c>
      <c r="I136" s="29">
        <v>0.776</v>
      </c>
      <c r="J136" s="29">
        <v>1.0</v>
      </c>
      <c r="K136" s="29">
        <v>1.0</v>
      </c>
      <c r="L136" s="4" t="str">
        <f>IMAGE("https://drive.google.com/uc?export=view&amp;id=1taTcD9qbrIZRHjNwE6yp6txqX9haRY3y")</f>
        <v/>
      </c>
    </row>
    <row r="137" ht="22.5" customHeight="1">
      <c r="A137" s="4">
        <v>136.0</v>
      </c>
      <c r="B137" s="3" t="s">
        <v>7</v>
      </c>
      <c r="C137" s="3">
        <v>32.0</v>
      </c>
      <c r="D137" s="3">
        <v>5.0</v>
      </c>
      <c r="E137" s="28" t="s">
        <v>211</v>
      </c>
      <c r="F137" s="28" t="s">
        <v>397</v>
      </c>
      <c r="G137" s="28" t="s">
        <v>398</v>
      </c>
      <c r="H137" s="29">
        <v>0.75</v>
      </c>
      <c r="I137" s="29">
        <v>0.926</v>
      </c>
      <c r="J137" s="29">
        <v>0.806</v>
      </c>
      <c r="K137" s="29">
        <v>0.0</v>
      </c>
      <c r="L137" s="4" t="str">
        <f>IMAGE("https://drive.google.com/uc?export=view&amp;id=1CU12nEIpQJR0FWT6Mtix9AdHGeO6d9cj")</f>
        <v/>
      </c>
    </row>
    <row r="138" ht="22.5" customHeight="1">
      <c r="A138" s="4">
        <v>137.0</v>
      </c>
      <c r="B138" s="3" t="s">
        <v>7</v>
      </c>
      <c r="C138" s="3">
        <v>32.0</v>
      </c>
      <c r="D138" s="3">
        <v>5.0</v>
      </c>
      <c r="E138" s="28" t="s">
        <v>214</v>
      </c>
      <c r="F138" s="28" t="s">
        <v>399</v>
      </c>
      <c r="G138" s="28" t="s">
        <v>400</v>
      </c>
      <c r="H138" s="29">
        <v>0.125</v>
      </c>
      <c r="I138" s="29">
        <v>0.759</v>
      </c>
      <c r="J138" s="29">
        <v>0.75</v>
      </c>
      <c r="K138" s="29">
        <v>0.8</v>
      </c>
      <c r="L138" s="4" t="str">
        <f>IMAGE("https://drive.google.com/uc?export=view&amp;id=1czIGWA1-gGTImEZcbyPIjR9NwnSB8hYl")</f>
        <v/>
      </c>
    </row>
    <row r="139" ht="22.5" customHeight="1">
      <c r="A139" s="4">
        <v>138.0</v>
      </c>
      <c r="B139" s="3" t="s">
        <v>7</v>
      </c>
      <c r="C139" s="3">
        <v>32.0</v>
      </c>
      <c r="D139" s="3">
        <v>5.0</v>
      </c>
      <c r="E139" s="28" t="s">
        <v>217</v>
      </c>
      <c r="F139" s="28" t="s">
        <v>401</v>
      </c>
      <c r="G139" s="28" t="s">
        <v>402</v>
      </c>
      <c r="H139" s="29">
        <v>0.6</v>
      </c>
      <c r="I139" s="29">
        <v>0.803</v>
      </c>
      <c r="J139" s="29">
        <v>0.25</v>
      </c>
      <c r="K139" s="29">
        <v>0.0</v>
      </c>
      <c r="L139" s="4" t="str">
        <f>IMAGE("https://drive.google.com/uc?export=view&amp;id=1nPdoHIwqAgt0Dkyh5Pdufi-Tlu7vWX9M")</f>
        <v/>
      </c>
    </row>
    <row r="140" ht="22.5" customHeight="1">
      <c r="A140" s="4">
        <v>139.0</v>
      </c>
      <c r="B140" s="3" t="s">
        <v>7</v>
      </c>
      <c r="C140" s="3">
        <v>32.0</v>
      </c>
      <c r="D140" s="3">
        <v>5.0</v>
      </c>
      <c r="E140" s="28" t="s">
        <v>220</v>
      </c>
      <c r="F140" s="28" t="s">
        <v>403</v>
      </c>
      <c r="G140" s="28" t="s">
        <v>404</v>
      </c>
      <c r="H140" s="29">
        <v>0.25</v>
      </c>
      <c r="I140" s="29">
        <v>0.739</v>
      </c>
      <c r="J140" s="29">
        <v>0.917</v>
      </c>
      <c r="K140" s="29">
        <v>1.0</v>
      </c>
      <c r="L140" s="4" t="str">
        <f>IMAGE("https://drive.google.com/uc?export=view&amp;id=1OOJe90rWW5O-HPgQDQ_2e1qGZ4lf16Ag")</f>
        <v/>
      </c>
    </row>
    <row r="141" ht="22.5" customHeight="1">
      <c r="A141" s="4">
        <v>140.0</v>
      </c>
      <c r="B141" s="3" t="s">
        <v>7</v>
      </c>
      <c r="C141" s="3">
        <v>32.0</v>
      </c>
      <c r="D141" s="3">
        <v>5.0</v>
      </c>
      <c r="E141" s="28" t="s">
        <v>223</v>
      </c>
      <c r="F141" s="28" t="s">
        <v>405</v>
      </c>
      <c r="G141" s="28" t="s">
        <v>406</v>
      </c>
      <c r="H141" s="29">
        <v>0.929</v>
      </c>
      <c r="I141" s="29">
        <v>0.687</v>
      </c>
      <c r="J141" s="29">
        <v>0.95</v>
      </c>
      <c r="K141" s="29">
        <v>1.0</v>
      </c>
      <c r="L141" s="4" t="str">
        <f>IMAGE("https://drive.google.com/uc?export=view&amp;id=1chgEYHz3habrp3V5cS6YCgKuy8LFVrB8")</f>
        <v/>
      </c>
    </row>
    <row r="142" ht="22.5" customHeight="1">
      <c r="A142" s="4">
        <v>141.0</v>
      </c>
      <c r="B142" s="3" t="s">
        <v>7</v>
      </c>
      <c r="C142" s="3">
        <v>32.0</v>
      </c>
      <c r="D142" s="3">
        <v>5.0</v>
      </c>
      <c r="E142" s="28" t="s">
        <v>226</v>
      </c>
      <c r="F142" s="28" t="s">
        <v>407</v>
      </c>
      <c r="G142" s="28" t="s">
        <v>408</v>
      </c>
      <c r="H142" s="29">
        <v>0.688</v>
      </c>
      <c r="I142" s="29">
        <v>0.0</v>
      </c>
      <c r="J142" s="29">
        <v>0.0</v>
      </c>
      <c r="K142" s="29">
        <v>0.857</v>
      </c>
      <c r="L142" s="4" t="str">
        <f>IMAGE("https://drive.google.com/uc?export=view&amp;id=1NVGwi4LcH-kUYM6bO5eN77prLRNj-bkb")</f>
        <v/>
      </c>
    </row>
    <row r="143" ht="22.5" customHeight="1">
      <c r="A143" s="4">
        <v>142.0</v>
      </c>
      <c r="B143" s="3" t="s">
        <v>7</v>
      </c>
      <c r="C143" s="3">
        <v>32.0</v>
      </c>
      <c r="D143" s="3">
        <v>5.0</v>
      </c>
      <c r="E143" s="28" t="s">
        <v>229</v>
      </c>
      <c r="F143" s="28" t="s">
        <v>409</v>
      </c>
      <c r="G143" s="28" t="s">
        <v>410</v>
      </c>
      <c r="H143" s="29">
        <v>0.429</v>
      </c>
      <c r="I143" s="29">
        <v>0.993</v>
      </c>
      <c r="J143" s="29">
        <v>0.679</v>
      </c>
      <c r="K143" s="29">
        <v>1.0</v>
      </c>
      <c r="L143" s="4" t="str">
        <f>IMAGE("https://drive.google.com/uc?export=view&amp;id=1nJnjDXslP2iokBKFIZ9lEa5QRAuIIAu2")</f>
        <v/>
      </c>
    </row>
    <row r="144" ht="22.5" customHeight="1">
      <c r="A144" s="4">
        <v>143.0</v>
      </c>
      <c r="B144" s="3" t="s">
        <v>7</v>
      </c>
      <c r="C144" s="3">
        <v>32.0</v>
      </c>
      <c r="D144" s="3">
        <v>5.0</v>
      </c>
      <c r="E144" s="28" t="s">
        <v>232</v>
      </c>
      <c r="F144" s="28" t="s">
        <v>411</v>
      </c>
      <c r="G144" s="28" t="s">
        <v>412</v>
      </c>
      <c r="H144" s="29">
        <v>0.333</v>
      </c>
      <c r="I144" s="29">
        <v>0.797</v>
      </c>
      <c r="J144" s="29">
        <v>0.639</v>
      </c>
      <c r="K144" s="29">
        <v>0.857</v>
      </c>
      <c r="L144" s="4" t="str">
        <f>IMAGE("https://drive.google.com/uc?export=view&amp;id=1wOYTn87JYUUFUKaNzT3bauycnFWwhdam")</f>
        <v/>
      </c>
    </row>
    <row r="145" ht="22.5" customHeight="1">
      <c r="A145" s="4">
        <v>144.0</v>
      </c>
      <c r="B145" s="3" t="s">
        <v>7</v>
      </c>
      <c r="C145" s="3">
        <v>32.0</v>
      </c>
      <c r="D145" s="3">
        <v>5.0</v>
      </c>
      <c r="E145" s="28" t="s">
        <v>235</v>
      </c>
      <c r="F145" s="28" t="s">
        <v>413</v>
      </c>
      <c r="G145" s="28" t="s">
        <v>414</v>
      </c>
      <c r="H145" s="29">
        <v>0.455</v>
      </c>
      <c r="I145" s="29">
        <v>0.979</v>
      </c>
      <c r="J145" s="29">
        <v>1.0</v>
      </c>
      <c r="K145" s="29">
        <v>1.0</v>
      </c>
      <c r="L145" s="4" t="str">
        <f>IMAGE("https://drive.google.com/uc?export=view&amp;id=1jutMsTAqzpNoo-eEZ-ze8NCgrS3vNeic")</f>
        <v/>
      </c>
    </row>
    <row r="146" ht="22.5" customHeight="1">
      <c r="A146" s="4">
        <v>145.0</v>
      </c>
      <c r="B146" s="3" t="s">
        <v>7</v>
      </c>
      <c r="C146" s="3">
        <v>32.0</v>
      </c>
      <c r="D146" s="3">
        <v>5.0</v>
      </c>
      <c r="E146" s="28" t="s">
        <v>238</v>
      </c>
      <c r="F146" s="28" t="s">
        <v>415</v>
      </c>
      <c r="G146" s="28" t="s">
        <v>416</v>
      </c>
      <c r="H146" s="29">
        <v>0.7</v>
      </c>
      <c r="I146" s="29">
        <v>0.423</v>
      </c>
      <c r="J146" s="29">
        <v>0.45</v>
      </c>
      <c r="K146" s="29">
        <v>0.75</v>
      </c>
      <c r="L146" s="4" t="str">
        <f>IMAGE("https://drive.google.com/uc?export=view&amp;id=16wf5d5BtxU6rL-l-0l_koQjfeitSVVSU")</f>
        <v/>
      </c>
    </row>
    <row r="147" ht="22.5" customHeight="1">
      <c r="A147" s="4">
        <v>146.0</v>
      </c>
      <c r="B147" s="3" t="s">
        <v>7</v>
      </c>
      <c r="C147" s="3">
        <v>32.0</v>
      </c>
      <c r="D147" s="3">
        <v>5.0</v>
      </c>
      <c r="E147" s="28" t="s">
        <v>241</v>
      </c>
      <c r="F147" s="28" t="s">
        <v>417</v>
      </c>
      <c r="G147" s="28" t="s">
        <v>418</v>
      </c>
      <c r="H147" s="29">
        <v>0.429</v>
      </c>
      <c r="I147" s="29">
        <v>0.979</v>
      </c>
      <c r="J147" s="29">
        <v>0.25</v>
      </c>
      <c r="K147" s="29">
        <v>1.0</v>
      </c>
      <c r="L147" s="4" t="str">
        <f>IMAGE("https://drive.google.com/uc?export=view&amp;id=1MgXllcL1Rlw0ToqHx5R9prTRBlLhT_wm")</f>
        <v/>
      </c>
    </row>
    <row r="148" ht="22.5" customHeight="1">
      <c r="A148" s="4">
        <v>147.0</v>
      </c>
      <c r="B148" s="3" t="s">
        <v>7</v>
      </c>
      <c r="C148" s="3">
        <v>32.0</v>
      </c>
      <c r="D148" s="3">
        <v>5.0</v>
      </c>
      <c r="E148" s="28" t="s">
        <v>244</v>
      </c>
      <c r="F148" s="28" t="s">
        <v>419</v>
      </c>
      <c r="G148" s="28" t="s">
        <v>420</v>
      </c>
      <c r="H148" s="29">
        <v>0.769</v>
      </c>
      <c r="I148" s="29">
        <v>0.856</v>
      </c>
      <c r="J148" s="29">
        <v>0.2</v>
      </c>
      <c r="K148" s="29">
        <v>0.8</v>
      </c>
      <c r="L148" s="4" t="str">
        <f>IMAGE("https://drive.google.com/uc?export=view&amp;id=1-BhZxCVE4djdk_KDR3mAjfgagA82ShVx")</f>
        <v/>
      </c>
    </row>
    <row r="149" ht="22.5" customHeight="1">
      <c r="A149" s="4">
        <v>148.0</v>
      </c>
      <c r="B149" s="3" t="s">
        <v>7</v>
      </c>
      <c r="C149" s="3">
        <v>32.0</v>
      </c>
      <c r="D149" s="3">
        <v>5.0</v>
      </c>
      <c r="E149" s="28" t="s">
        <v>247</v>
      </c>
      <c r="F149" s="28" t="s">
        <v>421</v>
      </c>
      <c r="G149" s="28" t="s">
        <v>422</v>
      </c>
      <c r="H149" s="29">
        <v>0.778</v>
      </c>
      <c r="I149" s="29">
        <v>0.0</v>
      </c>
      <c r="J149" s="29">
        <v>0.2</v>
      </c>
      <c r="K149" s="29">
        <v>0.4</v>
      </c>
      <c r="L149" s="4" t="str">
        <f>IMAGE("https://drive.google.com/uc?export=view&amp;id=1IRqwZCZlJsCGG-MuowdYPDHXw_dxGrk1")</f>
        <v/>
      </c>
    </row>
    <row r="150" ht="22.5" customHeight="1">
      <c r="A150" s="4">
        <v>149.0</v>
      </c>
      <c r="B150" s="3" t="s">
        <v>7</v>
      </c>
      <c r="C150" s="3">
        <v>32.0</v>
      </c>
      <c r="D150" s="3">
        <v>5.0</v>
      </c>
      <c r="E150" s="28" t="s">
        <v>250</v>
      </c>
      <c r="F150" s="28" t="s">
        <v>423</v>
      </c>
      <c r="G150" s="28" t="s">
        <v>424</v>
      </c>
      <c r="H150" s="29">
        <v>0.81</v>
      </c>
      <c r="I150" s="29">
        <v>0.893</v>
      </c>
      <c r="J150" s="29">
        <v>0.333</v>
      </c>
      <c r="K150" s="29">
        <v>0.286</v>
      </c>
      <c r="L150" s="4" t="str">
        <f>IMAGE("https://drive.google.com/uc?export=view&amp;id=1pFGj-VUAJ8Mld6_xBKpDf7tS0rIppVk1")</f>
        <v/>
      </c>
    </row>
    <row r="151" ht="22.5" customHeight="1">
      <c r="A151" s="4">
        <v>150.0</v>
      </c>
      <c r="B151" s="3" t="s">
        <v>7</v>
      </c>
      <c r="C151" s="3">
        <v>32.0</v>
      </c>
      <c r="D151" s="3">
        <v>5.0</v>
      </c>
      <c r="E151" s="28" t="s">
        <v>253</v>
      </c>
      <c r="F151" s="28" t="s">
        <v>425</v>
      </c>
      <c r="G151" s="28" t="s">
        <v>426</v>
      </c>
      <c r="H151" s="29">
        <v>0.7</v>
      </c>
      <c r="I151" s="29">
        <v>0.94</v>
      </c>
      <c r="J151" s="29">
        <v>1.0</v>
      </c>
      <c r="K151" s="29">
        <v>0.75</v>
      </c>
      <c r="L151" s="4" t="str">
        <f>IMAGE("https://drive.google.com/uc?export=view&amp;id=1-dnMMseIr_u7PTtwM49mU2yVqCTmqFXc")</f>
        <v/>
      </c>
    </row>
    <row r="152" ht="22.5" customHeight="1">
      <c r="A152" s="4">
        <v>151.0</v>
      </c>
      <c r="B152" s="3" t="s">
        <v>7</v>
      </c>
      <c r="C152" s="3">
        <v>32.0</v>
      </c>
      <c r="D152" s="3">
        <v>5.0</v>
      </c>
      <c r="E152" s="28" t="s">
        <v>256</v>
      </c>
      <c r="F152" s="28" t="s">
        <v>427</v>
      </c>
      <c r="G152" s="28" t="s">
        <v>428</v>
      </c>
      <c r="H152" s="29">
        <v>0.75</v>
      </c>
      <c r="I152" s="29">
        <v>0.814</v>
      </c>
      <c r="J152" s="29">
        <v>0.333</v>
      </c>
      <c r="K152" s="29">
        <v>0.6</v>
      </c>
      <c r="L152" s="4" t="str">
        <f>IMAGE("https://drive.google.com/uc?export=view&amp;id=1A9p8dTF-4HRqa2ELr6vTmd3uEjYhCs5W")</f>
        <v/>
      </c>
    </row>
    <row r="153" ht="22.5" customHeight="1">
      <c r="A153" s="4">
        <v>152.0</v>
      </c>
      <c r="B153" s="3" t="s">
        <v>7</v>
      </c>
      <c r="C153" s="3">
        <v>32.0</v>
      </c>
      <c r="D153" s="3">
        <v>5.0</v>
      </c>
      <c r="E153" s="28" t="s">
        <v>259</v>
      </c>
      <c r="F153" s="28" t="s">
        <v>429</v>
      </c>
      <c r="G153" s="28" t="s">
        <v>430</v>
      </c>
      <c r="H153" s="29">
        <v>0.857</v>
      </c>
      <c r="I153" s="29">
        <v>0.972</v>
      </c>
      <c r="J153" s="29">
        <v>0.478</v>
      </c>
      <c r="K153" s="29">
        <v>1.0</v>
      </c>
      <c r="L153" s="4" t="str">
        <f>IMAGE("https://drive.google.com/uc?export=view&amp;id=1IMUMKO6FXST5AlMc7r88iDbauaiCOtym")</f>
        <v/>
      </c>
    </row>
    <row r="154" ht="22.5" customHeight="1">
      <c r="A154" s="4">
        <v>153.0</v>
      </c>
      <c r="B154" s="3" t="s">
        <v>7</v>
      </c>
      <c r="C154" s="3">
        <v>32.0</v>
      </c>
      <c r="D154" s="3">
        <v>5.0</v>
      </c>
      <c r="E154" s="28" t="s">
        <v>262</v>
      </c>
      <c r="F154" s="28" t="s">
        <v>431</v>
      </c>
      <c r="G154" s="28" t="s">
        <v>432</v>
      </c>
      <c r="H154" s="29">
        <v>0.556</v>
      </c>
      <c r="I154" s="29">
        <v>1.0</v>
      </c>
      <c r="J154" s="29">
        <v>0.833</v>
      </c>
      <c r="K154" s="29">
        <v>0.2</v>
      </c>
      <c r="L154" s="4" t="str">
        <f>IMAGE("https://drive.google.com/uc?export=view&amp;id=1VzRs9h_xxQ_XLizWkrtlgTCwttdo_p-j")</f>
        <v/>
      </c>
    </row>
    <row r="155" ht="22.5" customHeight="1">
      <c r="A155" s="4">
        <v>154.0</v>
      </c>
      <c r="B155" s="3" t="s">
        <v>7</v>
      </c>
      <c r="C155" s="3">
        <v>32.0</v>
      </c>
      <c r="D155" s="3">
        <v>5.0</v>
      </c>
      <c r="E155" s="28" t="s">
        <v>265</v>
      </c>
      <c r="F155" s="28" t="s">
        <v>433</v>
      </c>
      <c r="G155" s="28" t="s">
        <v>434</v>
      </c>
      <c r="H155" s="29">
        <v>0.273</v>
      </c>
      <c r="I155" s="29">
        <v>0.978</v>
      </c>
      <c r="J155" s="29">
        <v>0.333</v>
      </c>
      <c r="K155" s="29">
        <v>1.0</v>
      </c>
      <c r="L155" s="4" t="str">
        <f>IMAGE("https://drive.google.com/uc?export=view&amp;id=1LGXtdooJvRMT0IPBtwMYB-bcZcMgEZkS")</f>
        <v/>
      </c>
    </row>
    <row r="156" ht="22.5" customHeight="1">
      <c r="A156" s="4">
        <v>155.0</v>
      </c>
      <c r="B156" s="3" t="s">
        <v>7</v>
      </c>
      <c r="C156" s="3">
        <v>32.0</v>
      </c>
      <c r="D156" s="3">
        <v>5.0</v>
      </c>
      <c r="E156" s="28" t="s">
        <v>268</v>
      </c>
      <c r="F156" s="28" t="s">
        <v>435</v>
      </c>
      <c r="G156" s="28" t="s">
        <v>436</v>
      </c>
      <c r="H156" s="29">
        <v>1.0</v>
      </c>
      <c r="I156" s="29">
        <v>0.656</v>
      </c>
      <c r="J156" s="29">
        <v>1.0</v>
      </c>
      <c r="K156" s="29">
        <v>1.0</v>
      </c>
      <c r="L156" s="4" t="str">
        <f>IMAGE("https://drive.google.com/uc?export=view&amp;id=1PnEU0krN8U-fa_Fl3bX7UVdbhuYCv6Gu")</f>
        <v/>
      </c>
    </row>
    <row r="157" ht="22.5" customHeight="1">
      <c r="A157" s="4">
        <v>156.0</v>
      </c>
      <c r="B157" s="3" t="s">
        <v>7</v>
      </c>
      <c r="C157" s="3">
        <v>32.0</v>
      </c>
      <c r="D157" s="3">
        <v>5.0</v>
      </c>
      <c r="E157" s="28" t="s">
        <v>271</v>
      </c>
      <c r="F157" s="28" t="s">
        <v>437</v>
      </c>
      <c r="G157" s="28" t="s">
        <v>438</v>
      </c>
      <c r="H157" s="29">
        <v>0.375</v>
      </c>
      <c r="I157" s="29">
        <v>0.634</v>
      </c>
      <c r="J157" s="29">
        <v>0.867</v>
      </c>
      <c r="K157" s="29">
        <v>1.0</v>
      </c>
      <c r="L157" s="4" t="str">
        <f>IMAGE("https://drive.google.com/uc?export=view&amp;id=1T2zR5pmZsxe1RZLmyrkfEB3aBcawy3oI")</f>
        <v/>
      </c>
    </row>
    <row r="158" ht="22.5" customHeight="1">
      <c r="A158" s="4">
        <v>157.0</v>
      </c>
      <c r="B158" s="3" t="s">
        <v>7</v>
      </c>
      <c r="C158" s="3">
        <v>32.0</v>
      </c>
      <c r="D158" s="3">
        <v>5.0</v>
      </c>
      <c r="E158" s="28" t="s">
        <v>274</v>
      </c>
      <c r="F158" s="28" t="s">
        <v>439</v>
      </c>
      <c r="G158" s="28" t="s">
        <v>440</v>
      </c>
      <c r="H158" s="29">
        <v>0.5</v>
      </c>
      <c r="I158" s="29">
        <v>0.624</v>
      </c>
      <c r="J158" s="29">
        <v>0.0</v>
      </c>
      <c r="K158" s="29">
        <v>1.0</v>
      </c>
      <c r="L158" s="4" t="str">
        <f>IMAGE("https://drive.google.com/uc?export=view&amp;id=11-88rHfUHJjNQ8du6ECMXim2__IiwFhx")</f>
        <v/>
      </c>
    </row>
    <row r="159" ht="22.5" customHeight="1">
      <c r="A159" s="4">
        <v>158.0</v>
      </c>
      <c r="B159" s="3" t="s">
        <v>7</v>
      </c>
      <c r="C159" s="3">
        <v>32.0</v>
      </c>
      <c r="D159" s="3">
        <v>5.0</v>
      </c>
      <c r="E159" s="28" t="s">
        <v>277</v>
      </c>
      <c r="F159" s="28" t="s">
        <v>441</v>
      </c>
      <c r="G159" s="28" t="s">
        <v>442</v>
      </c>
      <c r="H159" s="29">
        <v>0.529</v>
      </c>
      <c r="I159" s="29">
        <v>0.0</v>
      </c>
      <c r="J159" s="29">
        <v>0.0</v>
      </c>
      <c r="K159" s="29">
        <v>0.857</v>
      </c>
      <c r="L159" s="4" t="str">
        <f>IMAGE("https://drive.google.com/uc?export=view&amp;id=1MSEp3uPSvU3_W_ZDN-2TxBdgddTbjAvT")</f>
        <v/>
      </c>
    </row>
    <row r="160" ht="22.5" customHeight="1">
      <c r="A160" s="4">
        <v>159.0</v>
      </c>
      <c r="B160" s="3" t="s">
        <v>7</v>
      </c>
      <c r="C160" s="3">
        <v>32.0</v>
      </c>
      <c r="D160" s="3">
        <v>5.0</v>
      </c>
      <c r="E160" s="28" t="s">
        <v>280</v>
      </c>
      <c r="F160" s="28" t="s">
        <v>443</v>
      </c>
      <c r="G160" s="28" t="s">
        <v>444</v>
      </c>
      <c r="H160" s="29">
        <v>0.2</v>
      </c>
      <c r="I160" s="29">
        <v>0.413</v>
      </c>
      <c r="J160" s="29">
        <v>0.75</v>
      </c>
      <c r="K160" s="29">
        <v>1.0</v>
      </c>
      <c r="L160" s="4" t="str">
        <f>IMAGE("https://drive.google.com/uc?export=view&amp;id=1PCF8Qf_qMKH-lY_ZoYNXIBhEymiP7hlZ")</f>
        <v/>
      </c>
    </row>
    <row r="161" ht="22.5" customHeight="1">
      <c r="A161" s="4">
        <v>160.0</v>
      </c>
      <c r="B161" s="3" t="s">
        <v>7</v>
      </c>
      <c r="C161" s="3">
        <v>32.0</v>
      </c>
      <c r="D161" s="3">
        <v>5.0</v>
      </c>
      <c r="E161" s="28" t="s">
        <v>445</v>
      </c>
      <c r="F161" s="28" t="s">
        <v>446</v>
      </c>
      <c r="G161" s="28" t="s">
        <v>447</v>
      </c>
      <c r="H161" s="29">
        <v>0.556</v>
      </c>
      <c r="I161" s="29">
        <v>0.933</v>
      </c>
      <c r="J161" s="29">
        <v>0.2</v>
      </c>
      <c r="K161" s="29">
        <v>0.75</v>
      </c>
      <c r="L161" s="4" t="str">
        <f>IMAGE("https://drive.google.com/uc?export=view&amp;id=1i_Kl8a2oLDBBOrqNww-Ug_PjmzSURChp")</f>
        <v/>
      </c>
    </row>
    <row r="162" ht="22.5" customHeight="1">
      <c r="A162" s="4">
        <v>161.0</v>
      </c>
      <c r="B162" s="3" t="s">
        <v>7</v>
      </c>
      <c r="C162" s="3">
        <v>64.0</v>
      </c>
      <c r="D162" s="3">
        <v>3.0</v>
      </c>
      <c r="E162" s="5" t="s">
        <v>46</v>
      </c>
      <c r="F162" s="5" t="s">
        <v>448</v>
      </c>
      <c r="G162" s="5" t="s">
        <v>449</v>
      </c>
      <c r="H162" s="27">
        <v>0.1</v>
      </c>
      <c r="I162" s="27">
        <v>0.954</v>
      </c>
      <c r="J162" s="27">
        <v>0.5</v>
      </c>
      <c r="K162" s="27">
        <v>0.4</v>
      </c>
      <c r="L162" s="4" t="str">
        <f>IMAGE("https://drive.google.com/uc?export=view&amp;id=1DEfDbG4XVJYkxlBJNjtYN7otOpWd0iyq")</f>
        <v/>
      </c>
    </row>
    <row r="163" ht="22.5" customHeight="1">
      <c r="A163" s="4">
        <v>162.0</v>
      </c>
      <c r="B163" s="3" t="s">
        <v>7</v>
      </c>
      <c r="C163" s="3">
        <v>64.0</v>
      </c>
      <c r="D163" s="3">
        <v>3.0</v>
      </c>
      <c r="E163" s="5" t="s">
        <v>49</v>
      </c>
      <c r="F163" s="5" t="s">
        <v>450</v>
      </c>
      <c r="G163" s="5" t="s">
        <v>451</v>
      </c>
      <c r="H163" s="27">
        <v>0.417</v>
      </c>
      <c r="I163" s="27">
        <v>0.0</v>
      </c>
      <c r="J163" s="27">
        <v>0.0</v>
      </c>
      <c r="K163" s="27">
        <v>0.833</v>
      </c>
      <c r="L163" s="4" t="str">
        <f>IMAGE("https://drive.google.com/uc?export=view&amp;id=1tch9f8FvuaYTDBlSzTNxLWQjdMhNfIkR")</f>
        <v/>
      </c>
    </row>
    <row r="164" ht="22.5" customHeight="1">
      <c r="A164" s="4">
        <v>163.0</v>
      </c>
      <c r="B164" s="3" t="s">
        <v>7</v>
      </c>
      <c r="C164" s="3">
        <v>64.0</v>
      </c>
      <c r="D164" s="3">
        <v>3.0</v>
      </c>
      <c r="E164" s="5" t="s">
        <v>52</v>
      </c>
      <c r="F164" s="5" t="s">
        <v>452</v>
      </c>
      <c r="G164" s="5" t="s">
        <v>453</v>
      </c>
      <c r="H164" s="27">
        <v>0.667</v>
      </c>
      <c r="I164" s="27">
        <v>0.827</v>
      </c>
      <c r="J164" s="27">
        <v>1.0</v>
      </c>
      <c r="K164" s="27">
        <v>1.0</v>
      </c>
      <c r="L164" s="4" t="str">
        <f>IMAGE("https://drive.google.com/uc?export=view&amp;id=1aHJd0JvroHgkBXqzLDdj2gxrlBomuxAQ")</f>
        <v/>
      </c>
    </row>
    <row r="165" ht="22.5" customHeight="1">
      <c r="A165" s="4">
        <v>164.0</v>
      </c>
      <c r="B165" s="3" t="s">
        <v>7</v>
      </c>
      <c r="C165" s="3">
        <v>64.0</v>
      </c>
      <c r="D165" s="3">
        <v>3.0</v>
      </c>
      <c r="E165" s="5" t="s">
        <v>55</v>
      </c>
      <c r="F165" s="5" t="s">
        <v>454</v>
      </c>
      <c r="G165" s="5" t="s">
        <v>455</v>
      </c>
      <c r="H165" s="27">
        <v>0.0</v>
      </c>
      <c r="I165" s="27">
        <v>1.0</v>
      </c>
      <c r="J165" s="27">
        <v>1.0</v>
      </c>
      <c r="K165" s="27">
        <v>1.0</v>
      </c>
      <c r="L165" s="4" t="str">
        <f>IMAGE("https://drive.google.com/uc?export=view&amp;id=1atKWhFaRGGHJ3YcZ0wZ4tfFQULbhVM9W")</f>
        <v/>
      </c>
    </row>
    <row r="166" ht="22.5" customHeight="1">
      <c r="A166" s="4">
        <v>165.0</v>
      </c>
      <c r="B166" s="3" t="s">
        <v>7</v>
      </c>
      <c r="C166" s="3">
        <v>64.0</v>
      </c>
      <c r="D166" s="3">
        <v>3.0</v>
      </c>
      <c r="E166" s="5" t="s">
        <v>58</v>
      </c>
      <c r="F166" s="5" t="s">
        <v>456</v>
      </c>
      <c r="G166" s="5" t="s">
        <v>457</v>
      </c>
      <c r="H166" s="27">
        <v>0.619</v>
      </c>
      <c r="I166" s="27">
        <v>0.913</v>
      </c>
      <c r="J166" s="27">
        <v>0.833</v>
      </c>
      <c r="K166" s="27">
        <v>1.0</v>
      </c>
      <c r="L166" s="4" t="str">
        <f>IMAGE("https://drive.google.com/uc?export=view&amp;id=1RpJJF75bKT3tiI0CWm9n2c0b1K7hk9No")</f>
        <v/>
      </c>
    </row>
    <row r="167" ht="22.5" customHeight="1">
      <c r="A167" s="4">
        <v>166.0</v>
      </c>
      <c r="B167" s="3" t="s">
        <v>7</v>
      </c>
      <c r="C167" s="3">
        <v>64.0</v>
      </c>
      <c r="D167" s="3">
        <v>3.0</v>
      </c>
      <c r="E167" s="5" t="s">
        <v>61</v>
      </c>
      <c r="F167" s="5" t="s">
        <v>458</v>
      </c>
      <c r="G167" s="5" t="s">
        <v>459</v>
      </c>
      <c r="H167" s="27">
        <v>0.25</v>
      </c>
      <c r="I167" s="27">
        <v>0.976</v>
      </c>
      <c r="J167" s="27">
        <v>0.583</v>
      </c>
      <c r="K167" s="27">
        <v>1.0</v>
      </c>
      <c r="L167" s="4" t="str">
        <f>IMAGE("https://drive.google.com/uc?export=view&amp;id=1vMXfUsLADeGblANglfRJ7FrtIK95K6yv")</f>
        <v/>
      </c>
    </row>
    <row r="168" ht="22.5" customHeight="1">
      <c r="A168" s="4">
        <v>167.0</v>
      </c>
      <c r="B168" s="3" t="s">
        <v>7</v>
      </c>
      <c r="C168" s="3">
        <v>64.0</v>
      </c>
      <c r="D168" s="3">
        <v>3.0</v>
      </c>
      <c r="E168" s="5" t="s">
        <v>64</v>
      </c>
      <c r="F168" s="5" t="s">
        <v>460</v>
      </c>
      <c r="G168" s="5" t="s">
        <v>461</v>
      </c>
      <c r="H168" s="27">
        <v>0.692</v>
      </c>
      <c r="I168" s="27">
        <v>0.894</v>
      </c>
      <c r="J168" s="27">
        <v>0.833</v>
      </c>
      <c r="K168" s="27">
        <v>1.0</v>
      </c>
      <c r="L168" s="4" t="str">
        <f>IMAGE("https://drive.google.com/uc?export=view&amp;id=1t4xHd3g1acsKf7Jz4gnaI8Z9zl4yrLYt")</f>
        <v/>
      </c>
    </row>
    <row r="169" ht="22.5" customHeight="1">
      <c r="A169" s="4">
        <v>168.0</v>
      </c>
      <c r="B169" s="3" t="s">
        <v>7</v>
      </c>
      <c r="C169" s="3">
        <v>64.0</v>
      </c>
      <c r="D169" s="3">
        <v>3.0</v>
      </c>
      <c r="E169" s="5" t="s">
        <v>67</v>
      </c>
      <c r="F169" s="5" t="s">
        <v>462</v>
      </c>
      <c r="G169" s="5" t="s">
        <v>463</v>
      </c>
      <c r="H169" s="27">
        <v>0.643</v>
      </c>
      <c r="I169" s="27">
        <v>0.883</v>
      </c>
      <c r="J169" s="27">
        <v>0.583</v>
      </c>
      <c r="K169" s="27">
        <v>1.0</v>
      </c>
      <c r="L169" s="4" t="str">
        <f>IMAGE("https://drive.google.com/uc?export=view&amp;id=1GkkadjVIhkreCGKawJhYzaOJw70iB_IO")</f>
        <v/>
      </c>
    </row>
    <row r="170" ht="22.5" customHeight="1">
      <c r="A170" s="4">
        <v>169.0</v>
      </c>
      <c r="B170" s="3" t="s">
        <v>7</v>
      </c>
      <c r="C170" s="3">
        <v>64.0</v>
      </c>
      <c r="D170" s="3">
        <v>3.0</v>
      </c>
      <c r="E170" s="5" t="s">
        <v>70</v>
      </c>
      <c r="F170" s="5" t="s">
        <v>464</v>
      </c>
      <c r="G170" s="5" t="s">
        <v>465</v>
      </c>
      <c r="H170" s="27">
        <v>1.0</v>
      </c>
      <c r="I170" s="27">
        <v>0.771</v>
      </c>
      <c r="J170" s="27">
        <v>0.333</v>
      </c>
      <c r="K170" s="27">
        <v>1.0</v>
      </c>
      <c r="L170" s="4" t="str">
        <f>IMAGE("https://drive.google.com/uc?export=view&amp;id=1W2YbFf_nLqiKalWtouv-zgqpAzfk4fRp")</f>
        <v/>
      </c>
    </row>
    <row r="171" ht="22.5" customHeight="1">
      <c r="A171" s="4">
        <v>170.0</v>
      </c>
      <c r="B171" s="3" t="s">
        <v>7</v>
      </c>
      <c r="C171" s="3">
        <v>64.0</v>
      </c>
      <c r="D171" s="3">
        <v>3.0</v>
      </c>
      <c r="E171" s="5" t="s">
        <v>73</v>
      </c>
      <c r="F171" s="5" t="s">
        <v>466</v>
      </c>
      <c r="G171" s="5" t="s">
        <v>467</v>
      </c>
      <c r="H171" s="27">
        <v>0.938</v>
      </c>
      <c r="I171" s="27">
        <v>0.0</v>
      </c>
      <c r="J171" s="27">
        <v>0.0</v>
      </c>
      <c r="K171" s="27">
        <v>1.0</v>
      </c>
      <c r="L171" s="4" t="str">
        <f>IMAGE("https://drive.google.com/uc?export=view&amp;id=1XjLPuKuL3S5cTGECPPpHso7Wi3TeeUt_")</f>
        <v/>
      </c>
    </row>
    <row r="172" ht="22.5" customHeight="1">
      <c r="A172" s="4">
        <v>171.0</v>
      </c>
      <c r="B172" s="3" t="s">
        <v>7</v>
      </c>
      <c r="C172" s="3">
        <v>64.0</v>
      </c>
      <c r="D172" s="3">
        <v>3.0</v>
      </c>
      <c r="E172" s="5" t="s">
        <v>76</v>
      </c>
      <c r="F172" s="5" t="s">
        <v>468</v>
      </c>
      <c r="G172" s="5" t="s">
        <v>469</v>
      </c>
      <c r="H172" s="27">
        <v>0.0</v>
      </c>
      <c r="I172" s="27">
        <v>0.637</v>
      </c>
      <c r="J172" s="27">
        <v>1.0</v>
      </c>
      <c r="K172" s="27">
        <v>0.429</v>
      </c>
      <c r="L172" s="4" t="str">
        <f>IMAGE("https://drive.google.com/uc?export=view&amp;id=11i3k-lCEwRMYBFc7FLPG06fI30ubTQtp")</f>
        <v/>
      </c>
    </row>
    <row r="173" ht="22.5" customHeight="1">
      <c r="A173" s="4">
        <v>172.0</v>
      </c>
      <c r="B173" s="3" t="s">
        <v>7</v>
      </c>
      <c r="C173" s="3">
        <v>64.0</v>
      </c>
      <c r="D173" s="3">
        <v>3.0</v>
      </c>
      <c r="E173" s="5" t="s">
        <v>79</v>
      </c>
      <c r="F173" s="5" t="s">
        <v>470</v>
      </c>
      <c r="G173" s="5" t="s">
        <v>471</v>
      </c>
      <c r="H173" s="27">
        <v>0.778</v>
      </c>
      <c r="I173" s="27">
        <v>1.0</v>
      </c>
      <c r="J173" s="27">
        <v>0.583</v>
      </c>
      <c r="K173" s="27">
        <v>0.0</v>
      </c>
      <c r="L173" s="4" t="str">
        <f>IMAGE("https://drive.google.com/uc?export=view&amp;id=1oBFjaWrs7MtUTyI-l1B7r0ynZcGln8D1")</f>
        <v/>
      </c>
    </row>
    <row r="174" ht="22.5" customHeight="1">
      <c r="A174" s="4">
        <v>173.0</v>
      </c>
      <c r="B174" s="3" t="s">
        <v>7</v>
      </c>
      <c r="C174" s="3">
        <v>64.0</v>
      </c>
      <c r="D174" s="3">
        <v>3.0</v>
      </c>
      <c r="E174" s="5" t="s">
        <v>82</v>
      </c>
      <c r="F174" s="5" t="s">
        <v>472</v>
      </c>
      <c r="G174" s="5" t="s">
        <v>473</v>
      </c>
      <c r="H174" s="27">
        <v>0.286</v>
      </c>
      <c r="I174" s="27">
        <v>0.433</v>
      </c>
      <c r="J174" s="27">
        <v>0.0</v>
      </c>
      <c r="K174" s="27">
        <v>1.0</v>
      </c>
      <c r="L174" s="4" t="str">
        <f>IMAGE("https://drive.google.com/uc?export=view&amp;id=1j--DCe-h-swVJDtRWqzvS-BO1-RRMQaB")</f>
        <v/>
      </c>
    </row>
    <row r="175" ht="22.5" customHeight="1">
      <c r="A175" s="4">
        <v>174.0</v>
      </c>
      <c r="B175" s="3" t="s">
        <v>7</v>
      </c>
      <c r="C175" s="3">
        <v>64.0</v>
      </c>
      <c r="D175" s="3">
        <v>3.0</v>
      </c>
      <c r="E175" s="5" t="s">
        <v>85</v>
      </c>
      <c r="F175" s="5" t="s">
        <v>474</v>
      </c>
      <c r="G175" s="5" t="s">
        <v>475</v>
      </c>
      <c r="H175" s="27">
        <v>0.333</v>
      </c>
      <c r="I175" s="27">
        <v>0.0</v>
      </c>
      <c r="J175" s="27">
        <v>0.0</v>
      </c>
      <c r="K175" s="27">
        <v>0.8</v>
      </c>
      <c r="L175" s="4" t="str">
        <f>IMAGE("https://drive.google.com/uc?export=view&amp;id=1WsWTvGPIDuoTv3JsZ3Oe-_Ml_Nfebc0S")</f>
        <v/>
      </c>
    </row>
    <row r="176" ht="22.5" customHeight="1">
      <c r="A176" s="4">
        <v>175.0</v>
      </c>
      <c r="B176" s="3" t="s">
        <v>7</v>
      </c>
      <c r="C176" s="3">
        <v>64.0</v>
      </c>
      <c r="D176" s="3">
        <v>3.0</v>
      </c>
      <c r="E176" s="5" t="s">
        <v>88</v>
      </c>
      <c r="F176" s="5" t="s">
        <v>476</v>
      </c>
      <c r="G176" s="5" t="s">
        <v>477</v>
      </c>
      <c r="H176" s="27">
        <v>0.917</v>
      </c>
      <c r="I176" s="27">
        <v>0.0</v>
      </c>
      <c r="J176" s="27">
        <v>0.0</v>
      </c>
      <c r="K176" s="27">
        <v>1.0</v>
      </c>
      <c r="L176" s="4" t="str">
        <f>IMAGE("https://drive.google.com/uc?export=view&amp;id=1bj5UGemI-tJOVzGAvNTd03oonKu-Y6cf")</f>
        <v/>
      </c>
    </row>
    <row r="177" ht="22.5" customHeight="1">
      <c r="A177" s="4">
        <v>176.0</v>
      </c>
      <c r="B177" s="3" t="s">
        <v>7</v>
      </c>
      <c r="C177" s="3">
        <v>64.0</v>
      </c>
      <c r="D177" s="3">
        <v>3.0</v>
      </c>
      <c r="E177" s="5" t="s">
        <v>91</v>
      </c>
      <c r="F177" s="5" t="s">
        <v>478</v>
      </c>
      <c r="G177" s="5" t="s">
        <v>479</v>
      </c>
      <c r="H177" s="27">
        <v>1.0</v>
      </c>
      <c r="I177" s="27">
        <v>0.99</v>
      </c>
      <c r="J177" s="27">
        <v>1.0</v>
      </c>
      <c r="K177" s="27">
        <v>0.8</v>
      </c>
      <c r="L177" s="4" t="str">
        <f>IMAGE("https://drive.google.com/uc?export=view&amp;id=1RjR4FCZcKu2eadkOPAriPAt8nBGsGXJt")</f>
        <v/>
      </c>
    </row>
    <row r="178" ht="22.5" customHeight="1">
      <c r="A178" s="4">
        <v>177.0</v>
      </c>
      <c r="B178" s="3" t="s">
        <v>7</v>
      </c>
      <c r="C178" s="3">
        <v>64.0</v>
      </c>
      <c r="D178" s="3">
        <v>3.0</v>
      </c>
      <c r="E178" s="5" t="s">
        <v>94</v>
      </c>
      <c r="F178" s="5" t="s">
        <v>480</v>
      </c>
      <c r="G178" s="5" t="s">
        <v>481</v>
      </c>
      <c r="H178" s="27">
        <v>0.778</v>
      </c>
      <c r="I178" s="27">
        <v>0.574</v>
      </c>
      <c r="J178" s="27">
        <v>0.333</v>
      </c>
      <c r="K178" s="27">
        <v>0.429</v>
      </c>
      <c r="L178" s="4" t="str">
        <f>IMAGE("https://drive.google.com/uc?export=view&amp;id=10hmBcAdT0u1oljul6UPghHqt1xRXXD2R")</f>
        <v/>
      </c>
    </row>
    <row r="179" ht="22.5" customHeight="1">
      <c r="A179" s="4">
        <v>178.0</v>
      </c>
      <c r="B179" s="3" t="s">
        <v>7</v>
      </c>
      <c r="C179" s="3">
        <v>64.0</v>
      </c>
      <c r="D179" s="3">
        <v>3.0</v>
      </c>
      <c r="E179" s="5" t="s">
        <v>97</v>
      </c>
      <c r="F179" s="5" t="s">
        <v>482</v>
      </c>
      <c r="G179" s="5" t="s">
        <v>483</v>
      </c>
      <c r="H179" s="27">
        <v>0.583</v>
      </c>
      <c r="I179" s="27">
        <v>0.78</v>
      </c>
      <c r="J179" s="27">
        <v>0.5</v>
      </c>
      <c r="K179" s="27">
        <v>1.0</v>
      </c>
      <c r="L179" s="4" t="str">
        <f>IMAGE("https://drive.google.com/uc?export=view&amp;id=1FVLLFDUcjiyJeO_ikE3ieAARUAzMdRpl")</f>
        <v/>
      </c>
    </row>
    <row r="180" ht="22.5" customHeight="1">
      <c r="A180" s="4">
        <v>179.0</v>
      </c>
      <c r="B180" s="3" t="s">
        <v>7</v>
      </c>
      <c r="C180" s="3">
        <v>64.0</v>
      </c>
      <c r="D180" s="3">
        <v>3.0</v>
      </c>
      <c r="E180" s="5" t="s">
        <v>100</v>
      </c>
      <c r="F180" s="5" t="s">
        <v>484</v>
      </c>
      <c r="G180" s="5" t="s">
        <v>485</v>
      </c>
      <c r="H180" s="27">
        <v>0.706</v>
      </c>
      <c r="I180" s="27">
        <v>0.788</v>
      </c>
      <c r="J180" s="27">
        <v>0.0</v>
      </c>
      <c r="K180" s="27">
        <v>0.0</v>
      </c>
      <c r="L180" s="4" t="str">
        <f>IMAGE("https://drive.google.com/uc?export=view&amp;id=1WynGiQzbhmS0XlO4G5MVxGZCWopWyQKR")</f>
        <v/>
      </c>
    </row>
    <row r="181" ht="22.5" customHeight="1">
      <c r="A181" s="4">
        <v>180.0</v>
      </c>
      <c r="B181" s="3" t="s">
        <v>7</v>
      </c>
      <c r="C181" s="3">
        <v>64.0</v>
      </c>
      <c r="D181" s="3">
        <v>3.0</v>
      </c>
      <c r="E181" s="5" t="s">
        <v>115</v>
      </c>
      <c r="F181" s="5" t="s">
        <v>486</v>
      </c>
      <c r="G181" s="5" t="s">
        <v>487</v>
      </c>
      <c r="H181" s="27">
        <v>0.5</v>
      </c>
      <c r="I181" s="27">
        <v>0.994</v>
      </c>
      <c r="J181" s="27">
        <v>0.833</v>
      </c>
      <c r="K181" s="27">
        <v>1.0</v>
      </c>
      <c r="L181" s="4" t="str">
        <f>IMAGE("https://drive.google.com/uc?export=view&amp;id=1mwuz9XqEudAwFjLZzzhVjQOZiPt5Szm-")</f>
        <v/>
      </c>
    </row>
    <row r="182" ht="22.5" customHeight="1">
      <c r="A182" s="4">
        <v>181.0</v>
      </c>
      <c r="B182" s="3" t="s">
        <v>7</v>
      </c>
      <c r="C182" s="3">
        <v>64.0</v>
      </c>
      <c r="D182" s="3">
        <v>3.0</v>
      </c>
      <c r="E182" s="5" t="s">
        <v>103</v>
      </c>
      <c r="F182" s="5" t="s">
        <v>488</v>
      </c>
      <c r="G182" s="5" t="s">
        <v>489</v>
      </c>
      <c r="H182" s="27">
        <v>0.833</v>
      </c>
      <c r="I182" s="27">
        <v>0.987</v>
      </c>
      <c r="J182" s="27">
        <v>1.0</v>
      </c>
      <c r="K182" s="27">
        <v>1.0</v>
      </c>
      <c r="L182" s="4" t="str">
        <f>IMAGE("https://drive.google.com/uc?export=view&amp;id=1Xw6tQiBHp9oI3aFe7C6F3BP4pTSRF9oP")</f>
        <v/>
      </c>
    </row>
    <row r="183" ht="22.5" customHeight="1">
      <c r="A183" s="4">
        <v>182.0</v>
      </c>
      <c r="B183" s="3" t="s">
        <v>7</v>
      </c>
      <c r="C183" s="3">
        <v>64.0</v>
      </c>
      <c r="D183" s="3">
        <v>3.0</v>
      </c>
      <c r="E183" s="5" t="s">
        <v>106</v>
      </c>
      <c r="F183" s="5" t="s">
        <v>490</v>
      </c>
      <c r="G183" s="5" t="s">
        <v>491</v>
      </c>
      <c r="H183" s="27">
        <v>0.5</v>
      </c>
      <c r="I183" s="27">
        <v>0.0</v>
      </c>
      <c r="J183" s="27">
        <v>0.0</v>
      </c>
      <c r="K183" s="27">
        <v>0.8</v>
      </c>
      <c r="L183" s="4" t="str">
        <f>IMAGE("https://drive.google.com/uc?export=view&amp;id=1hxS87Nvjd4DyqiSIZjsS17Dh78PdXEiP")</f>
        <v/>
      </c>
    </row>
    <row r="184" ht="22.5" customHeight="1">
      <c r="A184" s="4">
        <v>183.0</v>
      </c>
      <c r="B184" s="3" t="s">
        <v>7</v>
      </c>
      <c r="C184" s="3">
        <v>64.0</v>
      </c>
      <c r="D184" s="3">
        <v>3.0</v>
      </c>
      <c r="E184" s="5" t="s">
        <v>109</v>
      </c>
      <c r="F184" s="5" t="s">
        <v>492</v>
      </c>
      <c r="G184" s="5" t="s">
        <v>493</v>
      </c>
      <c r="H184" s="27">
        <v>0.727</v>
      </c>
      <c r="I184" s="27">
        <v>0.589</v>
      </c>
      <c r="J184" s="27">
        <v>1.0</v>
      </c>
      <c r="K184" s="27">
        <v>1.0</v>
      </c>
      <c r="L184" s="4" t="str">
        <f>IMAGE("https://drive.google.com/uc?export=view&amp;id=1WDwf-JowXIO-_UT-W7kxp6_X20_W0FMs")</f>
        <v/>
      </c>
    </row>
    <row r="185" ht="22.5" customHeight="1">
      <c r="A185" s="4">
        <v>184.0</v>
      </c>
      <c r="B185" s="3" t="s">
        <v>7</v>
      </c>
      <c r="C185" s="3">
        <v>64.0</v>
      </c>
      <c r="D185" s="3">
        <v>3.0</v>
      </c>
      <c r="E185" s="5" t="s">
        <v>112</v>
      </c>
      <c r="F185" s="5" t="s">
        <v>494</v>
      </c>
      <c r="G185" s="5" t="s">
        <v>495</v>
      </c>
      <c r="H185" s="27">
        <v>0.273</v>
      </c>
      <c r="I185" s="27">
        <v>0.947</v>
      </c>
      <c r="J185" s="27">
        <v>1.0</v>
      </c>
      <c r="K185" s="27">
        <v>0.8</v>
      </c>
      <c r="L185" s="4" t="str">
        <f>IMAGE("https://drive.google.com/uc?export=view&amp;id=1P6hWtVBv7waQe6dP9q67ES_fXzPbFBoI")</f>
        <v/>
      </c>
    </row>
    <row r="186" ht="22.5" customHeight="1">
      <c r="A186" s="4">
        <v>185.0</v>
      </c>
      <c r="B186" s="3" t="s">
        <v>7</v>
      </c>
      <c r="C186" s="3">
        <v>64.0</v>
      </c>
      <c r="D186" s="3">
        <v>3.0</v>
      </c>
      <c r="E186" s="5" t="s">
        <v>118</v>
      </c>
      <c r="F186" s="5" t="s">
        <v>496</v>
      </c>
      <c r="G186" s="5" t="s">
        <v>497</v>
      </c>
      <c r="H186" s="27">
        <v>0.333</v>
      </c>
      <c r="I186" s="27">
        <v>0.744</v>
      </c>
      <c r="J186" s="27">
        <v>0.833</v>
      </c>
      <c r="K186" s="27">
        <v>0.75</v>
      </c>
      <c r="L186" s="4" t="str">
        <f>IMAGE("https://drive.google.com/uc?export=view&amp;id=1Kzy1ONISgZzLiAEztBDPmCjVVEsQRExa")</f>
        <v/>
      </c>
    </row>
    <row r="187" ht="22.5" customHeight="1">
      <c r="A187" s="4">
        <v>186.0</v>
      </c>
      <c r="B187" s="3" t="s">
        <v>7</v>
      </c>
      <c r="C187" s="3">
        <v>64.0</v>
      </c>
      <c r="D187" s="3">
        <v>3.0</v>
      </c>
      <c r="E187" s="5" t="s">
        <v>121</v>
      </c>
      <c r="F187" s="5" t="s">
        <v>498</v>
      </c>
      <c r="G187" s="5" t="s">
        <v>499</v>
      </c>
      <c r="H187" s="27">
        <v>0.667</v>
      </c>
      <c r="I187" s="27">
        <v>0.0</v>
      </c>
      <c r="J187" s="27">
        <v>0.0</v>
      </c>
      <c r="K187" s="27">
        <v>1.0</v>
      </c>
      <c r="L187" s="4" t="str">
        <f>IMAGE("https://drive.google.com/uc?export=view&amp;id=1SPm0-DgPdLm7xOukZzXwwbV3BmuKA2_0")</f>
        <v/>
      </c>
    </row>
    <row r="188" ht="22.5" customHeight="1">
      <c r="A188" s="4">
        <v>187.0</v>
      </c>
      <c r="B188" s="3" t="s">
        <v>7</v>
      </c>
      <c r="C188" s="3">
        <v>64.0</v>
      </c>
      <c r="D188" s="3">
        <v>3.0</v>
      </c>
      <c r="E188" s="5" t="s">
        <v>124</v>
      </c>
      <c r="F188" s="5" t="s">
        <v>500</v>
      </c>
      <c r="G188" s="5" t="s">
        <v>501</v>
      </c>
      <c r="H188" s="27">
        <v>0.643</v>
      </c>
      <c r="I188" s="27">
        <v>0.908</v>
      </c>
      <c r="J188" s="27">
        <v>1.0</v>
      </c>
      <c r="K188" s="27">
        <v>1.0</v>
      </c>
      <c r="L188" s="4" t="str">
        <f>IMAGE("https://drive.google.com/uc?export=view&amp;id=1Nzz8Cp7f2YRTQTI6T-ZhiRpp17w9WqNn")</f>
        <v/>
      </c>
    </row>
    <row r="189" ht="22.5" customHeight="1">
      <c r="A189" s="4">
        <v>188.0</v>
      </c>
      <c r="B189" s="3" t="s">
        <v>7</v>
      </c>
      <c r="C189" s="3">
        <v>64.0</v>
      </c>
      <c r="D189" s="3">
        <v>3.0</v>
      </c>
      <c r="E189" s="5" t="s">
        <v>127</v>
      </c>
      <c r="F189" s="5" t="s">
        <v>502</v>
      </c>
      <c r="G189" s="5" t="s">
        <v>503</v>
      </c>
      <c r="H189" s="27">
        <v>0.692</v>
      </c>
      <c r="I189" s="27">
        <v>0.979</v>
      </c>
      <c r="J189" s="27">
        <v>0.833</v>
      </c>
      <c r="K189" s="27">
        <v>0.75</v>
      </c>
      <c r="L189" s="4" t="str">
        <f>IMAGE("https://drive.google.com/uc?export=view&amp;id=124PnU1DFNugisjpgkhlAHMBqwPXxQsTs")</f>
        <v/>
      </c>
    </row>
    <row r="190" ht="22.5" customHeight="1">
      <c r="A190" s="4">
        <v>189.0</v>
      </c>
      <c r="B190" s="3" t="s">
        <v>7</v>
      </c>
      <c r="C190" s="3">
        <v>64.0</v>
      </c>
      <c r="D190" s="3">
        <v>3.0</v>
      </c>
      <c r="E190" s="5" t="s">
        <v>130</v>
      </c>
      <c r="F190" s="5" t="s">
        <v>504</v>
      </c>
      <c r="G190" s="5" t="s">
        <v>505</v>
      </c>
      <c r="H190" s="27">
        <v>0.143</v>
      </c>
      <c r="I190" s="27">
        <v>0.788</v>
      </c>
      <c r="J190" s="27">
        <v>1.0</v>
      </c>
      <c r="K190" s="27">
        <v>0.429</v>
      </c>
      <c r="L190" s="4" t="str">
        <f>IMAGE("https://drive.google.com/uc?export=view&amp;id=1Rtt77OCKOwgsXxkb4Ig8fiEXNEkQ0Z8v")</f>
        <v/>
      </c>
    </row>
    <row r="191" ht="22.5" customHeight="1">
      <c r="A191" s="4">
        <v>190.0</v>
      </c>
      <c r="B191" s="3" t="s">
        <v>7</v>
      </c>
      <c r="C191" s="3">
        <v>64.0</v>
      </c>
      <c r="D191" s="3">
        <v>3.0</v>
      </c>
      <c r="E191" s="5" t="s">
        <v>133</v>
      </c>
      <c r="F191" s="5" t="s">
        <v>506</v>
      </c>
      <c r="G191" s="5" t="s">
        <v>507</v>
      </c>
      <c r="H191" s="27">
        <v>1.0</v>
      </c>
      <c r="I191" s="27">
        <v>0.0</v>
      </c>
      <c r="J191" s="27">
        <v>0.0</v>
      </c>
      <c r="K191" s="27">
        <v>0.7</v>
      </c>
      <c r="L191" s="4" t="str">
        <f>IMAGE("https://drive.google.com/uc?export=view&amp;id=1FDvfQAovl6ZDBLnvzBBZ3b9Pih9IV-0G")</f>
        <v/>
      </c>
    </row>
    <row r="192" ht="22.5" customHeight="1">
      <c r="A192" s="4">
        <v>191.0</v>
      </c>
      <c r="B192" s="3" t="s">
        <v>7</v>
      </c>
      <c r="C192" s="3">
        <v>64.0</v>
      </c>
      <c r="D192" s="3">
        <v>3.0</v>
      </c>
      <c r="E192" s="5" t="s">
        <v>136</v>
      </c>
      <c r="F192" s="5" t="s">
        <v>508</v>
      </c>
      <c r="G192" s="5" t="s">
        <v>509</v>
      </c>
      <c r="H192" s="27">
        <v>1.0</v>
      </c>
      <c r="I192" s="27">
        <v>0.976</v>
      </c>
      <c r="J192" s="27">
        <v>1.0</v>
      </c>
      <c r="K192" s="27">
        <v>1.0</v>
      </c>
      <c r="L192" s="4" t="str">
        <f>IMAGE("https://drive.google.com/uc?export=view&amp;id=1Og23Mz7qW8gMx2657bUmqMbfM3J5-Kb-")</f>
        <v/>
      </c>
    </row>
    <row r="193" ht="22.5" customHeight="1">
      <c r="A193" s="4">
        <v>192.0</v>
      </c>
      <c r="B193" s="3" t="s">
        <v>7</v>
      </c>
      <c r="C193" s="3">
        <v>64.0</v>
      </c>
      <c r="D193" s="3">
        <v>3.0</v>
      </c>
      <c r="E193" s="5" t="s">
        <v>139</v>
      </c>
      <c r="F193" s="5" t="s">
        <v>510</v>
      </c>
      <c r="G193" s="5" t="s">
        <v>511</v>
      </c>
      <c r="H193" s="27">
        <v>0.583</v>
      </c>
      <c r="I193" s="27">
        <v>1.0</v>
      </c>
      <c r="J193" s="27">
        <v>0.583</v>
      </c>
      <c r="K193" s="27">
        <v>0.0</v>
      </c>
      <c r="L193" s="4" t="str">
        <f>IMAGE("https://drive.google.com/uc?export=view&amp;id=14MMaobSBL0UDVsTQX0Uf9E-poZUdr81m")</f>
        <v/>
      </c>
    </row>
    <row r="194" ht="22.5" customHeight="1">
      <c r="A194" s="4">
        <v>193.0</v>
      </c>
      <c r="B194" s="3" t="s">
        <v>7</v>
      </c>
      <c r="C194" s="3">
        <v>64.0</v>
      </c>
      <c r="D194" s="3">
        <v>3.0</v>
      </c>
      <c r="E194" s="5" t="s">
        <v>142</v>
      </c>
      <c r="F194" s="5" t="s">
        <v>512</v>
      </c>
      <c r="G194" s="5" t="s">
        <v>513</v>
      </c>
      <c r="H194" s="27">
        <v>0.6</v>
      </c>
      <c r="I194" s="27">
        <v>0.0</v>
      </c>
      <c r="J194" s="27">
        <v>0.0</v>
      </c>
      <c r="K194" s="27">
        <v>0.0</v>
      </c>
      <c r="L194" s="4" t="str">
        <f>IMAGE("https://drive.google.com/uc?export=view&amp;id=1mSvyRqpx_CA1Ln_qixFP4dQgNmnDrxC9")</f>
        <v/>
      </c>
    </row>
    <row r="195" ht="22.5" customHeight="1">
      <c r="A195" s="4">
        <v>194.0</v>
      </c>
      <c r="B195" s="3" t="s">
        <v>7</v>
      </c>
      <c r="C195" s="3">
        <v>64.0</v>
      </c>
      <c r="D195" s="3">
        <v>3.0</v>
      </c>
      <c r="E195" s="5" t="s">
        <v>145</v>
      </c>
      <c r="F195" s="5" t="s">
        <v>514</v>
      </c>
      <c r="G195" s="5" t="s">
        <v>515</v>
      </c>
      <c r="H195" s="27">
        <v>1.0</v>
      </c>
      <c r="I195" s="27">
        <v>0.0</v>
      </c>
      <c r="J195" s="27">
        <v>0.0</v>
      </c>
      <c r="K195" s="27">
        <v>0.0</v>
      </c>
      <c r="L195" s="4" t="str">
        <f>IMAGE("https://drive.google.com/uc?export=view&amp;id=1XBtKEsfg4v8VS3m9a0EC2DhYJg_J5rxN")</f>
        <v/>
      </c>
    </row>
    <row r="196" ht="22.5" customHeight="1">
      <c r="A196" s="4">
        <v>195.0</v>
      </c>
      <c r="B196" s="3" t="s">
        <v>7</v>
      </c>
      <c r="C196" s="3">
        <v>64.0</v>
      </c>
      <c r="D196" s="3">
        <v>3.0</v>
      </c>
      <c r="E196" s="5" t="s">
        <v>148</v>
      </c>
      <c r="F196" s="5" t="s">
        <v>516</v>
      </c>
      <c r="G196" s="5" t="s">
        <v>517</v>
      </c>
      <c r="H196" s="27">
        <v>0.625</v>
      </c>
      <c r="I196" s="27">
        <v>0.774</v>
      </c>
      <c r="J196" s="27">
        <v>1.0</v>
      </c>
      <c r="K196" s="27">
        <v>0.429</v>
      </c>
      <c r="L196" s="4" t="str">
        <f>IMAGE("https://drive.google.com/uc?export=view&amp;id=1sxm8T3MCh1Gy231lUQ3Wkzl6ljhxvkqh")</f>
        <v/>
      </c>
    </row>
    <row r="197" ht="22.5" customHeight="1">
      <c r="A197" s="4">
        <v>196.0</v>
      </c>
      <c r="B197" s="3" t="s">
        <v>7</v>
      </c>
      <c r="C197" s="3">
        <v>64.0</v>
      </c>
      <c r="D197" s="3">
        <v>3.0</v>
      </c>
      <c r="E197" s="5" t="s">
        <v>151</v>
      </c>
      <c r="F197" s="5" t="s">
        <v>518</v>
      </c>
      <c r="G197" s="5" t="s">
        <v>519</v>
      </c>
      <c r="H197" s="27">
        <v>0.857</v>
      </c>
      <c r="I197" s="27">
        <v>0.888</v>
      </c>
      <c r="J197" s="27">
        <v>1.0</v>
      </c>
      <c r="K197" s="27">
        <v>0.857</v>
      </c>
      <c r="L197" s="4" t="str">
        <f>IMAGE("https://drive.google.com/uc?export=view&amp;id=1fDrcPiTOrQJSsMhOAzzEOFJp2ETtJ8HQ")</f>
        <v/>
      </c>
    </row>
    <row r="198" ht="22.5" customHeight="1">
      <c r="A198" s="4">
        <v>197.0</v>
      </c>
      <c r="B198" s="3" t="s">
        <v>7</v>
      </c>
      <c r="C198" s="3">
        <v>64.0</v>
      </c>
      <c r="D198" s="3">
        <v>3.0</v>
      </c>
      <c r="E198" s="5" t="s">
        <v>154</v>
      </c>
      <c r="F198" s="5" t="s">
        <v>520</v>
      </c>
      <c r="G198" s="5" t="s">
        <v>521</v>
      </c>
      <c r="H198" s="27">
        <v>0.364</v>
      </c>
      <c r="I198" s="27">
        <v>0.729</v>
      </c>
      <c r="J198" s="27">
        <v>0.583</v>
      </c>
      <c r="K198" s="27">
        <v>0.75</v>
      </c>
      <c r="L198" s="4" t="str">
        <f>IMAGE("https://drive.google.com/uc?export=view&amp;id=1nkA5yveaG1PvyDq7kfmusYdaKKQkaYc6")</f>
        <v/>
      </c>
    </row>
    <row r="199" ht="22.5" customHeight="1">
      <c r="A199" s="4">
        <v>198.0</v>
      </c>
      <c r="B199" s="3" t="s">
        <v>7</v>
      </c>
      <c r="C199" s="3">
        <v>64.0</v>
      </c>
      <c r="D199" s="3">
        <v>3.0</v>
      </c>
      <c r="E199" s="5" t="s">
        <v>157</v>
      </c>
      <c r="F199" s="5" t="s">
        <v>522</v>
      </c>
      <c r="G199" s="5" t="s">
        <v>523</v>
      </c>
      <c r="H199" s="27">
        <v>0.714</v>
      </c>
      <c r="I199" s="27">
        <v>0.0</v>
      </c>
      <c r="J199" s="27">
        <v>1.0</v>
      </c>
      <c r="K199" s="27">
        <v>0.25</v>
      </c>
      <c r="L199" s="4" t="str">
        <f>IMAGE("https://drive.google.com/uc?export=view&amp;id=11FC6iCAtwlus1uiNuhnNizgxBltp4yFb")</f>
        <v/>
      </c>
    </row>
    <row r="200" ht="22.5" customHeight="1">
      <c r="A200" s="4">
        <v>199.0</v>
      </c>
      <c r="B200" s="3" t="s">
        <v>7</v>
      </c>
      <c r="C200" s="3">
        <v>64.0</v>
      </c>
      <c r="D200" s="3">
        <v>3.0</v>
      </c>
      <c r="E200" s="5" t="s">
        <v>160</v>
      </c>
      <c r="F200" s="5" t="s">
        <v>524</v>
      </c>
      <c r="G200" s="5" t="s">
        <v>525</v>
      </c>
      <c r="H200" s="27">
        <v>0.636</v>
      </c>
      <c r="I200" s="27">
        <v>0.727</v>
      </c>
      <c r="J200" s="27">
        <v>1.0</v>
      </c>
      <c r="K200" s="27">
        <v>1.0</v>
      </c>
      <c r="L200" s="4" t="str">
        <f>IMAGE("https://drive.google.com/uc?export=view&amp;id=17UIQHfOwpRfxHC6fJTLGkGqb6bIugDc5")</f>
        <v/>
      </c>
    </row>
    <row r="201" ht="22.5" customHeight="1">
      <c r="A201" s="4">
        <v>200.0</v>
      </c>
      <c r="B201" s="3" t="s">
        <v>7</v>
      </c>
      <c r="C201" s="3">
        <v>64.0</v>
      </c>
      <c r="D201" s="3">
        <v>3.0</v>
      </c>
      <c r="E201" s="5" t="s">
        <v>163</v>
      </c>
      <c r="F201" s="5" t="s">
        <v>526</v>
      </c>
      <c r="G201" s="5" t="s">
        <v>527</v>
      </c>
      <c r="H201" s="27">
        <v>0.571</v>
      </c>
      <c r="I201" s="27">
        <v>0.535</v>
      </c>
      <c r="J201" s="27">
        <v>1.0</v>
      </c>
      <c r="K201" s="27">
        <v>0.857</v>
      </c>
      <c r="L201" s="4" t="str">
        <f>IMAGE("https://drive.google.com/uc?export=view&amp;id=1gkli_4K3ehCTfh5mn3fZIW6Cp3v-8AvC")</f>
        <v/>
      </c>
    </row>
    <row r="202" ht="22.5" customHeight="1">
      <c r="A202" s="4">
        <v>201.0</v>
      </c>
      <c r="B202" s="3" t="s">
        <v>7</v>
      </c>
      <c r="C202" s="3">
        <v>64.0</v>
      </c>
      <c r="D202" s="3">
        <v>3.0</v>
      </c>
      <c r="E202" s="5" t="s">
        <v>166</v>
      </c>
      <c r="F202" s="5" t="s">
        <v>528</v>
      </c>
      <c r="G202" s="5" t="s">
        <v>529</v>
      </c>
      <c r="H202" s="27">
        <v>0.273</v>
      </c>
      <c r="I202" s="27">
        <v>0.935</v>
      </c>
      <c r="J202" s="27">
        <v>0.5</v>
      </c>
      <c r="K202" s="27">
        <v>0.4</v>
      </c>
      <c r="L202" s="4" t="str">
        <f>IMAGE("https://drive.google.com/uc?export=view&amp;id=1lxQfehr7dtP_0GiFboWcfDi_Ca-tEYRy")</f>
        <v/>
      </c>
    </row>
    <row r="203" ht="22.5" customHeight="1">
      <c r="A203" s="4">
        <v>202.0</v>
      </c>
      <c r="B203" s="3" t="s">
        <v>7</v>
      </c>
      <c r="C203" s="3">
        <v>64.0</v>
      </c>
      <c r="D203" s="3">
        <v>3.0</v>
      </c>
      <c r="E203" s="5" t="s">
        <v>169</v>
      </c>
      <c r="F203" s="5" t="s">
        <v>530</v>
      </c>
      <c r="G203" s="5" t="s">
        <v>531</v>
      </c>
      <c r="H203" s="27">
        <v>0.667</v>
      </c>
      <c r="I203" s="27">
        <v>0.693</v>
      </c>
      <c r="J203" s="27">
        <v>0.583</v>
      </c>
      <c r="K203" s="27">
        <v>1.0</v>
      </c>
      <c r="L203" s="4" t="str">
        <f>IMAGE("https://drive.google.com/uc?export=view&amp;id=1MdFSSuRdFNyb9mvIecD0jzNjbuqj5wXH")</f>
        <v/>
      </c>
    </row>
    <row r="204" ht="22.5" customHeight="1">
      <c r="A204" s="4">
        <v>203.0</v>
      </c>
      <c r="B204" s="3" t="s">
        <v>7</v>
      </c>
      <c r="C204" s="3">
        <v>64.0</v>
      </c>
      <c r="D204" s="3">
        <v>3.0</v>
      </c>
      <c r="E204" s="5" t="s">
        <v>172</v>
      </c>
      <c r="F204" s="5" t="s">
        <v>532</v>
      </c>
      <c r="G204" s="5" t="s">
        <v>533</v>
      </c>
      <c r="H204" s="27">
        <v>0.909</v>
      </c>
      <c r="I204" s="27">
        <v>0.911</v>
      </c>
      <c r="J204" s="27">
        <v>0.0</v>
      </c>
      <c r="K204" s="27">
        <v>0.125</v>
      </c>
      <c r="L204" s="4" t="str">
        <f>IMAGE("https://drive.google.com/uc?export=view&amp;id=1s9ayxxQTncVx5teuPv0LxWb8HVk83Ccy")</f>
        <v/>
      </c>
    </row>
    <row r="205" ht="22.5" customHeight="1">
      <c r="A205" s="4">
        <v>204.0</v>
      </c>
      <c r="B205" s="3" t="s">
        <v>7</v>
      </c>
      <c r="C205" s="3">
        <v>64.0</v>
      </c>
      <c r="D205" s="3">
        <v>3.0</v>
      </c>
      <c r="E205" s="5" t="s">
        <v>175</v>
      </c>
      <c r="F205" s="5" t="s">
        <v>534</v>
      </c>
      <c r="G205" s="5" t="s">
        <v>535</v>
      </c>
      <c r="H205" s="27">
        <v>0.091</v>
      </c>
      <c r="I205" s="27">
        <v>0.865</v>
      </c>
      <c r="J205" s="27">
        <v>0.5</v>
      </c>
      <c r="K205" s="27">
        <v>0.286</v>
      </c>
      <c r="L205" s="4" t="str">
        <f>IMAGE("https://drive.google.com/uc?export=view&amp;id=1hYSM3b8MRF9Dnzs_fJGsqipLsD4g2XlN")</f>
        <v/>
      </c>
    </row>
    <row r="206" ht="22.5" customHeight="1">
      <c r="A206" s="4">
        <v>205.0</v>
      </c>
      <c r="B206" s="3" t="s">
        <v>7</v>
      </c>
      <c r="C206" s="3">
        <v>64.0</v>
      </c>
      <c r="D206" s="3">
        <v>3.0</v>
      </c>
      <c r="E206" s="5" t="s">
        <v>178</v>
      </c>
      <c r="F206" s="5" t="s">
        <v>536</v>
      </c>
      <c r="G206" s="5" t="s">
        <v>537</v>
      </c>
      <c r="H206" s="27">
        <v>0.571</v>
      </c>
      <c r="I206" s="27">
        <v>0.863</v>
      </c>
      <c r="J206" s="27">
        <v>0.0</v>
      </c>
      <c r="K206" s="27">
        <v>0.0</v>
      </c>
      <c r="L206" s="4" t="str">
        <f>IMAGE("https://drive.google.com/uc?export=view&amp;id=1KxNL6Q_akQBtuTp0txdq8FIbdVmI9Y6s")</f>
        <v/>
      </c>
    </row>
    <row r="207" ht="22.5" customHeight="1">
      <c r="A207" s="4">
        <v>206.0</v>
      </c>
      <c r="B207" s="3" t="s">
        <v>7</v>
      </c>
      <c r="C207" s="3">
        <v>64.0</v>
      </c>
      <c r="D207" s="3">
        <v>3.0</v>
      </c>
      <c r="E207" s="5" t="s">
        <v>181</v>
      </c>
      <c r="F207" s="5" t="s">
        <v>538</v>
      </c>
      <c r="G207" s="5" t="s">
        <v>539</v>
      </c>
      <c r="H207" s="27">
        <v>0.533</v>
      </c>
      <c r="I207" s="27">
        <v>0.859</v>
      </c>
      <c r="J207" s="27">
        <v>1.0</v>
      </c>
      <c r="K207" s="27">
        <v>0.571</v>
      </c>
      <c r="L207" s="4" t="str">
        <f>IMAGE("https://drive.google.com/uc?export=view&amp;id=1-hGNNQYtD0zCxdroS6JQ78DHDGAgVBmw")</f>
        <v/>
      </c>
    </row>
    <row r="208" ht="22.5" customHeight="1">
      <c r="A208" s="4">
        <v>207.0</v>
      </c>
      <c r="B208" s="3" t="s">
        <v>7</v>
      </c>
      <c r="C208" s="3">
        <v>64.0</v>
      </c>
      <c r="D208" s="3">
        <v>3.0</v>
      </c>
      <c r="E208" s="5" t="s">
        <v>184</v>
      </c>
      <c r="F208" s="5" t="s">
        <v>540</v>
      </c>
      <c r="G208" s="5" t="s">
        <v>541</v>
      </c>
      <c r="H208" s="27">
        <v>0.75</v>
      </c>
      <c r="I208" s="27">
        <v>0.872</v>
      </c>
      <c r="J208" s="27">
        <v>1.0</v>
      </c>
      <c r="K208" s="27">
        <v>0.889</v>
      </c>
      <c r="L208" s="4" t="str">
        <f>IMAGE("https://drive.google.com/uc?export=view&amp;id=1qo2581WyRu89dKDii-6dYDHbCXJWPuGo")</f>
        <v/>
      </c>
    </row>
    <row r="209" ht="22.5" customHeight="1">
      <c r="A209" s="4">
        <v>208.0</v>
      </c>
      <c r="B209" s="3" t="s">
        <v>7</v>
      </c>
      <c r="C209" s="3">
        <v>64.0</v>
      </c>
      <c r="D209" s="3">
        <v>3.0</v>
      </c>
      <c r="E209" s="5" t="s">
        <v>187</v>
      </c>
      <c r="F209" s="5" t="s">
        <v>542</v>
      </c>
      <c r="G209" s="5" t="s">
        <v>543</v>
      </c>
      <c r="H209" s="27">
        <v>0.364</v>
      </c>
      <c r="I209" s="27">
        <v>0.754</v>
      </c>
      <c r="J209" s="27">
        <v>1.0</v>
      </c>
      <c r="K209" s="27">
        <v>1.0</v>
      </c>
      <c r="L209" s="4" t="str">
        <f>IMAGE("https://drive.google.com/uc?export=view&amp;id=1V9VTa9sEqALJ-EBUoAPlTIwxfwrzW6RR")</f>
        <v/>
      </c>
    </row>
    <row r="210" ht="22.5" customHeight="1">
      <c r="A210" s="4">
        <v>209.0</v>
      </c>
      <c r="B210" s="3" t="s">
        <v>7</v>
      </c>
      <c r="C210" s="3">
        <v>64.0</v>
      </c>
      <c r="D210" s="3">
        <v>3.0</v>
      </c>
      <c r="E210" s="5" t="s">
        <v>190</v>
      </c>
      <c r="F210" s="5" t="s">
        <v>544</v>
      </c>
      <c r="G210" s="5" t="s">
        <v>545</v>
      </c>
      <c r="H210" s="27">
        <v>0.571</v>
      </c>
      <c r="I210" s="27">
        <v>0.801</v>
      </c>
      <c r="J210" s="27">
        <v>1.0</v>
      </c>
      <c r="K210" s="27">
        <v>0.667</v>
      </c>
      <c r="L210" s="4" t="str">
        <f>IMAGE("https://drive.google.com/uc?export=view&amp;id=1ZOtpNeGzEp6cafOmiqJxaDduSIydni13")</f>
        <v/>
      </c>
    </row>
    <row r="211" ht="22.5" customHeight="1">
      <c r="A211" s="4">
        <v>210.0</v>
      </c>
      <c r="B211" s="3" t="s">
        <v>7</v>
      </c>
      <c r="C211" s="3">
        <v>64.0</v>
      </c>
      <c r="D211" s="3">
        <v>3.0</v>
      </c>
      <c r="E211" s="5" t="s">
        <v>193</v>
      </c>
      <c r="F211" s="5" t="s">
        <v>546</v>
      </c>
      <c r="G211" s="5" t="s">
        <v>547</v>
      </c>
      <c r="H211" s="27">
        <v>0.0</v>
      </c>
      <c r="I211" s="27">
        <v>0.772</v>
      </c>
      <c r="J211" s="27">
        <v>0.833</v>
      </c>
      <c r="K211" s="27">
        <v>0.222</v>
      </c>
      <c r="L211" s="4" t="str">
        <f>IMAGE("https://drive.google.com/uc?export=view&amp;id=15mlZR0mCwFPIf99PmKL318W_NMKDLkE9")</f>
        <v/>
      </c>
    </row>
    <row r="212" ht="22.5" customHeight="1">
      <c r="A212" s="4">
        <v>211.0</v>
      </c>
      <c r="B212" s="3" t="s">
        <v>7</v>
      </c>
      <c r="C212" s="3">
        <v>64.0</v>
      </c>
      <c r="D212" s="3">
        <v>3.0</v>
      </c>
      <c r="E212" s="5" t="s">
        <v>196</v>
      </c>
      <c r="F212" s="5" t="s">
        <v>548</v>
      </c>
      <c r="G212" s="5" t="s">
        <v>549</v>
      </c>
      <c r="H212" s="27">
        <v>0.571</v>
      </c>
      <c r="I212" s="27">
        <v>0.775</v>
      </c>
      <c r="J212" s="27">
        <v>1.0</v>
      </c>
      <c r="K212" s="27">
        <v>0.333</v>
      </c>
      <c r="L212" s="4" t="str">
        <f>IMAGE("https://drive.google.com/uc?export=view&amp;id=1vCGEN4tg2AKsuStjRned6KAGtOFNoS4M")</f>
        <v/>
      </c>
    </row>
    <row r="213" ht="22.5" customHeight="1">
      <c r="A213" s="4">
        <v>212.0</v>
      </c>
      <c r="B213" s="3" t="s">
        <v>7</v>
      </c>
      <c r="C213" s="3">
        <v>64.0</v>
      </c>
      <c r="D213" s="3">
        <v>3.0</v>
      </c>
      <c r="E213" s="5" t="s">
        <v>199</v>
      </c>
      <c r="F213" s="5" t="s">
        <v>550</v>
      </c>
      <c r="G213" s="5" t="s">
        <v>551</v>
      </c>
      <c r="H213" s="27">
        <v>1.0</v>
      </c>
      <c r="I213" s="27">
        <v>0.966</v>
      </c>
      <c r="J213" s="27">
        <v>0.833</v>
      </c>
      <c r="K213" s="27">
        <v>0.6</v>
      </c>
      <c r="L213" s="4" t="str">
        <f>IMAGE("https://drive.google.com/uc?export=view&amp;id=1YzsyIWE4wSHVuE1r1g4sVsCrekJE-Vw5")</f>
        <v/>
      </c>
    </row>
    <row r="214" ht="22.5" customHeight="1">
      <c r="A214" s="4">
        <v>213.0</v>
      </c>
      <c r="B214" s="3" t="s">
        <v>7</v>
      </c>
      <c r="C214" s="3">
        <v>64.0</v>
      </c>
      <c r="D214" s="3">
        <v>3.0</v>
      </c>
      <c r="E214" s="5" t="s">
        <v>202</v>
      </c>
      <c r="F214" s="5" t="s">
        <v>552</v>
      </c>
      <c r="G214" s="5" t="s">
        <v>553</v>
      </c>
      <c r="H214" s="27">
        <v>0.889</v>
      </c>
      <c r="I214" s="27">
        <v>0.708</v>
      </c>
      <c r="J214" s="27">
        <v>0.5</v>
      </c>
      <c r="K214" s="27">
        <v>1.0</v>
      </c>
      <c r="L214" s="4" t="str">
        <f>IMAGE("https://drive.google.com/uc?export=view&amp;id=1NOmnQSoEYyQ6j_n9XezpEri1bda2h_7W")</f>
        <v/>
      </c>
    </row>
    <row r="215" ht="22.5" customHeight="1">
      <c r="A215" s="4">
        <v>214.0</v>
      </c>
      <c r="B215" s="3" t="s">
        <v>7</v>
      </c>
      <c r="C215" s="3">
        <v>64.0</v>
      </c>
      <c r="D215" s="3">
        <v>3.0</v>
      </c>
      <c r="E215" s="5" t="s">
        <v>205</v>
      </c>
      <c r="F215" s="5" t="s">
        <v>554</v>
      </c>
      <c r="G215" s="5" t="s">
        <v>555</v>
      </c>
      <c r="H215" s="27">
        <v>1.0</v>
      </c>
      <c r="I215" s="27">
        <v>1.0</v>
      </c>
      <c r="J215" s="27">
        <v>1.0</v>
      </c>
      <c r="K215" s="27">
        <v>1.0</v>
      </c>
      <c r="L215" s="4" t="str">
        <f>IMAGE("https://drive.google.com/uc?export=view&amp;id=1E8s1m6XTLkWSRnlXRFizEHMxOMPOJrM8")</f>
        <v/>
      </c>
    </row>
    <row r="216" ht="22.5" customHeight="1">
      <c r="A216" s="4">
        <v>215.0</v>
      </c>
      <c r="B216" s="3" t="s">
        <v>7</v>
      </c>
      <c r="C216" s="3">
        <v>64.0</v>
      </c>
      <c r="D216" s="3">
        <v>3.0</v>
      </c>
      <c r="E216" s="5" t="s">
        <v>208</v>
      </c>
      <c r="F216" s="5" t="s">
        <v>556</v>
      </c>
      <c r="G216" s="5" t="s">
        <v>557</v>
      </c>
      <c r="H216" s="27">
        <v>0.923</v>
      </c>
      <c r="I216" s="27">
        <v>0.681</v>
      </c>
      <c r="J216" s="27">
        <v>0.583</v>
      </c>
      <c r="K216" s="27">
        <v>1.0</v>
      </c>
      <c r="L216" s="4" t="str">
        <f>IMAGE("https://drive.google.com/uc?export=view&amp;id=18T1YR45yaZFbx-FHf6FM3PA5wcbjrTE2")</f>
        <v/>
      </c>
    </row>
    <row r="217" ht="22.5" customHeight="1">
      <c r="A217" s="4">
        <v>216.0</v>
      </c>
      <c r="B217" s="3" t="s">
        <v>7</v>
      </c>
      <c r="C217" s="3">
        <v>64.0</v>
      </c>
      <c r="D217" s="3">
        <v>3.0</v>
      </c>
      <c r="E217" s="5" t="s">
        <v>211</v>
      </c>
      <c r="F217" s="5" t="s">
        <v>558</v>
      </c>
      <c r="G217" s="5" t="s">
        <v>559</v>
      </c>
      <c r="H217" s="27">
        <v>0.625</v>
      </c>
      <c r="I217" s="27">
        <v>0.796</v>
      </c>
      <c r="J217" s="27">
        <v>0.5</v>
      </c>
      <c r="K217" s="27">
        <v>1.0</v>
      </c>
      <c r="L217" s="4" t="str">
        <f>IMAGE("https://drive.google.com/uc?export=view&amp;id=1Zb5bWOjoQyJLzGIiSPQhk5eNez1C8fJ8")</f>
        <v/>
      </c>
    </row>
    <row r="218" ht="22.5" customHeight="1">
      <c r="A218" s="4">
        <v>217.0</v>
      </c>
      <c r="B218" s="3" t="s">
        <v>7</v>
      </c>
      <c r="C218" s="3">
        <v>64.0</v>
      </c>
      <c r="D218" s="3">
        <v>3.0</v>
      </c>
      <c r="E218" s="5" t="s">
        <v>214</v>
      </c>
      <c r="F218" s="5" t="s">
        <v>560</v>
      </c>
      <c r="G218" s="5" t="s">
        <v>561</v>
      </c>
      <c r="H218" s="27">
        <v>0.462</v>
      </c>
      <c r="I218" s="27">
        <v>0.759</v>
      </c>
      <c r="J218" s="27">
        <v>0.333</v>
      </c>
      <c r="K218" s="27">
        <v>1.0</v>
      </c>
      <c r="L218" s="4" t="str">
        <f>IMAGE("https://drive.google.com/uc?export=view&amp;id=12PFJ_ebparn_hgo3sz8LdsYergIXi_dm")</f>
        <v/>
      </c>
    </row>
    <row r="219" ht="22.5" customHeight="1">
      <c r="A219" s="4">
        <v>218.0</v>
      </c>
      <c r="B219" s="3" t="s">
        <v>7</v>
      </c>
      <c r="C219" s="3">
        <v>64.0</v>
      </c>
      <c r="D219" s="3">
        <v>3.0</v>
      </c>
      <c r="E219" s="5" t="s">
        <v>217</v>
      </c>
      <c r="F219" s="5" t="s">
        <v>562</v>
      </c>
      <c r="G219" s="5" t="s">
        <v>563</v>
      </c>
      <c r="H219" s="27">
        <v>0.6</v>
      </c>
      <c r="I219" s="27">
        <v>0.803</v>
      </c>
      <c r="J219" s="27">
        <v>0.0</v>
      </c>
      <c r="K219" s="27">
        <v>0.0</v>
      </c>
      <c r="L219" s="4" t="str">
        <f>IMAGE("https://drive.google.com/uc?export=view&amp;id=10E3sSt3TNICa5PuOC7zbna0RkL1C3E_O")</f>
        <v/>
      </c>
    </row>
    <row r="220" ht="22.5" customHeight="1">
      <c r="A220" s="4">
        <v>219.0</v>
      </c>
      <c r="B220" s="3" t="s">
        <v>7</v>
      </c>
      <c r="C220" s="3">
        <v>64.0</v>
      </c>
      <c r="D220" s="3">
        <v>3.0</v>
      </c>
      <c r="E220" s="5" t="s">
        <v>220</v>
      </c>
      <c r="F220" s="5" t="s">
        <v>564</v>
      </c>
      <c r="G220" s="5" t="s">
        <v>565</v>
      </c>
      <c r="H220" s="27">
        <v>0.769</v>
      </c>
      <c r="I220" s="27">
        <v>0.358</v>
      </c>
      <c r="J220" s="27">
        <v>1.0</v>
      </c>
      <c r="K220" s="27">
        <v>0.111</v>
      </c>
      <c r="L220" s="4" t="str">
        <f>IMAGE("https://drive.google.com/uc?export=view&amp;id=1fqukXhvtmjADKzBmtINflXnp9v4Ev2VE")</f>
        <v/>
      </c>
    </row>
    <row r="221" ht="22.5" customHeight="1">
      <c r="A221" s="4">
        <v>220.0</v>
      </c>
      <c r="B221" s="3" t="s">
        <v>7</v>
      </c>
      <c r="C221" s="3">
        <v>64.0</v>
      </c>
      <c r="D221" s="3">
        <v>3.0</v>
      </c>
      <c r="E221" s="5" t="s">
        <v>223</v>
      </c>
      <c r="F221" s="5" t="s">
        <v>566</v>
      </c>
      <c r="G221" s="5" t="s">
        <v>567</v>
      </c>
      <c r="H221" s="27">
        <v>0.909</v>
      </c>
      <c r="I221" s="27">
        <v>0.687</v>
      </c>
      <c r="J221" s="27">
        <v>1.0</v>
      </c>
      <c r="K221" s="27">
        <v>1.0</v>
      </c>
      <c r="L221" s="4" t="str">
        <f>IMAGE("https://drive.google.com/uc?export=view&amp;id=1lsjmt9vyPjJd4etCbfUFLuQpfhHImLOb")</f>
        <v/>
      </c>
    </row>
    <row r="222" ht="22.5" customHeight="1">
      <c r="A222" s="4">
        <v>221.0</v>
      </c>
      <c r="B222" s="3" t="s">
        <v>7</v>
      </c>
      <c r="C222" s="3">
        <v>64.0</v>
      </c>
      <c r="D222" s="3">
        <v>3.0</v>
      </c>
      <c r="E222" s="5" t="s">
        <v>226</v>
      </c>
      <c r="F222" s="5" t="s">
        <v>568</v>
      </c>
      <c r="G222" s="5" t="s">
        <v>569</v>
      </c>
      <c r="H222" s="27">
        <v>0.778</v>
      </c>
      <c r="I222" s="27">
        <v>0.0</v>
      </c>
      <c r="J222" s="27">
        <v>0.0</v>
      </c>
      <c r="K222" s="27">
        <v>0.6</v>
      </c>
      <c r="L222" s="4" t="str">
        <f>IMAGE("https://drive.google.com/uc?export=view&amp;id=1bZ2HuoXMQno1E4vsiwr51dYah4QwyT2B")</f>
        <v/>
      </c>
    </row>
    <row r="223" ht="22.5" customHeight="1">
      <c r="A223" s="4">
        <v>222.0</v>
      </c>
      <c r="B223" s="3" t="s">
        <v>7</v>
      </c>
      <c r="C223" s="3">
        <v>64.0</v>
      </c>
      <c r="D223" s="3">
        <v>3.0</v>
      </c>
      <c r="E223" s="5" t="s">
        <v>229</v>
      </c>
      <c r="F223" s="5" t="s">
        <v>570</v>
      </c>
      <c r="G223" s="5" t="s">
        <v>571</v>
      </c>
      <c r="H223" s="27">
        <v>0.75</v>
      </c>
      <c r="I223" s="27">
        <v>0.0</v>
      </c>
      <c r="J223" s="27">
        <v>0.0</v>
      </c>
      <c r="K223" s="27">
        <v>0.667</v>
      </c>
      <c r="L223" s="4" t="str">
        <f>IMAGE("https://drive.google.com/uc?export=view&amp;id=1Z1E6jAGMgXPLdExhs0z35olO8w1zZFys")</f>
        <v/>
      </c>
    </row>
    <row r="224" ht="22.5" customHeight="1">
      <c r="A224" s="4">
        <v>223.0</v>
      </c>
      <c r="B224" s="3" t="s">
        <v>7</v>
      </c>
      <c r="C224" s="3">
        <v>64.0</v>
      </c>
      <c r="D224" s="3">
        <v>3.0</v>
      </c>
      <c r="E224" s="5" t="s">
        <v>232</v>
      </c>
      <c r="F224" s="5" t="s">
        <v>572</v>
      </c>
      <c r="G224" s="5" t="s">
        <v>573</v>
      </c>
      <c r="H224" s="27">
        <v>0.222</v>
      </c>
      <c r="I224" s="27">
        <v>0.827</v>
      </c>
      <c r="J224" s="27">
        <v>1.0</v>
      </c>
      <c r="K224" s="27">
        <v>0.2</v>
      </c>
      <c r="L224" s="4" t="str">
        <f>IMAGE("https://drive.google.com/uc?export=view&amp;id=1dfW-NlkGF7sj8Zb5XPIaMIesb9KQWPX3")</f>
        <v/>
      </c>
    </row>
    <row r="225" ht="22.5" customHeight="1">
      <c r="A225" s="4">
        <v>224.0</v>
      </c>
      <c r="B225" s="3" t="s">
        <v>7</v>
      </c>
      <c r="C225" s="3">
        <v>64.0</v>
      </c>
      <c r="D225" s="3">
        <v>3.0</v>
      </c>
      <c r="E225" s="5" t="s">
        <v>235</v>
      </c>
      <c r="F225" s="5" t="s">
        <v>574</v>
      </c>
      <c r="G225" s="5" t="s">
        <v>575</v>
      </c>
      <c r="H225" s="27">
        <v>1.0</v>
      </c>
      <c r="I225" s="27">
        <v>1.0</v>
      </c>
      <c r="J225" s="27">
        <v>1.0</v>
      </c>
      <c r="K225" s="27">
        <v>0.833</v>
      </c>
      <c r="L225" s="4" t="str">
        <f>IMAGE("https://drive.google.com/uc?export=view&amp;id=1NiC9DRGej3t7CizxsZepKM2Bx91Nk-E9")</f>
        <v/>
      </c>
    </row>
    <row r="226" ht="22.5" customHeight="1">
      <c r="A226" s="4">
        <v>225.0</v>
      </c>
      <c r="B226" s="3" t="s">
        <v>7</v>
      </c>
      <c r="C226" s="3">
        <v>64.0</v>
      </c>
      <c r="D226" s="3">
        <v>3.0</v>
      </c>
      <c r="E226" s="5" t="s">
        <v>238</v>
      </c>
      <c r="F226" s="5" t="s">
        <v>576</v>
      </c>
      <c r="G226" s="5" t="s">
        <v>577</v>
      </c>
      <c r="H226" s="27">
        <v>1.0</v>
      </c>
      <c r="I226" s="27">
        <v>0.0</v>
      </c>
      <c r="J226" s="27">
        <v>0.0</v>
      </c>
      <c r="K226" s="27">
        <v>0.0</v>
      </c>
      <c r="L226" s="4" t="str">
        <f>IMAGE("https://drive.google.com/uc?export=view&amp;id=1EGH4P1-B0N9FQdX3s5L2u_VmWMGspt2C")</f>
        <v/>
      </c>
    </row>
    <row r="227" ht="22.5" customHeight="1">
      <c r="A227" s="4">
        <v>226.0</v>
      </c>
      <c r="B227" s="3" t="s">
        <v>7</v>
      </c>
      <c r="C227" s="3">
        <v>64.0</v>
      </c>
      <c r="D227" s="3">
        <v>3.0</v>
      </c>
      <c r="E227" s="5" t="s">
        <v>241</v>
      </c>
      <c r="F227" s="5" t="s">
        <v>578</v>
      </c>
      <c r="G227" s="5" t="s">
        <v>579</v>
      </c>
      <c r="H227" s="27">
        <v>0.556</v>
      </c>
      <c r="I227" s="27">
        <v>0.0</v>
      </c>
      <c r="J227" s="27">
        <v>0.0</v>
      </c>
      <c r="K227" s="27">
        <v>0.8</v>
      </c>
      <c r="L227" s="4" t="str">
        <f>IMAGE("https://drive.google.com/uc?export=view&amp;id=1W3kQMJEWwUq9z9HW5ZyMTQQ9TOil6Noi")</f>
        <v/>
      </c>
    </row>
    <row r="228" ht="22.5" customHeight="1">
      <c r="A228" s="4">
        <v>227.0</v>
      </c>
      <c r="B228" s="3" t="s">
        <v>7</v>
      </c>
      <c r="C228" s="3">
        <v>64.0</v>
      </c>
      <c r="D228" s="3">
        <v>3.0</v>
      </c>
      <c r="E228" s="5" t="s">
        <v>244</v>
      </c>
      <c r="F228" s="5" t="s">
        <v>580</v>
      </c>
      <c r="G228" s="5" t="s">
        <v>581</v>
      </c>
      <c r="H228" s="27">
        <v>0.615</v>
      </c>
      <c r="I228" s="27">
        <v>0.998</v>
      </c>
      <c r="J228" s="27">
        <v>1.0</v>
      </c>
      <c r="K228" s="27">
        <v>0.8</v>
      </c>
      <c r="L228" s="4" t="str">
        <f>IMAGE("https://drive.google.com/uc?export=view&amp;id=1v2xIajOmCwrGS5ibKsoSjkEHb1M4RS1z")</f>
        <v/>
      </c>
    </row>
    <row r="229" ht="22.5" customHeight="1">
      <c r="A229" s="4">
        <v>228.0</v>
      </c>
      <c r="B229" s="3" t="s">
        <v>7</v>
      </c>
      <c r="C229" s="3">
        <v>64.0</v>
      </c>
      <c r="D229" s="3">
        <v>3.0</v>
      </c>
      <c r="E229" s="5" t="s">
        <v>247</v>
      </c>
      <c r="F229" s="5" t="s">
        <v>582</v>
      </c>
      <c r="G229" s="5" t="s">
        <v>583</v>
      </c>
      <c r="H229" s="27">
        <v>0.25</v>
      </c>
      <c r="I229" s="27">
        <v>1.0</v>
      </c>
      <c r="J229" s="27">
        <v>0.0</v>
      </c>
      <c r="K229" s="27">
        <v>0.0</v>
      </c>
      <c r="L229" s="4" t="str">
        <f>IMAGE("https://drive.google.com/uc?export=view&amp;id=1RJiGoatbKrugZ9w1kMT7eY8zLX0geSQm")</f>
        <v/>
      </c>
    </row>
    <row r="230" ht="22.5" customHeight="1">
      <c r="A230" s="4">
        <v>229.0</v>
      </c>
      <c r="B230" s="3" t="s">
        <v>7</v>
      </c>
      <c r="C230" s="3">
        <v>64.0</v>
      </c>
      <c r="D230" s="3">
        <v>3.0</v>
      </c>
      <c r="E230" s="5" t="s">
        <v>250</v>
      </c>
      <c r="F230" s="5" t="s">
        <v>584</v>
      </c>
      <c r="G230" s="5" t="s">
        <v>585</v>
      </c>
      <c r="H230" s="27">
        <v>0.143</v>
      </c>
      <c r="I230" s="27">
        <v>0.0</v>
      </c>
      <c r="J230" s="27">
        <v>0.0</v>
      </c>
      <c r="K230" s="27">
        <v>0.667</v>
      </c>
      <c r="L230" s="4" t="str">
        <f>IMAGE("https://drive.google.com/uc?export=view&amp;id=1XAliQp-oVkfkgRzaWkgya-ZePJJ-czn2")</f>
        <v/>
      </c>
    </row>
    <row r="231" ht="22.5" customHeight="1">
      <c r="A231" s="4">
        <v>230.0</v>
      </c>
      <c r="B231" s="3" t="s">
        <v>7</v>
      </c>
      <c r="C231" s="3">
        <v>64.0</v>
      </c>
      <c r="D231" s="3">
        <v>3.0</v>
      </c>
      <c r="E231" s="5" t="s">
        <v>253</v>
      </c>
      <c r="F231" s="5" t="s">
        <v>586</v>
      </c>
      <c r="G231" s="5" t="s">
        <v>587</v>
      </c>
      <c r="H231" s="27">
        <v>0.0</v>
      </c>
      <c r="I231" s="27">
        <v>0.0</v>
      </c>
      <c r="J231" s="27">
        <v>0.0</v>
      </c>
      <c r="K231" s="27">
        <v>1.0</v>
      </c>
      <c r="L231" s="4" t="str">
        <f>IMAGE("https://drive.google.com/uc?export=view&amp;id=17B8KJPhCMnwqfoVDNO6tubq_tQ0j60XX")</f>
        <v/>
      </c>
    </row>
    <row r="232" ht="22.5" customHeight="1">
      <c r="A232" s="4">
        <v>231.0</v>
      </c>
      <c r="B232" s="3" t="s">
        <v>7</v>
      </c>
      <c r="C232" s="3">
        <v>64.0</v>
      </c>
      <c r="D232" s="3">
        <v>3.0</v>
      </c>
      <c r="E232" s="5" t="s">
        <v>256</v>
      </c>
      <c r="F232" s="5" t="s">
        <v>588</v>
      </c>
      <c r="G232" s="5" t="s">
        <v>589</v>
      </c>
      <c r="H232" s="27">
        <v>0.625</v>
      </c>
      <c r="I232" s="27">
        <v>0.0</v>
      </c>
      <c r="J232" s="27">
        <v>0.333</v>
      </c>
      <c r="K232" s="27">
        <v>0.75</v>
      </c>
      <c r="L232" s="4" t="str">
        <f>IMAGE("https://drive.google.com/uc?export=view&amp;id=1jn35y30s0pZ0BPpTEyXZvfm1JVgaFCXt")</f>
        <v/>
      </c>
    </row>
    <row r="233" ht="22.5" customHeight="1">
      <c r="A233" s="4">
        <v>232.0</v>
      </c>
      <c r="B233" s="3" t="s">
        <v>7</v>
      </c>
      <c r="C233" s="3">
        <v>64.0</v>
      </c>
      <c r="D233" s="3">
        <v>3.0</v>
      </c>
      <c r="E233" s="5" t="s">
        <v>259</v>
      </c>
      <c r="F233" s="5" t="s">
        <v>590</v>
      </c>
      <c r="G233" s="5" t="s">
        <v>591</v>
      </c>
      <c r="H233" s="27">
        <v>0.667</v>
      </c>
      <c r="I233" s="27">
        <v>0.588</v>
      </c>
      <c r="J233" s="27">
        <v>0.333</v>
      </c>
      <c r="K233" s="27">
        <v>1.0</v>
      </c>
      <c r="L233" s="4" t="str">
        <f>IMAGE("https://drive.google.com/uc?export=view&amp;id=11ImoTCEtVR1tpMl2c2AapHtA-PptHBcf")</f>
        <v/>
      </c>
    </row>
    <row r="234" ht="22.5" customHeight="1">
      <c r="A234" s="4">
        <v>233.0</v>
      </c>
      <c r="B234" s="3" t="s">
        <v>7</v>
      </c>
      <c r="C234" s="3">
        <v>64.0</v>
      </c>
      <c r="D234" s="3">
        <v>3.0</v>
      </c>
      <c r="E234" s="5" t="s">
        <v>262</v>
      </c>
      <c r="F234" s="5" t="s">
        <v>592</v>
      </c>
      <c r="G234" s="5" t="s">
        <v>593</v>
      </c>
      <c r="H234" s="27">
        <v>0.5</v>
      </c>
      <c r="I234" s="27">
        <v>1.0</v>
      </c>
      <c r="J234" s="27">
        <v>1.0</v>
      </c>
      <c r="K234" s="27">
        <v>1.0</v>
      </c>
      <c r="L234" s="4" t="str">
        <f>IMAGE("https://drive.google.com/uc?export=view&amp;id=1tKhCXzkKb4_PQrVp_GJ83sZNvKCEZZRy")</f>
        <v/>
      </c>
    </row>
    <row r="235" ht="22.5" customHeight="1">
      <c r="A235" s="4">
        <v>234.0</v>
      </c>
      <c r="B235" s="3" t="s">
        <v>7</v>
      </c>
      <c r="C235" s="3">
        <v>64.0</v>
      </c>
      <c r="D235" s="3">
        <v>3.0</v>
      </c>
      <c r="E235" s="5" t="s">
        <v>265</v>
      </c>
      <c r="F235" s="5" t="s">
        <v>594</v>
      </c>
      <c r="G235" s="5" t="s">
        <v>595</v>
      </c>
      <c r="H235" s="27">
        <v>0.625</v>
      </c>
      <c r="I235" s="27">
        <v>0.388</v>
      </c>
      <c r="J235" s="27">
        <v>0.5</v>
      </c>
      <c r="K235" s="27">
        <v>1.0</v>
      </c>
      <c r="L235" s="4" t="str">
        <f>IMAGE("https://drive.google.com/uc?export=view&amp;id=1ex2YiT8P60f8_NsyXh0M3-nyRi22HRQu")</f>
        <v/>
      </c>
    </row>
    <row r="236" ht="22.5" customHeight="1">
      <c r="A236" s="4">
        <v>235.0</v>
      </c>
      <c r="B236" s="3" t="s">
        <v>7</v>
      </c>
      <c r="C236" s="3">
        <v>64.0</v>
      </c>
      <c r="D236" s="3">
        <v>3.0</v>
      </c>
      <c r="E236" s="5" t="s">
        <v>268</v>
      </c>
      <c r="F236" s="5" t="s">
        <v>596</v>
      </c>
      <c r="G236" s="5" t="s">
        <v>597</v>
      </c>
      <c r="H236" s="27">
        <v>1.0</v>
      </c>
      <c r="I236" s="27">
        <v>0.531</v>
      </c>
      <c r="J236" s="27">
        <v>1.0</v>
      </c>
      <c r="K236" s="27">
        <v>1.0</v>
      </c>
      <c r="L236" s="4" t="str">
        <f>IMAGE("https://drive.google.com/uc?export=view&amp;id=1bm2E8vOFkULaXMJypy2RfWggOCrXuHoF")</f>
        <v/>
      </c>
    </row>
    <row r="237" ht="22.5" customHeight="1">
      <c r="A237" s="4">
        <v>236.0</v>
      </c>
      <c r="B237" s="3" t="s">
        <v>7</v>
      </c>
      <c r="C237" s="3">
        <v>64.0</v>
      </c>
      <c r="D237" s="3">
        <v>3.0</v>
      </c>
      <c r="E237" s="5" t="s">
        <v>271</v>
      </c>
      <c r="F237" s="5" t="s">
        <v>598</v>
      </c>
      <c r="G237" s="5" t="s">
        <v>599</v>
      </c>
      <c r="H237" s="27">
        <v>0.786</v>
      </c>
      <c r="I237" s="27">
        <v>0.575</v>
      </c>
      <c r="J237" s="27">
        <v>1.0</v>
      </c>
      <c r="K237" s="27">
        <v>1.0</v>
      </c>
      <c r="L237" s="4" t="str">
        <f>IMAGE("https://drive.google.com/uc?export=view&amp;id=1bI7BD5jhtnj7nYxhSvZwG-SsmDn2DlCr")</f>
        <v/>
      </c>
    </row>
    <row r="238" ht="22.5" customHeight="1">
      <c r="A238" s="4">
        <v>237.0</v>
      </c>
      <c r="B238" s="3" t="s">
        <v>7</v>
      </c>
      <c r="C238" s="3">
        <v>64.0</v>
      </c>
      <c r="D238" s="3">
        <v>3.0</v>
      </c>
      <c r="E238" s="5" t="s">
        <v>274</v>
      </c>
      <c r="F238" s="5" t="s">
        <v>600</v>
      </c>
      <c r="G238" s="5" t="s">
        <v>601</v>
      </c>
      <c r="H238" s="27">
        <v>0.0</v>
      </c>
      <c r="I238" s="27">
        <v>0.809</v>
      </c>
      <c r="J238" s="27">
        <v>1.0</v>
      </c>
      <c r="K238" s="27">
        <v>1.0</v>
      </c>
      <c r="L238" s="4" t="str">
        <f>IMAGE("https://drive.google.com/uc?export=view&amp;id=17UXCjnlIYMNFi6nFpMZZSx89rZXq3Mbj")</f>
        <v/>
      </c>
    </row>
    <row r="239" ht="22.5" customHeight="1">
      <c r="A239" s="4">
        <v>238.0</v>
      </c>
      <c r="B239" s="3" t="s">
        <v>7</v>
      </c>
      <c r="C239" s="3">
        <v>64.0</v>
      </c>
      <c r="D239" s="3">
        <v>3.0</v>
      </c>
      <c r="E239" s="5" t="s">
        <v>277</v>
      </c>
      <c r="F239" s="5" t="s">
        <v>602</v>
      </c>
      <c r="G239" s="5" t="s">
        <v>603</v>
      </c>
      <c r="H239" s="27">
        <v>0.615</v>
      </c>
      <c r="I239" s="27">
        <v>0.0</v>
      </c>
      <c r="J239" s="27">
        <v>0.0</v>
      </c>
      <c r="K239" s="27">
        <v>0.833</v>
      </c>
      <c r="L239" s="4" t="str">
        <f>IMAGE("https://drive.google.com/uc?export=view&amp;id=1ChpzaXpfLk_ayMJP4vHvE6ZQ2R5jXmpZ")</f>
        <v/>
      </c>
    </row>
    <row r="240" ht="22.5" customHeight="1">
      <c r="A240" s="4">
        <v>239.0</v>
      </c>
      <c r="B240" s="3" t="s">
        <v>7</v>
      </c>
      <c r="C240" s="3">
        <v>64.0</v>
      </c>
      <c r="D240" s="3">
        <v>3.0</v>
      </c>
      <c r="E240" s="5" t="s">
        <v>280</v>
      </c>
      <c r="F240" s="5" t="s">
        <v>604</v>
      </c>
      <c r="G240" s="5" t="s">
        <v>605</v>
      </c>
      <c r="H240" s="27">
        <v>0.727</v>
      </c>
      <c r="I240" s="27">
        <v>0.0</v>
      </c>
      <c r="J240" s="27">
        <v>0.0</v>
      </c>
      <c r="K240" s="27">
        <v>0.167</v>
      </c>
      <c r="L240" s="4" t="str">
        <f>IMAGE("https://drive.google.com/uc?export=view&amp;id=1OiStd4LbQ9D0O2Cwycq2EucZCvuUYCRC")</f>
        <v/>
      </c>
    </row>
    <row r="241" ht="22.5" customHeight="1">
      <c r="A241" s="4">
        <v>240.0</v>
      </c>
      <c r="B241" s="3" t="s">
        <v>7</v>
      </c>
      <c r="C241" s="3">
        <v>64.0</v>
      </c>
      <c r="D241" s="3">
        <v>3.0</v>
      </c>
      <c r="E241" s="5" t="s">
        <v>283</v>
      </c>
      <c r="F241" s="5" t="s">
        <v>606</v>
      </c>
      <c r="G241" s="5" t="s">
        <v>607</v>
      </c>
      <c r="H241" s="27">
        <v>0.778</v>
      </c>
      <c r="I241" s="27">
        <v>0.902</v>
      </c>
      <c r="J241" s="27">
        <v>1.0</v>
      </c>
      <c r="K241" s="27">
        <v>0.75</v>
      </c>
      <c r="L241" s="4" t="str">
        <f>IMAGE("https://drive.google.com/uc?export=view&amp;id=1khnvOArMUXvmWeTg6ahb1zYQUJ2S-Cut")</f>
        <v/>
      </c>
    </row>
    <row r="242" ht="22.5" customHeight="1">
      <c r="A242" s="4">
        <v>241.0</v>
      </c>
      <c r="B242" s="3" t="s">
        <v>7</v>
      </c>
      <c r="C242" s="3">
        <v>64.0</v>
      </c>
      <c r="D242" s="3">
        <v>5.0</v>
      </c>
      <c r="E242" s="5" t="s">
        <v>46</v>
      </c>
      <c r="F242" s="5" t="s">
        <v>608</v>
      </c>
      <c r="G242" s="5" t="s">
        <v>609</v>
      </c>
      <c r="H242" s="27">
        <v>1.0</v>
      </c>
      <c r="I242" s="27">
        <v>0.914</v>
      </c>
      <c r="J242" s="27">
        <v>0.5</v>
      </c>
      <c r="K242" s="27">
        <v>0.0</v>
      </c>
      <c r="L242" s="4" t="str">
        <f>IMAGE("https://drive.google.com/uc?export=view&amp;id=103aGJwQuqePAB7OfnyKZwALBCOhFnYuk")</f>
        <v/>
      </c>
    </row>
    <row r="243" ht="22.5" customHeight="1">
      <c r="A243" s="4">
        <v>242.0</v>
      </c>
      <c r="B243" s="3" t="s">
        <v>7</v>
      </c>
      <c r="C243" s="3">
        <v>64.0</v>
      </c>
      <c r="D243" s="3">
        <v>5.0</v>
      </c>
      <c r="E243" s="5" t="s">
        <v>49</v>
      </c>
      <c r="F243" s="5" t="s">
        <v>610</v>
      </c>
      <c r="G243" s="5" t="s">
        <v>611</v>
      </c>
      <c r="H243" s="27">
        <v>1.0</v>
      </c>
      <c r="I243" s="27">
        <v>0.0</v>
      </c>
      <c r="J243" s="27">
        <v>0.75</v>
      </c>
      <c r="K243" s="27">
        <v>0.667</v>
      </c>
      <c r="L243" s="4" t="str">
        <f>IMAGE("https://drive.google.com/uc?export=view&amp;id=1bw4u_IFlp-cxOEyFzwevqDrtHPVFpMXh")</f>
        <v/>
      </c>
    </row>
    <row r="244" ht="22.5" customHeight="1">
      <c r="A244" s="4">
        <v>243.0</v>
      </c>
      <c r="B244" s="3" t="s">
        <v>7</v>
      </c>
      <c r="C244" s="3">
        <v>64.0</v>
      </c>
      <c r="D244" s="3">
        <v>5.0</v>
      </c>
      <c r="E244" s="5" t="s">
        <v>52</v>
      </c>
      <c r="F244" s="5" t="s">
        <v>612</v>
      </c>
      <c r="G244" s="5" t="s">
        <v>613</v>
      </c>
      <c r="H244" s="27">
        <v>0.318</v>
      </c>
      <c r="I244" s="27">
        <v>0.931</v>
      </c>
      <c r="J244" s="27">
        <v>1.0</v>
      </c>
      <c r="K244" s="27">
        <v>1.0</v>
      </c>
      <c r="L244" s="4" t="str">
        <f>IMAGE("https://drive.google.com/uc?export=view&amp;id=16mUTW4hYNZ3DRBCjadflW8DYNi20LXqr")</f>
        <v/>
      </c>
    </row>
    <row r="245" ht="22.5" customHeight="1">
      <c r="A245" s="4">
        <v>244.0</v>
      </c>
      <c r="B245" s="3" t="s">
        <v>7</v>
      </c>
      <c r="C245" s="3">
        <v>64.0</v>
      </c>
      <c r="D245" s="3">
        <v>5.0</v>
      </c>
      <c r="E245" s="5" t="s">
        <v>55</v>
      </c>
      <c r="F245" s="5" t="s">
        <v>614</v>
      </c>
      <c r="G245" s="5" t="s">
        <v>615</v>
      </c>
      <c r="H245" s="27">
        <v>0.1</v>
      </c>
      <c r="I245" s="27">
        <v>1.0</v>
      </c>
      <c r="J245" s="27">
        <v>1.0</v>
      </c>
      <c r="K245" s="27">
        <v>1.0</v>
      </c>
      <c r="L245" s="4" t="str">
        <f>IMAGE("https://drive.google.com/uc?export=view&amp;id=1fW35YppGoH82mZ06F7_tmUfGl_NKphdh")</f>
        <v/>
      </c>
    </row>
    <row r="246" ht="22.5" customHeight="1">
      <c r="A246" s="4">
        <v>245.0</v>
      </c>
      <c r="B246" s="3" t="s">
        <v>7</v>
      </c>
      <c r="C246" s="3">
        <v>64.0</v>
      </c>
      <c r="D246" s="3">
        <v>5.0</v>
      </c>
      <c r="E246" s="5" t="s">
        <v>58</v>
      </c>
      <c r="F246" s="5" t="s">
        <v>616</v>
      </c>
      <c r="G246" s="5" t="s">
        <v>617</v>
      </c>
      <c r="H246" s="27">
        <v>0.438</v>
      </c>
      <c r="I246" s="27">
        <v>0.868</v>
      </c>
      <c r="J246" s="27">
        <v>0.806</v>
      </c>
      <c r="K246" s="27">
        <v>1.0</v>
      </c>
      <c r="L246" s="4" t="str">
        <f>IMAGE("https://drive.google.com/uc?export=view&amp;id=1xyx6n71DQ7QxDE_IJwvI045TQjWiU89y")</f>
        <v/>
      </c>
    </row>
    <row r="247" ht="22.5" customHeight="1">
      <c r="A247" s="4">
        <v>246.0</v>
      </c>
      <c r="B247" s="3" t="s">
        <v>7</v>
      </c>
      <c r="C247" s="3">
        <v>64.0</v>
      </c>
      <c r="D247" s="3">
        <v>5.0</v>
      </c>
      <c r="E247" s="5" t="s">
        <v>61</v>
      </c>
      <c r="F247" s="5" t="s">
        <v>618</v>
      </c>
      <c r="G247" s="5" t="s">
        <v>619</v>
      </c>
      <c r="H247" s="27">
        <v>1.0</v>
      </c>
      <c r="I247" s="27">
        <v>0.976</v>
      </c>
      <c r="J247" s="27">
        <v>0.5</v>
      </c>
      <c r="K247" s="27">
        <v>1.0</v>
      </c>
      <c r="L247" s="4" t="str">
        <f>IMAGE("https://drive.google.com/uc?export=view&amp;id=1O9rXGnJ2aWqVZESVSjpB1Aysa-ETSgt_")</f>
        <v/>
      </c>
    </row>
    <row r="248" ht="22.5" customHeight="1">
      <c r="A248" s="4">
        <v>247.0</v>
      </c>
      <c r="B248" s="3" t="s">
        <v>7</v>
      </c>
      <c r="C248" s="3">
        <v>64.0</v>
      </c>
      <c r="D248" s="3">
        <v>5.0</v>
      </c>
      <c r="E248" s="5" t="s">
        <v>64</v>
      </c>
      <c r="F248" s="5" t="s">
        <v>620</v>
      </c>
      <c r="G248" s="5" t="s">
        <v>621</v>
      </c>
      <c r="H248" s="27">
        <v>0.4</v>
      </c>
      <c r="I248" s="27">
        <v>0.901</v>
      </c>
      <c r="J248" s="27">
        <v>1.0</v>
      </c>
      <c r="K248" s="27">
        <v>0.833</v>
      </c>
      <c r="L248" s="4" t="str">
        <f>IMAGE("https://drive.google.com/uc?export=view&amp;id=12f5T4W6AIb4tqpFI6luNIqoTACzwACaz")</f>
        <v/>
      </c>
    </row>
    <row r="249" ht="22.5" customHeight="1">
      <c r="A249" s="4">
        <v>248.0</v>
      </c>
      <c r="B249" s="3" t="s">
        <v>7</v>
      </c>
      <c r="C249" s="3">
        <v>64.0</v>
      </c>
      <c r="D249" s="3">
        <v>5.0</v>
      </c>
      <c r="E249" s="5" t="s">
        <v>67</v>
      </c>
      <c r="F249" s="5" t="s">
        <v>622</v>
      </c>
      <c r="G249" s="5" t="s">
        <v>623</v>
      </c>
      <c r="H249" s="27">
        <v>0.75</v>
      </c>
      <c r="I249" s="27">
        <v>0.883</v>
      </c>
      <c r="J249" s="27">
        <v>1.0</v>
      </c>
      <c r="K249" s="27">
        <v>1.0</v>
      </c>
      <c r="L249" s="4" t="str">
        <f>IMAGE("https://drive.google.com/uc?export=view&amp;id=1NIozVwqMD2CG__dbjbiw9wWmJLTGzQDl")</f>
        <v/>
      </c>
    </row>
    <row r="250" ht="22.5" customHeight="1">
      <c r="A250" s="4">
        <v>249.0</v>
      </c>
      <c r="B250" s="3" t="s">
        <v>7</v>
      </c>
      <c r="C250" s="3">
        <v>64.0</v>
      </c>
      <c r="D250" s="3">
        <v>5.0</v>
      </c>
      <c r="E250" s="5" t="s">
        <v>70</v>
      </c>
      <c r="F250" s="5" t="s">
        <v>624</v>
      </c>
      <c r="G250" s="5" t="s">
        <v>625</v>
      </c>
      <c r="H250" s="27">
        <v>0.5</v>
      </c>
      <c r="I250" s="27">
        <v>0.686</v>
      </c>
      <c r="J250" s="27">
        <v>0.417</v>
      </c>
      <c r="K250" s="27">
        <v>1.0</v>
      </c>
      <c r="L250" s="4" t="str">
        <f>IMAGE("https://drive.google.com/uc?export=view&amp;id=1bisemCUfu0neTF9Or7iad1pnyZ3Uh6nj")</f>
        <v/>
      </c>
    </row>
    <row r="251" ht="22.5" customHeight="1">
      <c r="A251" s="4">
        <v>250.0</v>
      </c>
      <c r="B251" s="3" t="s">
        <v>7</v>
      </c>
      <c r="C251" s="3">
        <v>64.0</v>
      </c>
      <c r="D251" s="3">
        <v>5.0</v>
      </c>
      <c r="E251" s="5" t="s">
        <v>73</v>
      </c>
      <c r="F251" s="5" t="s">
        <v>626</v>
      </c>
      <c r="G251" s="5" t="s">
        <v>627</v>
      </c>
      <c r="H251" s="27">
        <v>0.92</v>
      </c>
      <c r="I251" s="27">
        <v>0.946</v>
      </c>
      <c r="J251" s="27">
        <v>1.0</v>
      </c>
      <c r="K251" s="27">
        <v>1.0</v>
      </c>
      <c r="L251" s="4" t="str">
        <f>IMAGE("https://drive.google.com/uc?export=view&amp;id=1jOyViOOgIa9tO1sgw5u7CzHVhYDSTM7u")</f>
        <v/>
      </c>
    </row>
    <row r="252" ht="22.5" customHeight="1">
      <c r="A252" s="4">
        <v>251.0</v>
      </c>
      <c r="B252" s="3" t="s">
        <v>7</v>
      </c>
      <c r="C252" s="3">
        <v>64.0</v>
      </c>
      <c r="D252" s="3">
        <v>5.0</v>
      </c>
      <c r="E252" s="5" t="s">
        <v>76</v>
      </c>
      <c r="F252" s="5" t="s">
        <v>628</v>
      </c>
      <c r="G252" s="5" t="s">
        <v>629</v>
      </c>
      <c r="H252" s="27">
        <v>0.267</v>
      </c>
      <c r="I252" s="27">
        <v>0.664</v>
      </c>
      <c r="J252" s="27">
        <v>1.0</v>
      </c>
      <c r="K252" s="27">
        <v>1.0</v>
      </c>
      <c r="L252" s="4" t="str">
        <f>IMAGE("https://drive.google.com/uc?export=view&amp;id=1dhhHei6wy8DIKgr9JpSnPVTPmeuOQPvX")</f>
        <v/>
      </c>
    </row>
    <row r="253" ht="22.5" customHeight="1">
      <c r="A253" s="4">
        <v>252.0</v>
      </c>
      <c r="B253" s="3" t="s">
        <v>7</v>
      </c>
      <c r="C253" s="3">
        <v>64.0</v>
      </c>
      <c r="D253" s="3">
        <v>5.0</v>
      </c>
      <c r="E253" s="5" t="s">
        <v>79</v>
      </c>
      <c r="F253" s="5" t="s">
        <v>630</v>
      </c>
      <c r="G253" s="5" t="s">
        <v>631</v>
      </c>
      <c r="H253" s="27">
        <v>0.643</v>
      </c>
      <c r="I253" s="27">
        <v>0.912</v>
      </c>
      <c r="J253" s="27">
        <v>0.679</v>
      </c>
      <c r="K253" s="27">
        <v>0.0</v>
      </c>
      <c r="L253" s="4" t="str">
        <f>IMAGE("https://drive.google.com/uc?export=view&amp;id=1jp2to3Q9IG27AZZIMaZGx95PmBM7iFSN")</f>
        <v/>
      </c>
    </row>
    <row r="254" ht="22.5" customHeight="1">
      <c r="A254" s="4">
        <v>253.0</v>
      </c>
      <c r="B254" s="3" t="s">
        <v>7</v>
      </c>
      <c r="C254" s="3">
        <v>64.0</v>
      </c>
      <c r="D254" s="3">
        <v>5.0</v>
      </c>
      <c r="E254" s="5" t="s">
        <v>82</v>
      </c>
      <c r="F254" s="5" t="s">
        <v>632</v>
      </c>
      <c r="G254" s="5" t="s">
        <v>633</v>
      </c>
      <c r="H254" s="27">
        <v>0.4</v>
      </c>
      <c r="I254" s="27">
        <v>0.634</v>
      </c>
      <c r="J254" s="27">
        <v>0.887</v>
      </c>
      <c r="K254" s="27">
        <v>0.167</v>
      </c>
      <c r="L254" s="4" t="str">
        <f>IMAGE("https://drive.google.com/uc?export=view&amp;id=17erggUWHDty3xWg0WkJZTKRIWQrWsW_T")</f>
        <v/>
      </c>
    </row>
    <row r="255" ht="22.5" customHeight="1">
      <c r="A255" s="4">
        <v>254.0</v>
      </c>
      <c r="B255" s="3" t="s">
        <v>7</v>
      </c>
      <c r="C255" s="3">
        <v>64.0</v>
      </c>
      <c r="D255" s="3">
        <v>5.0</v>
      </c>
      <c r="E255" s="5" t="s">
        <v>85</v>
      </c>
      <c r="F255" s="5" t="s">
        <v>634</v>
      </c>
      <c r="G255" s="5" t="s">
        <v>635</v>
      </c>
      <c r="H255" s="27">
        <v>0.778</v>
      </c>
      <c r="I255" s="27">
        <v>0.982</v>
      </c>
      <c r="J255" s="27">
        <v>0.2</v>
      </c>
      <c r="K255" s="27">
        <v>1.0</v>
      </c>
      <c r="L255" s="4" t="str">
        <f>IMAGE("https://drive.google.com/uc?export=view&amp;id=1Ch03urZW6g9gBfYH5CfKwUTXiNG8zJw2")</f>
        <v/>
      </c>
    </row>
    <row r="256" ht="22.5" customHeight="1">
      <c r="A256" s="4">
        <v>255.0</v>
      </c>
      <c r="B256" s="3" t="s">
        <v>7</v>
      </c>
      <c r="C256" s="3">
        <v>64.0</v>
      </c>
      <c r="D256" s="3">
        <v>5.0</v>
      </c>
      <c r="E256" s="5" t="s">
        <v>88</v>
      </c>
      <c r="F256" s="5" t="s">
        <v>636</v>
      </c>
      <c r="G256" s="5" t="s">
        <v>637</v>
      </c>
      <c r="H256" s="27">
        <v>0.429</v>
      </c>
      <c r="I256" s="27">
        <v>0.0</v>
      </c>
      <c r="J256" s="27">
        <v>0.0</v>
      </c>
      <c r="K256" s="27">
        <v>0.333</v>
      </c>
      <c r="L256" s="4" t="str">
        <f>IMAGE("https://drive.google.com/uc?export=view&amp;id=1rduqT1IvqLKh0BOLyi9KlAFUk4E1m47N")</f>
        <v/>
      </c>
    </row>
    <row r="257" ht="22.5" customHeight="1">
      <c r="A257" s="4">
        <v>256.0</v>
      </c>
      <c r="B257" s="3" t="s">
        <v>7</v>
      </c>
      <c r="C257" s="3">
        <v>64.0</v>
      </c>
      <c r="D257" s="3">
        <v>5.0</v>
      </c>
      <c r="E257" s="5" t="s">
        <v>91</v>
      </c>
      <c r="F257" s="5" t="s">
        <v>638</v>
      </c>
      <c r="G257" s="5" t="s">
        <v>639</v>
      </c>
      <c r="H257" s="27">
        <v>1.0</v>
      </c>
      <c r="I257" s="27">
        <v>0.907</v>
      </c>
      <c r="J257" s="27">
        <v>0.804</v>
      </c>
      <c r="K257" s="27">
        <v>1.0</v>
      </c>
      <c r="L257" s="4" t="str">
        <f>IMAGE("https://drive.google.com/uc?export=view&amp;id=1-q8SZAGe-Urfh3ur-HYly1IU03zeXwvJ")</f>
        <v/>
      </c>
    </row>
    <row r="258" ht="22.5" customHeight="1">
      <c r="A258" s="4">
        <v>257.0</v>
      </c>
      <c r="B258" s="3" t="s">
        <v>7</v>
      </c>
      <c r="C258" s="3">
        <v>64.0</v>
      </c>
      <c r="D258" s="3">
        <v>5.0</v>
      </c>
      <c r="E258" s="5" t="s">
        <v>94</v>
      </c>
      <c r="F258" s="5" t="s">
        <v>640</v>
      </c>
      <c r="G258" s="5" t="s">
        <v>641</v>
      </c>
      <c r="H258" s="27">
        <v>0.2</v>
      </c>
      <c r="I258" s="27">
        <v>0.66</v>
      </c>
      <c r="J258" s="27">
        <v>0.2</v>
      </c>
      <c r="K258" s="27">
        <v>1.0</v>
      </c>
      <c r="L258" s="4" t="str">
        <f>IMAGE("https://drive.google.com/uc?export=view&amp;id=1SY7-PjupdGWhKHFA9zSe4A4tk1jvwm1k")</f>
        <v/>
      </c>
    </row>
    <row r="259" ht="22.5" customHeight="1">
      <c r="A259" s="4">
        <v>258.0</v>
      </c>
      <c r="B259" s="3" t="s">
        <v>7</v>
      </c>
      <c r="C259" s="3">
        <v>64.0</v>
      </c>
      <c r="D259" s="3">
        <v>5.0</v>
      </c>
      <c r="E259" s="5" t="s">
        <v>97</v>
      </c>
      <c r="F259" s="5" t="s">
        <v>642</v>
      </c>
      <c r="G259" s="5" t="s">
        <v>643</v>
      </c>
      <c r="H259" s="27">
        <v>0.625</v>
      </c>
      <c r="I259" s="27">
        <v>0.902</v>
      </c>
      <c r="J259" s="27">
        <v>0.589</v>
      </c>
      <c r="K259" s="27">
        <v>0.75</v>
      </c>
      <c r="L259" s="4" t="str">
        <f>IMAGE("https://drive.google.com/uc?export=view&amp;id=1SyjX8yvhtw8I4Ffr3FUb5V4dWNLW6pJT")</f>
        <v/>
      </c>
    </row>
    <row r="260" ht="22.5" customHeight="1">
      <c r="A260" s="4">
        <v>259.0</v>
      </c>
      <c r="B260" s="3" t="s">
        <v>7</v>
      </c>
      <c r="C260" s="3">
        <v>64.0</v>
      </c>
      <c r="D260" s="3">
        <v>5.0</v>
      </c>
      <c r="E260" s="5" t="s">
        <v>100</v>
      </c>
      <c r="F260" s="5" t="s">
        <v>644</v>
      </c>
      <c r="G260" s="5" t="s">
        <v>645</v>
      </c>
      <c r="H260" s="27">
        <v>0.923</v>
      </c>
      <c r="I260" s="27">
        <v>0.962</v>
      </c>
      <c r="J260" s="27">
        <v>0.0</v>
      </c>
      <c r="K260" s="27">
        <v>1.0</v>
      </c>
      <c r="L260" s="4" t="str">
        <f>IMAGE("https://drive.google.com/uc?export=view&amp;id=1P1EdEvqUlKyZi4B19sZNzUcbhjD6Z2cN")</f>
        <v/>
      </c>
    </row>
    <row r="261" ht="22.5" customHeight="1">
      <c r="A261" s="4">
        <v>260.0</v>
      </c>
      <c r="B261" s="3" t="s">
        <v>7</v>
      </c>
      <c r="C261" s="3">
        <v>64.0</v>
      </c>
      <c r="D261" s="3">
        <v>5.0</v>
      </c>
      <c r="E261" s="5" t="s">
        <v>115</v>
      </c>
      <c r="F261" s="5" t="s">
        <v>646</v>
      </c>
      <c r="G261" s="5" t="s">
        <v>647</v>
      </c>
      <c r="H261" s="27">
        <v>0.5</v>
      </c>
      <c r="I261" s="27">
        <v>0.945</v>
      </c>
      <c r="J261" s="27">
        <v>0.679</v>
      </c>
      <c r="K261" s="27">
        <v>1.0</v>
      </c>
      <c r="L261" s="4" t="str">
        <f>IMAGE("https://drive.google.com/uc?export=view&amp;id=1-6PFl_PGwmIQpNhuoJaQ71sLDXzOD5J8")</f>
        <v/>
      </c>
    </row>
    <row r="262" ht="22.5" customHeight="1">
      <c r="A262" s="4">
        <v>261.0</v>
      </c>
      <c r="B262" s="3" t="s">
        <v>7</v>
      </c>
      <c r="C262" s="3">
        <v>64.0</v>
      </c>
      <c r="D262" s="3">
        <v>5.0</v>
      </c>
      <c r="E262" s="5" t="s">
        <v>103</v>
      </c>
      <c r="F262" s="5" t="s">
        <v>648</v>
      </c>
      <c r="G262" s="5" t="s">
        <v>649</v>
      </c>
      <c r="H262" s="27">
        <v>0.333</v>
      </c>
      <c r="I262" s="27">
        <v>0.987</v>
      </c>
      <c r="J262" s="27">
        <v>1.0</v>
      </c>
      <c r="K262" s="27">
        <v>1.0</v>
      </c>
      <c r="L262" s="4" t="str">
        <f>IMAGE("https://drive.google.com/uc?export=view&amp;id=1cT7FKEjHnSeMfD9dtU0PZOJImuzxL_yU")</f>
        <v/>
      </c>
    </row>
    <row r="263" ht="22.5" customHeight="1">
      <c r="A263" s="4">
        <v>262.0</v>
      </c>
      <c r="B263" s="3" t="s">
        <v>7</v>
      </c>
      <c r="C263" s="3">
        <v>64.0</v>
      </c>
      <c r="D263" s="3">
        <v>5.0</v>
      </c>
      <c r="E263" s="5" t="s">
        <v>106</v>
      </c>
      <c r="F263" s="5" t="s">
        <v>650</v>
      </c>
      <c r="G263" s="5" t="s">
        <v>651</v>
      </c>
      <c r="H263" s="27">
        <v>0.625</v>
      </c>
      <c r="I263" s="27">
        <v>0.0</v>
      </c>
      <c r="J263" s="27">
        <v>0.0</v>
      </c>
      <c r="K263" s="27">
        <v>0.6</v>
      </c>
      <c r="L263" s="4" t="str">
        <f>IMAGE("https://drive.google.com/uc?export=view&amp;id=1NUiadzzxdQQiFJbFf2tpNyJjpHLJhi4b")</f>
        <v/>
      </c>
    </row>
    <row r="264" ht="22.5" customHeight="1">
      <c r="A264" s="4">
        <v>263.0</v>
      </c>
      <c r="B264" s="3" t="s">
        <v>7</v>
      </c>
      <c r="C264" s="3">
        <v>64.0</v>
      </c>
      <c r="D264" s="3">
        <v>5.0</v>
      </c>
      <c r="E264" s="5" t="s">
        <v>109</v>
      </c>
      <c r="F264" s="5" t="s">
        <v>652</v>
      </c>
      <c r="G264" s="5" t="s">
        <v>653</v>
      </c>
      <c r="H264" s="27">
        <v>0.071</v>
      </c>
      <c r="I264" s="27">
        <v>0.555</v>
      </c>
      <c r="J264" s="27">
        <v>0.887</v>
      </c>
      <c r="K264" s="27">
        <v>1.0</v>
      </c>
      <c r="L264" s="4" t="str">
        <f>IMAGE("https://drive.google.com/uc?export=view&amp;id=1kzrb188xndDnGJuqywdV3aOwohJul-fd")</f>
        <v/>
      </c>
    </row>
    <row r="265" ht="22.5" customHeight="1">
      <c r="A265" s="4">
        <v>264.0</v>
      </c>
      <c r="B265" s="3" t="s">
        <v>7</v>
      </c>
      <c r="C265" s="3">
        <v>64.0</v>
      </c>
      <c r="D265" s="3">
        <v>5.0</v>
      </c>
      <c r="E265" s="5" t="s">
        <v>112</v>
      </c>
      <c r="F265" s="5" t="s">
        <v>654</v>
      </c>
      <c r="G265" s="5" t="s">
        <v>655</v>
      </c>
      <c r="H265" s="27">
        <v>0.667</v>
      </c>
      <c r="I265" s="27">
        <v>0.947</v>
      </c>
      <c r="J265" s="27">
        <v>1.0</v>
      </c>
      <c r="K265" s="27">
        <v>0.167</v>
      </c>
      <c r="L265" s="4" t="str">
        <f>IMAGE("https://drive.google.com/uc?export=view&amp;id=1Y7SxBDgv-4jC1wWi4YP0WjaJK_YtLBrY")</f>
        <v/>
      </c>
    </row>
    <row r="266" ht="22.5" customHeight="1">
      <c r="A266" s="4">
        <v>265.0</v>
      </c>
      <c r="B266" s="3" t="s">
        <v>7</v>
      </c>
      <c r="C266" s="3">
        <v>64.0</v>
      </c>
      <c r="D266" s="3">
        <v>5.0</v>
      </c>
      <c r="E266" s="5" t="s">
        <v>118</v>
      </c>
      <c r="F266" s="5" t="s">
        <v>656</v>
      </c>
      <c r="G266" s="5" t="s">
        <v>657</v>
      </c>
      <c r="H266" s="27">
        <v>0.556</v>
      </c>
      <c r="I266" s="27">
        <v>0.826</v>
      </c>
      <c r="J266" s="27">
        <v>1.0</v>
      </c>
      <c r="K266" s="27">
        <v>0.75</v>
      </c>
      <c r="L266" s="4" t="str">
        <f>IMAGE("https://drive.google.com/uc?export=view&amp;id=18lNsHEk3gFY-bzjjtGBzQ7A-lluPvtvf")</f>
        <v/>
      </c>
    </row>
    <row r="267" ht="22.5" customHeight="1">
      <c r="A267" s="4">
        <v>266.0</v>
      </c>
      <c r="B267" s="3" t="s">
        <v>7</v>
      </c>
      <c r="C267" s="3">
        <v>64.0</v>
      </c>
      <c r="D267" s="3">
        <v>5.0</v>
      </c>
      <c r="E267" s="5" t="s">
        <v>121</v>
      </c>
      <c r="F267" s="5" t="s">
        <v>658</v>
      </c>
      <c r="G267" s="5" t="s">
        <v>659</v>
      </c>
      <c r="H267" s="27">
        <v>0.667</v>
      </c>
      <c r="I267" s="27">
        <v>0.993</v>
      </c>
      <c r="J267" s="27">
        <v>0.0</v>
      </c>
      <c r="K267" s="27">
        <v>0.875</v>
      </c>
      <c r="L267" s="4" t="str">
        <f>IMAGE("https://drive.google.com/uc?export=view&amp;id=1uKraOi9ZFpB-fToq4EQHZwzn1eQIBiMh")</f>
        <v/>
      </c>
    </row>
    <row r="268" ht="22.5" customHeight="1">
      <c r="A268" s="4">
        <v>267.0</v>
      </c>
      <c r="B268" s="3" t="s">
        <v>7</v>
      </c>
      <c r="C268" s="3">
        <v>64.0</v>
      </c>
      <c r="D268" s="3">
        <v>5.0</v>
      </c>
      <c r="E268" s="5" t="s">
        <v>124</v>
      </c>
      <c r="F268" s="5" t="s">
        <v>660</v>
      </c>
      <c r="G268" s="5" t="s">
        <v>661</v>
      </c>
      <c r="H268" s="27">
        <v>0.714</v>
      </c>
      <c r="I268" s="27">
        <v>0.908</v>
      </c>
      <c r="J268" s="27">
        <v>0.806</v>
      </c>
      <c r="K268" s="27">
        <v>0.75</v>
      </c>
      <c r="L268" s="4" t="str">
        <f>IMAGE("https://drive.google.com/uc?export=view&amp;id=1qZfL6DKF0kwxomMfvCaodgl-e9_GAnZm")</f>
        <v/>
      </c>
    </row>
    <row r="269" ht="22.5" customHeight="1">
      <c r="A269" s="4">
        <v>268.0</v>
      </c>
      <c r="B269" s="3" t="s">
        <v>7</v>
      </c>
      <c r="C269" s="3">
        <v>64.0</v>
      </c>
      <c r="D269" s="3">
        <v>5.0</v>
      </c>
      <c r="E269" s="5" t="s">
        <v>127</v>
      </c>
      <c r="F269" s="5" t="s">
        <v>662</v>
      </c>
      <c r="G269" s="5" t="s">
        <v>663</v>
      </c>
      <c r="H269" s="27">
        <v>1.0</v>
      </c>
      <c r="I269" s="27">
        <v>0.979</v>
      </c>
      <c r="J269" s="27">
        <v>1.0</v>
      </c>
      <c r="K269" s="27">
        <v>1.0</v>
      </c>
      <c r="L269" s="4" t="str">
        <f>IMAGE("https://drive.google.com/uc?export=view&amp;id=1vgTfsJkEqrKgXfSVq7p3J28mKDSr8jEM")</f>
        <v/>
      </c>
    </row>
    <row r="270" ht="22.5" customHeight="1">
      <c r="A270" s="4">
        <v>269.0</v>
      </c>
      <c r="B270" s="3" t="s">
        <v>7</v>
      </c>
      <c r="C270" s="3">
        <v>64.0</v>
      </c>
      <c r="D270" s="3">
        <v>5.0</v>
      </c>
      <c r="E270" s="5" t="s">
        <v>130</v>
      </c>
      <c r="F270" s="5" t="s">
        <v>664</v>
      </c>
      <c r="G270" s="5" t="s">
        <v>665</v>
      </c>
      <c r="H270" s="27">
        <v>0.583</v>
      </c>
      <c r="I270" s="27">
        <v>0.939</v>
      </c>
      <c r="J270" s="27">
        <v>1.0</v>
      </c>
      <c r="K270" s="27">
        <v>0.714</v>
      </c>
      <c r="L270" s="4" t="str">
        <f>IMAGE("https://drive.google.com/uc?export=view&amp;id=1THALSPUJWOVxqhomJymAqlsZhWR9buSz")</f>
        <v/>
      </c>
    </row>
    <row r="271" ht="22.5" customHeight="1">
      <c r="A271" s="4">
        <v>270.0</v>
      </c>
      <c r="B271" s="3" t="s">
        <v>7</v>
      </c>
      <c r="C271" s="3">
        <v>64.0</v>
      </c>
      <c r="D271" s="3">
        <v>5.0</v>
      </c>
      <c r="E271" s="5" t="s">
        <v>136</v>
      </c>
      <c r="F271" s="5" t="s">
        <v>666</v>
      </c>
      <c r="G271" s="5" t="s">
        <v>667</v>
      </c>
      <c r="H271" s="27">
        <v>0.75</v>
      </c>
      <c r="I271" s="27">
        <v>0.996</v>
      </c>
      <c r="J271" s="27">
        <v>1.0</v>
      </c>
      <c r="K271" s="27">
        <v>0.75</v>
      </c>
      <c r="L271" s="4" t="str">
        <f>IMAGE("https://drive.google.com/uc?export=view&amp;id=1s-oxfvT3mjHvWVm6eP2qZzcseQvJvP2t")</f>
        <v/>
      </c>
    </row>
    <row r="272" ht="22.5" customHeight="1">
      <c r="A272" s="4">
        <v>271.0</v>
      </c>
      <c r="B272" s="3" t="s">
        <v>7</v>
      </c>
      <c r="C272" s="3">
        <v>64.0</v>
      </c>
      <c r="D272" s="3">
        <v>5.0</v>
      </c>
      <c r="E272" s="5" t="s">
        <v>139</v>
      </c>
      <c r="F272" s="5" t="s">
        <v>668</v>
      </c>
      <c r="G272" s="5" t="s">
        <v>669</v>
      </c>
      <c r="H272" s="27">
        <v>0.455</v>
      </c>
      <c r="I272" s="27">
        <v>0.0</v>
      </c>
      <c r="J272" s="27">
        <v>0.478</v>
      </c>
      <c r="K272" s="27">
        <v>1.0</v>
      </c>
      <c r="L272" s="4" t="str">
        <f>IMAGE("https://drive.google.com/uc?export=view&amp;id=1RVnwKBdb1y--KXcwSk-Ry3i71YXgkyEa")</f>
        <v/>
      </c>
    </row>
    <row r="273" ht="22.5" customHeight="1">
      <c r="A273" s="4">
        <v>272.0</v>
      </c>
      <c r="B273" s="3" t="s">
        <v>7</v>
      </c>
      <c r="C273" s="3">
        <v>64.0</v>
      </c>
      <c r="D273" s="3">
        <v>5.0</v>
      </c>
      <c r="E273" s="5" t="s">
        <v>142</v>
      </c>
      <c r="F273" s="5" t="s">
        <v>670</v>
      </c>
      <c r="G273" s="5" t="s">
        <v>671</v>
      </c>
      <c r="H273" s="27">
        <v>0.0</v>
      </c>
      <c r="I273" s="27">
        <v>0.0</v>
      </c>
      <c r="J273" s="27">
        <v>0.0</v>
      </c>
      <c r="K273" s="27">
        <v>0.125</v>
      </c>
      <c r="L273" s="4" t="str">
        <f>IMAGE("https://drive.google.com/uc?export=view&amp;id=1aUNor0i-UD4A73JgrENyWnAF7edelA1_")</f>
        <v/>
      </c>
    </row>
    <row r="274" ht="22.5" customHeight="1">
      <c r="A274" s="4">
        <v>273.0</v>
      </c>
      <c r="B274" s="3" t="s">
        <v>7</v>
      </c>
      <c r="C274" s="3">
        <v>64.0</v>
      </c>
      <c r="D274" s="3">
        <v>5.0</v>
      </c>
      <c r="E274" s="5" t="s">
        <v>145</v>
      </c>
      <c r="F274" s="5" t="s">
        <v>672</v>
      </c>
      <c r="G274" s="5" t="s">
        <v>673</v>
      </c>
      <c r="H274" s="27">
        <v>0.688</v>
      </c>
      <c r="I274" s="27">
        <v>0.0</v>
      </c>
      <c r="J274" s="27">
        <v>0.533</v>
      </c>
      <c r="K274" s="27">
        <v>0.875</v>
      </c>
      <c r="L274" s="4" t="str">
        <f>IMAGE("https://drive.google.com/uc?export=view&amp;id=1Dv_9mu6bX0H8p0lX9xXm4D5uk2CoYxTR")</f>
        <v/>
      </c>
    </row>
    <row r="275" ht="22.5" customHeight="1">
      <c r="A275" s="4">
        <v>274.0</v>
      </c>
      <c r="B275" s="3" t="s">
        <v>7</v>
      </c>
      <c r="C275" s="3">
        <v>64.0</v>
      </c>
      <c r="D275" s="3">
        <v>5.0</v>
      </c>
      <c r="E275" s="5" t="s">
        <v>148</v>
      </c>
      <c r="F275" s="5" t="s">
        <v>674</v>
      </c>
      <c r="G275" s="5" t="s">
        <v>675</v>
      </c>
      <c r="H275" s="27">
        <v>0.4</v>
      </c>
      <c r="I275" s="27">
        <v>0.774</v>
      </c>
      <c r="J275" s="27">
        <v>1.0</v>
      </c>
      <c r="K275" s="27">
        <v>1.0</v>
      </c>
      <c r="L275" s="4" t="str">
        <f>IMAGE("https://drive.google.com/uc?export=view&amp;id=1zzuwG2MFJMw7qGRk5T6rpMrXv033qASZ")</f>
        <v/>
      </c>
    </row>
    <row r="276" ht="22.5" customHeight="1">
      <c r="A276" s="4">
        <v>275.0</v>
      </c>
      <c r="B276" s="3" t="s">
        <v>7</v>
      </c>
      <c r="C276" s="3">
        <v>64.0</v>
      </c>
      <c r="D276" s="3">
        <v>5.0</v>
      </c>
      <c r="E276" s="5" t="s">
        <v>151</v>
      </c>
      <c r="F276" s="5" t="s">
        <v>676</v>
      </c>
      <c r="G276" s="5" t="s">
        <v>677</v>
      </c>
      <c r="H276" s="27">
        <v>0.714</v>
      </c>
      <c r="I276" s="27">
        <v>0.888</v>
      </c>
      <c r="J276" s="27">
        <v>1.0</v>
      </c>
      <c r="K276" s="27">
        <v>1.0</v>
      </c>
      <c r="L276" s="4" t="str">
        <f>IMAGE("https://drive.google.com/uc?export=view&amp;id=1eiyylUojx7W0mjJ2HYBsIPUsdjHVCCS5")</f>
        <v/>
      </c>
    </row>
    <row r="277" ht="22.5" customHeight="1">
      <c r="A277" s="4">
        <v>276.0</v>
      </c>
      <c r="B277" s="3" t="s">
        <v>7</v>
      </c>
      <c r="C277" s="3">
        <v>64.0</v>
      </c>
      <c r="D277" s="3">
        <v>5.0</v>
      </c>
      <c r="E277" s="5" t="s">
        <v>154</v>
      </c>
      <c r="F277" s="5" t="s">
        <v>678</v>
      </c>
      <c r="G277" s="5" t="s">
        <v>679</v>
      </c>
      <c r="H277" s="27">
        <v>0.75</v>
      </c>
      <c r="I277" s="27">
        <v>0.915</v>
      </c>
      <c r="J277" s="27">
        <v>1.0</v>
      </c>
      <c r="K277" s="27">
        <v>0.286</v>
      </c>
      <c r="L277" s="4" t="str">
        <f>IMAGE("https://drive.google.com/uc?export=view&amp;id=1Zbw9BTX1kmd5vVpGdTa5fNS02cPT2_rF")</f>
        <v/>
      </c>
    </row>
    <row r="278" ht="22.5" customHeight="1">
      <c r="A278" s="4">
        <v>277.0</v>
      </c>
      <c r="B278" s="3" t="s">
        <v>7</v>
      </c>
      <c r="C278" s="3">
        <v>64.0</v>
      </c>
      <c r="D278" s="3">
        <v>5.0</v>
      </c>
      <c r="E278" s="5" t="s">
        <v>157</v>
      </c>
      <c r="F278" s="5" t="s">
        <v>680</v>
      </c>
      <c r="G278" s="5" t="s">
        <v>681</v>
      </c>
      <c r="H278" s="27">
        <v>0.524</v>
      </c>
      <c r="I278" s="27">
        <v>0.0</v>
      </c>
      <c r="J278" s="27">
        <v>0.0</v>
      </c>
      <c r="K278" s="27">
        <v>1.0</v>
      </c>
      <c r="L278" s="4" t="str">
        <f>IMAGE("https://drive.google.com/uc?export=view&amp;id=1x_OKNjO5KgDpd7o5_pOSRfpgsxQ2PLq6")</f>
        <v/>
      </c>
    </row>
    <row r="279" ht="22.5" customHeight="1">
      <c r="A279" s="4">
        <v>278.0</v>
      </c>
      <c r="B279" s="3" t="s">
        <v>7</v>
      </c>
      <c r="C279" s="3">
        <v>64.0</v>
      </c>
      <c r="D279" s="3">
        <v>5.0</v>
      </c>
      <c r="E279" s="5" t="s">
        <v>160</v>
      </c>
      <c r="F279" s="5" t="s">
        <v>682</v>
      </c>
      <c r="G279" s="5" t="s">
        <v>683</v>
      </c>
      <c r="H279" s="27">
        <v>0.727</v>
      </c>
      <c r="I279" s="27">
        <v>0.673</v>
      </c>
      <c r="J279" s="27">
        <v>0.95</v>
      </c>
      <c r="K279" s="27">
        <v>1.0</v>
      </c>
      <c r="L279" s="4" t="str">
        <f>IMAGE("https://drive.google.com/uc?export=view&amp;id=1FG7b_sCwMj2ah5uYAbJBwE4mad3kpEfw")</f>
        <v/>
      </c>
    </row>
    <row r="280" ht="22.5" customHeight="1">
      <c r="A280" s="4">
        <v>279.0</v>
      </c>
      <c r="B280" s="3" t="s">
        <v>7</v>
      </c>
      <c r="C280" s="3">
        <v>64.0</v>
      </c>
      <c r="D280" s="3">
        <v>5.0</v>
      </c>
      <c r="E280" s="5" t="s">
        <v>163</v>
      </c>
      <c r="F280" s="5" t="s">
        <v>684</v>
      </c>
      <c r="G280" s="5" t="s">
        <v>685</v>
      </c>
      <c r="H280" s="27">
        <v>1.0</v>
      </c>
      <c r="I280" s="27">
        <v>0.535</v>
      </c>
      <c r="J280" s="27">
        <v>1.0</v>
      </c>
      <c r="K280" s="27">
        <v>1.0</v>
      </c>
      <c r="L280" s="4" t="str">
        <f>IMAGE("https://drive.google.com/uc?export=view&amp;id=1sQazof6wpxGOnaI-2UFoDnqucodDjbiu")</f>
        <v/>
      </c>
    </row>
    <row r="281" ht="22.5" customHeight="1">
      <c r="A281" s="4">
        <v>280.0</v>
      </c>
      <c r="B281" s="3" t="s">
        <v>7</v>
      </c>
      <c r="C281" s="3">
        <v>64.0</v>
      </c>
      <c r="D281" s="3">
        <v>5.0</v>
      </c>
      <c r="E281" s="5" t="s">
        <v>133</v>
      </c>
      <c r="F281" s="5" t="s">
        <v>686</v>
      </c>
      <c r="G281" s="5" t="s">
        <v>687</v>
      </c>
      <c r="H281" s="27">
        <v>0.5</v>
      </c>
      <c r="I281" s="27">
        <v>0.905</v>
      </c>
      <c r="J281" s="27">
        <v>0.804</v>
      </c>
      <c r="K281" s="27">
        <v>0.667</v>
      </c>
      <c r="L281" s="4" t="str">
        <f>IMAGE("https://drive.google.com/uc?export=view&amp;id=1ZOR7Yc79nBz5VWbZeH6eyq8D7FdYPj6E")</f>
        <v/>
      </c>
    </row>
    <row r="282" ht="22.5" customHeight="1">
      <c r="A282" s="4">
        <v>281.0</v>
      </c>
      <c r="B282" s="3" t="s">
        <v>7</v>
      </c>
      <c r="C282" s="3">
        <v>64.0</v>
      </c>
      <c r="D282" s="3">
        <v>5.0</v>
      </c>
      <c r="E282" s="5" t="s">
        <v>166</v>
      </c>
      <c r="F282" s="5" t="s">
        <v>688</v>
      </c>
      <c r="G282" s="5" t="s">
        <v>689</v>
      </c>
      <c r="H282" s="27">
        <v>0.182</v>
      </c>
      <c r="I282" s="27">
        <v>0.935</v>
      </c>
      <c r="J282" s="27">
        <v>0.589</v>
      </c>
      <c r="K282" s="27">
        <v>0.0</v>
      </c>
      <c r="L282" s="4" t="str">
        <f>IMAGE("https://drive.google.com/uc?export=view&amp;id=1V_SgryW215xYeBzajT_nPyWFNPb79-zs")</f>
        <v/>
      </c>
    </row>
    <row r="283" ht="22.5" customHeight="1">
      <c r="A283" s="4">
        <v>282.0</v>
      </c>
      <c r="B283" s="3" t="s">
        <v>7</v>
      </c>
      <c r="C283" s="3">
        <v>64.0</v>
      </c>
      <c r="D283" s="3">
        <v>5.0</v>
      </c>
      <c r="E283" s="5" t="s">
        <v>169</v>
      </c>
      <c r="F283" s="5" t="s">
        <v>690</v>
      </c>
      <c r="G283" s="5" t="s">
        <v>691</v>
      </c>
      <c r="H283" s="27">
        <v>0.5</v>
      </c>
      <c r="I283" s="27">
        <v>0.693</v>
      </c>
      <c r="J283" s="27">
        <v>0.45</v>
      </c>
      <c r="K283" s="27">
        <v>0.6</v>
      </c>
      <c r="L283" s="4" t="str">
        <f>IMAGE("https://drive.google.com/uc?export=view&amp;id=1RnI3JcHpX9RvJLeoNcMl85IMd1qonTuT")</f>
        <v/>
      </c>
    </row>
    <row r="284" ht="22.5" customHeight="1">
      <c r="A284" s="4">
        <v>283.0</v>
      </c>
      <c r="B284" s="3" t="s">
        <v>7</v>
      </c>
      <c r="C284" s="3">
        <v>64.0</v>
      </c>
      <c r="D284" s="3">
        <v>5.0</v>
      </c>
      <c r="E284" s="5" t="s">
        <v>172</v>
      </c>
      <c r="F284" s="5" t="s">
        <v>692</v>
      </c>
      <c r="G284" s="5" t="s">
        <v>693</v>
      </c>
      <c r="H284" s="27">
        <v>0.593</v>
      </c>
      <c r="I284" s="27">
        <v>0.899</v>
      </c>
      <c r="J284" s="27">
        <v>0.95</v>
      </c>
      <c r="K284" s="27">
        <v>0.0</v>
      </c>
      <c r="L284" s="4" t="str">
        <f>IMAGE("https://drive.google.com/uc?export=view&amp;id=1OzZEcwRIZKvveuGxFHpsuGrR6Cw0jW-n")</f>
        <v/>
      </c>
    </row>
    <row r="285" ht="22.5" customHeight="1">
      <c r="A285" s="4">
        <v>284.0</v>
      </c>
      <c r="B285" s="3" t="s">
        <v>7</v>
      </c>
      <c r="C285" s="3">
        <v>64.0</v>
      </c>
      <c r="D285" s="3">
        <v>5.0</v>
      </c>
      <c r="E285" s="5" t="s">
        <v>175</v>
      </c>
      <c r="F285" s="5" t="s">
        <v>694</v>
      </c>
      <c r="G285" s="5" t="s">
        <v>695</v>
      </c>
      <c r="H285" s="27">
        <v>0.0</v>
      </c>
      <c r="I285" s="27">
        <v>0.0</v>
      </c>
      <c r="J285" s="27">
        <v>0.0</v>
      </c>
      <c r="K285" s="27">
        <v>0.0</v>
      </c>
      <c r="L285" s="4" t="str">
        <f>IMAGE("https://drive.google.com/uc?export=view&amp;id=1cJFw4066mWpcM7J3BgMsoDH9-eFJgkyu")</f>
        <v/>
      </c>
    </row>
    <row r="286" ht="22.5" customHeight="1">
      <c r="A286" s="4">
        <v>285.0</v>
      </c>
      <c r="B286" s="3" t="s">
        <v>7</v>
      </c>
      <c r="C286" s="3">
        <v>64.0</v>
      </c>
      <c r="D286" s="3">
        <v>5.0</v>
      </c>
      <c r="E286" s="5" t="s">
        <v>178</v>
      </c>
      <c r="F286" s="5" t="s">
        <v>696</v>
      </c>
      <c r="G286" s="5" t="s">
        <v>697</v>
      </c>
      <c r="H286" s="27">
        <v>0.889</v>
      </c>
      <c r="I286" s="27">
        <v>0.889</v>
      </c>
      <c r="J286" s="27">
        <v>0.589</v>
      </c>
      <c r="K286" s="27">
        <v>0.0</v>
      </c>
      <c r="L286" s="4" t="str">
        <f>IMAGE("https://drive.google.com/uc?export=view&amp;id=1ewMuOrw3pMx2p_8hEV_etuzga1JnILdM")</f>
        <v/>
      </c>
    </row>
    <row r="287" ht="22.5" customHeight="1">
      <c r="A287" s="4">
        <v>286.0</v>
      </c>
      <c r="B287" s="3" t="s">
        <v>7</v>
      </c>
      <c r="C287" s="3">
        <v>64.0</v>
      </c>
      <c r="D287" s="3">
        <v>5.0</v>
      </c>
      <c r="E287" s="5" t="s">
        <v>181</v>
      </c>
      <c r="F287" s="5" t="s">
        <v>698</v>
      </c>
      <c r="G287" s="5" t="s">
        <v>699</v>
      </c>
      <c r="H287" s="27">
        <v>1.0</v>
      </c>
      <c r="I287" s="27">
        <v>0.0</v>
      </c>
      <c r="J287" s="27">
        <v>0.0</v>
      </c>
      <c r="K287" s="27">
        <v>0.75</v>
      </c>
      <c r="L287" s="4" t="str">
        <f>IMAGE("https://drive.google.com/uc?export=view&amp;id=1I0BhcyE1o9V8_98YHaFt64YB1nKlewwT")</f>
        <v/>
      </c>
    </row>
    <row r="288" ht="22.5" customHeight="1">
      <c r="A288" s="4">
        <v>287.0</v>
      </c>
      <c r="B288" s="3" t="s">
        <v>7</v>
      </c>
      <c r="C288" s="3">
        <v>64.0</v>
      </c>
      <c r="D288" s="3">
        <v>5.0</v>
      </c>
      <c r="E288" s="5" t="s">
        <v>184</v>
      </c>
      <c r="F288" s="5" t="s">
        <v>700</v>
      </c>
      <c r="G288" s="5" t="s">
        <v>701</v>
      </c>
      <c r="H288" s="27">
        <v>1.0</v>
      </c>
      <c r="I288" s="27">
        <v>0.821</v>
      </c>
      <c r="J288" s="27">
        <v>0.639</v>
      </c>
      <c r="K288" s="27">
        <v>1.0</v>
      </c>
      <c r="L288" s="4" t="str">
        <f>IMAGE("https://drive.google.com/uc?export=view&amp;id=1KS9akfGYI6q_f1hD1fqkpqba8BF-_rB4")</f>
        <v/>
      </c>
    </row>
    <row r="289" ht="22.5" customHeight="1">
      <c r="A289" s="4">
        <v>288.0</v>
      </c>
      <c r="B289" s="3" t="s">
        <v>7</v>
      </c>
      <c r="C289" s="3">
        <v>64.0</v>
      </c>
      <c r="D289" s="3">
        <v>5.0</v>
      </c>
      <c r="E289" s="5" t="s">
        <v>187</v>
      </c>
      <c r="F289" s="5" t="s">
        <v>702</v>
      </c>
      <c r="G289" s="5" t="s">
        <v>703</v>
      </c>
      <c r="H289" s="27">
        <v>0.667</v>
      </c>
      <c r="I289" s="27">
        <v>0.754</v>
      </c>
      <c r="J289" s="27">
        <v>1.0</v>
      </c>
      <c r="K289" s="27">
        <v>1.0</v>
      </c>
      <c r="L289" s="4" t="str">
        <f>IMAGE("https://drive.google.com/uc?export=view&amp;id=1LP_Ex1Py144mD78xUY6zJCDL5fJlGh6O")</f>
        <v/>
      </c>
    </row>
    <row r="290" ht="22.5" customHeight="1">
      <c r="A290" s="4">
        <v>289.0</v>
      </c>
      <c r="B290" s="3" t="s">
        <v>7</v>
      </c>
      <c r="C290" s="3">
        <v>64.0</v>
      </c>
      <c r="D290" s="3">
        <v>5.0</v>
      </c>
      <c r="E290" s="5" t="s">
        <v>190</v>
      </c>
      <c r="F290" s="5" t="s">
        <v>704</v>
      </c>
      <c r="G290" s="5" t="s">
        <v>705</v>
      </c>
      <c r="H290" s="27">
        <v>0.071</v>
      </c>
      <c r="I290" s="27">
        <v>0.658</v>
      </c>
      <c r="J290" s="27">
        <v>1.0</v>
      </c>
      <c r="K290" s="27">
        <v>1.0</v>
      </c>
      <c r="L290" s="4" t="str">
        <f>IMAGE("https://drive.google.com/uc?export=view&amp;id=10pTKOQcQJgMyd7Bbepj5cllulqIwX_rI")</f>
        <v/>
      </c>
    </row>
    <row r="291" ht="22.5" customHeight="1">
      <c r="A291" s="4">
        <v>290.0</v>
      </c>
      <c r="B291" s="3" t="s">
        <v>7</v>
      </c>
      <c r="C291" s="3">
        <v>64.0</v>
      </c>
      <c r="D291" s="3">
        <v>5.0</v>
      </c>
      <c r="E291" s="5" t="s">
        <v>199</v>
      </c>
      <c r="F291" s="5" t="s">
        <v>706</v>
      </c>
      <c r="G291" s="5" t="s">
        <v>707</v>
      </c>
      <c r="H291" s="27">
        <v>0.583</v>
      </c>
      <c r="I291" s="27">
        <v>0.862</v>
      </c>
      <c r="J291" s="27">
        <v>0.589</v>
      </c>
      <c r="K291" s="27">
        <v>1.0</v>
      </c>
      <c r="L291" s="4" t="str">
        <f>IMAGE("https://drive.google.com/uc?export=view&amp;id=1N_BsO-CaZC_OCEJme4ASx19crV6jtsDi")</f>
        <v/>
      </c>
    </row>
    <row r="292" ht="22.5" customHeight="1">
      <c r="A292" s="4">
        <v>291.0</v>
      </c>
      <c r="B292" s="3" t="s">
        <v>7</v>
      </c>
      <c r="C292" s="3">
        <v>64.0</v>
      </c>
      <c r="D292" s="3">
        <v>5.0</v>
      </c>
      <c r="E292" s="5" t="s">
        <v>202</v>
      </c>
      <c r="F292" s="5" t="s">
        <v>708</v>
      </c>
      <c r="G292" s="5" t="s">
        <v>709</v>
      </c>
      <c r="H292" s="27">
        <v>0.571</v>
      </c>
      <c r="I292" s="27">
        <v>0.708</v>
      </c>
      <c r="J292" s="27">
        <v>0.25</v>
      </c>
      <c r="K292" s="27">
        <v>0.0</v>
      </c>
      <c r="L292" s="4" t="str">
        <f>IMAGE("https://drive.google.com/uc?export=view&amp;id=1IGNKwo-JhErWDlE7ZwXOFFSfZw-GBhn9")</f>
        <v/>
      </c>
    </row>
    <row r="293" ht="22.5" customHeight="1">
      <c r="A293" s="4">
        <v>292.0</v>
      </c>
      <c r="B293" s="3" t="s">
        <v>7</v>
      </c>
      <c r="C293" s="3">
        <v>64.0</v>
      </c>
      <c r="D293" s="3">
        <v>5.0</v>
      </c>
      <c r="E293" s="5" t="s">
        <v>205</v>
      </c>
      <c r="F293" s="5" t="s">
        <v>710</v>
      </c>
      <c r="G293" s="5" t="s">
        <v>711</v>
      </c>
      <c r="H293" s="27">
        <v>0.0</v>
      </c>
      <c r="I293" s="27">
        <v>1.0</v>
      </c>
      <c r="J293" s="27">
        <v>0.887</v>
      </c>
      <c r="K293" s="27">
        <v>0.0</v>
      </c>
      <c r="L293" s="4" t="str">
        <f>IMAGE("https://drive.google.com/uc?export=view&amp;id=1ty77GnFSCGVK3s8hj3KWXmKboLZIdZWc")</f>
        <v/>
      </c>
    </row>
    <row r="294" ht="22.5" customHeight="1">
      <c r="A294" s="4">
        <v>293.0</v>
      </c>
      <c r="B294" s="3" t="s">
        <v>7</v>
      </c>
      <c r="C294" s="3">
        <v>64.0</v>
      </c>
      <c r="D294" s="3">
        <v>5.0</v>
      </c>
      <c r="E294" s="5" t="s">
        <v>193</v>
      </c>
      <c r="F294" s="5" t="s">
        <v>712</v>
      </c>
      <c r="G294" s="5" t="s">
        <v>713</v>
      </c>
      <c r="H294" s="27">
        <v>1.0</v>
      </c>
      <c r="I294" s="27">
        <v>0.691</v>
      </c>
      <c r="J294" s="27">
        <v>0.95</v>
      </c>
      <c r="K294" s="27">
        <v>1.0</v>
      </c>
      <c r="L294" s="4" t="str">
        <f>IMAGE("https://drive.google.com/uc?export=view&amp;id=1apYxLsFbTaElZvdpQYWW2RdRFY1-50vW")</f>
        <v/>
      </c>
    </row>
    <row r="295" ht="22.5" customHeight="1">
      <c r="A295" s="4">
        <v>294.0</v>
      </c>
      <c r="B295" s="3" t="s">
        <v>7</v>
      </c>
      <c r="C295" s="3">
        <v>64.0</v>
      </c>
      <c r="D295" s="3">
        <v>5.0</v>
      </c>
      <c r="E295" s="5" t="s">
        <v>196</v>
      </c>
      <c r="F295" s="5" t="s">
        <v>714</v>
      </c>
      <c r="G295" s="5" t="s">
        <v>715</v>
      </c>
      <c r="H295" s="27">
        <v>0.615</v>
      </c>
      <c r="I295" s="27">
        <v>0.711</v>
      </c>
      <c r="J295" s="27">
        <v>1.0</v>
      </c>
      <c r="K295" s="27">
        <v>1.0</v>
      </c>
      <c r="L295" s="4" t="str">
        <f>IMAGE("https://drive.google.com/uc?export=view&amp;id=12kaLYMfm4avf5Udg17CtmgYy_9sIenLl")</f>
        <v/>
      </c>
    </row>
    <row r="296" ht="22.5" customHeight="1">
      <c r="A296" s="4">
        <v>295.0</v>
      </c>
      <c r="B296" s="3" t="s">
        <v>7</v>
      </c>
      <c r="C296" s="3">
        <v>64.0</v>
      </c>
      <c r="D296" s="3">
        <v>5.0</v>
      </c>
      <c r="E296" s="5" t="s">
        <v>208</v>
      </c>
      <c r="F296" s="5" t="s">
        <v>716</v>
      </c>
      <c r="G296" s="5" t="s">
        <v>717</v>
      </c>
      <c r="H296" s="27">
        <v>1.0</v>
      </c>
      <c r="I296" s="27">
        <v>0.672</v>
      </c>
      <c r="J296" s="27">
        <v>0.833</v>
      </c>
      <c r="K296" s="27">
        <v>1.0</v>
      </c>
      <c r="L296" s="4" t="str">
        <f>IMAGE("https://drive.google.com/uc?export=view&amp;id=1GlztsaIjJc5DUvyCAMoFyLN2BCgBOk-P")</f>
        <v/>
      </c>
    </row>
    <row r="297" ht="22.5" customHeight="1">
      <c r="A297" s="4">
        <v>296.0</v>
      </c>
      <c r="B297" s="3" t="s">
        <v>7</v>
      </c>
      <c r="C297" s="3">
        <v>64.0</v>
      </c>
      <c r="D297" s="3">
        <v>5.0</v>
      </c>
      <c r="E297" s="5" t="s">
        <v>211</v>
      </c>
      <c r="F297" s="5" t="s">
        <v>718</v>
      </c>
      <c r="G297" s="5" t="s">
        <v>719</v>
      </c>
      <c r="H297" s="27">
        <v>0.444</v>
      </c>
      <c r="I297" s="27">
        <v>0.926</v>
      </c>
      <c r="J297" s="27">
        <v>1.0</v>
      </c>
      <c r="K297" s="27">
        <v>0.0</v>
      </c>
      <c r="L297" s="4" t="str">
        <f>IMAGE("https://drive.google.com/uc?export=view&amp;id=1KrCiizEaSOYTCMSKipnyFfITVd4OuOj3")</f>
        <v/>
      </c>
    </row>
    <row r="298" ht="22.5" customHeight="1">
      <c r="A298" s="4">
        <v>297.0</v>
      </c>
      <c r="B298" s="3" t="s">
        <v>7</v>
      </c>
      <c r="C298" s="3">
        <v>64.0</v>
      </c>
      <c r="D298" s="3">
        <v>5.0</v>
      </c>
      <c r="E298" s="5" t="s">
        <v>214</v>
      </c>
      <c r="F298" s="5" t="s">
        <v>720</v>
      </c>
      <c r="G298" s="5" t="s">
        <v>721</v>
      </c>
      <c r="H298" s="27">
        <v>1.0</v>
      </c>
      <c r="I298" s="27">
        <v>0.675</v>
      </c>
      <c r="J298" s="27">
        <v>0.417</v>
      </c>
      <c r="K298" s="27">
        <v>1.0</v>
      </c>
      <c r="L298" s="4" t="str">
        <f>IMAGE("https://drive.google.com/uc?export=view&amp;id=1JucyqWnaI08m1fX-AlO4PqPddf5HflD1")</f>
        <v/>
      </c>
    </row>
    <row r="299" ht="22.5" customHeight="1">
      <c r="A299" s="4">
        <v>298.0</v>
      </c>
      <c r="B299" s="3" t="s">
        <v>7</v>
      </c>
      <c r="C299" s="3">
        <v>64.0</v>
      </c>
      <c r="D299" s="3">
        <v>5.0</v>
      </c>
      <c r="E299" s="5" t="s">
        <v>217</v>
      </c>
      <c r="F299" s="5" t="s">
        <v>722</v>
      </c>
      <c r="G299" s="5" t="s">
        <v>723</v>
      </c>
      <c r="H299" s="27">
        <v>1.0</v>
      </c>
      <c r="I299" s="27">
        <v>0.803</v>
      </c>
      <c r="J299" s="27">
        <v>0.0</v>
      </c>
      <c r="K299" s="27">
        <v>0.0</v>
      </c>
      <c r="L299" s="4" t="str">
        <f>IMAGE("https://drive.google.com/uc?export=view&amp;id=1aKYu7CT-kzOzZFsEBN_1R_6GWt8r4_h2")</f>
        <v/>
      </c>
    </row>
    <row r="300" ht="22.5" customHeight="1">
      <c r="A300" s="4">
        <v>299.0</v>
      </c>
      <c r="B300" s="3" t="s">
        <v>7</v>
      </c>
      <c r="C300" s="3">
        <v>64.0</v>
      </c>
      <c r="D300" s="3">
        <v>5.0</v>
      </c>
      <c r="E300" s="5" t="s">
        <v>220</v>
      </c>
      <c r="F300" s="5" t="s">
        <v>724</v>
      </c>
      <c r="G300" s="5" t="s">
        <v>725</v>
      </c>
      <c r="H300" s="27">
        <v>0.158</v>
      </c>
      <c r="I300" s="27">
        <v>0.45</v>
      </c>
      <c r="J300" s="27">
        <v>0.756</v>
      </c>
      <c r="K300" s="27">
        <v>1.0</v>
      </c>
      <c r="L300" s="4" t="str">
        <f>IMAGE("https://drive.google.com/uc?export=view&amp;id=1H7YZmQiDRhlOwBO5NeuVg8lzLIKWMcdI")</f>
        <v/>
      </c>
    </row>
    <row r="301" ht="22.5" customHeight="1">
      <c r="A301" s="4">
        <v>300.0</v>
      </c>
      <c r="B301" s="3" t="s">
        <v>7</v>
      </c>
      <c r="C301" s="3">
        <v>64.0</v>
      </c>
      <c r="D301" s="3">
        <v>5.0</v>
      </c>
      <c r="E301" s="5" t="s">
        <v>223</v>
      </c>
      <c r="F301" s="5" t="s">
        <v>726</v>
      </c>
      <c r="G301" s="5" t="s">
        <v>727</v>
      </c>
      <c r="H301" s="27">
        <v>0.778</v>
      </c>
      <c r="I301" s="27">
        <v>0.687</v>
      </c>
      <c r="J301" s="27">
        <v>0.756</v>
      </c>
      <c r="K301" s="27">
        <v>0.857</v>
      </c>
      <c r="L301" s="4" t="str">
        <f>IMAGE("https://drive.google.com/uc?export=view&amp;id=1UxV1YokbIDvMR2LXNbPX6_LBwaZgIm2T")</f>
        <v/>
      </c>
    </row>
    <row r="302" ht="22.5" customHeight="1">
      <c r="A302" s="4">
        <v>301.0</v>
      </c>
      <c r="B302" s="3" t="s">
        <v>7</v>
      </c>
      <c r="C302" s="3">
        <v>64.0</v>
      </c>
      <c r="D302" s="3">
        <v>5.0</v>
      </c>
      <c r="E302" s="5" t="s">
        <v>226</v>
      </c>
      <c r="F302" s="5" t="s">
        <v>728</v>
      </c>
      <c r="G302" s="5" t="s">
        <v>729</v>
      </c>
      <c r="H302" s="27">
        <v>0.632</v>
      </c>
      <c r="I302" s="27">
        <v>0.0</v>
      </c>
      <c r="J302" s="27">
        <v>0.583</v>
      </c>
      <c r="K302" s="27">
        <v>0.286</v>
      </c>
      <c r="L302" s="4" t="str">
        <f>IMAGE("https://drive.google.com/uc?export=view&amp;id=1tpMmMkR7Z5yX-CWz3eVcKe9igDx6ZjaC")</f>
        <v/>
      </c>
    </row>
    <row r="303" ht="22.5" customHeight="1">
      <c r="A303" s="4">
        <v>302.0</v>
      </c>
      <c r="B303" s="3" t="s">
        <v>7</v>
      </c>
      <c r="C303" s="3">
        <v>64.0</v>
      </c>
      <c r="D303" s="3">
        <v>5.0</v>
      </c>
      <c r="E303" s="5" t="s">
        <v>229</v>
      </c>
      <c r="F303" s="5" t="s">
        <v>730</v>
      </c>
      <c r="G303" s="5" t="s">
        <v>731</v>
      </c>
      <c r="H303" s="27">
        <v>0.65</v>
      </c>
      <c r="I303" s="27">
        <v>0.0</v>
      </c>
      <c r="J303" s="27">
        <v>0.0</v>
      </c>
      <c r="K303" s="27">
        <v>0.6</v>
      </c>
      <c r="L303" s="4" t="str">
        <f>IMAGE("https://drive.google.com/uc?export=view&amp;id=1JgzgeUhav0Ie-mDCpN7a4xaBzKyQf2JP")</f>
        <v/>
      </c>
    </row>
    <row r="304" ht="22.5" customHeight="1">
      <c r="A304" s="4">
        <v>303.0</v>
      </c>
      <c r="B304" s="3" t="s">
        <v>7</v>
      </c>
      <c r="C304" s="3">
        <v>64.0</v>
      </c>
      <c r="D304" s="3">
        <v>5.0</v>
      </c>
      <c r="E304" s="5" t="s">
        <v>232</v>
      </c>
      <c r="F304" s="5" t="s">
        <v>732</v>
      </c>
      <c r="G304" s="5" t="s">
        <v>733</v>
      </c>
      <c r="H304" s="27">
        <v>0.583</v>
      </c>
      <c r="I304" s="27">
        <v>0.753</v>
      </c>
      <c r="J304" s="27">
        <v>0.2</v>
      </c>
      <c r="K304" s="27">
        <v>0.25</v>
      </c>
      <c r="L304" s="4" t="str">
        <f>IMAGE("https://drive.google.com/uc?export=view&amp;id=1Z_coNQEdfVHVOhQqeX1fL_bfkvqA9ZR-")</f>
        <v/>
      </c>
    </row>
    <row r="305" ht="22.5" customHeight="1">
      <c r="A305" s="4">
        <v>304.0</v>
      </c>
      <c r="B305" s="3" t="s">
        <v>7</v>
      </c>
      <c r="C305" s="3">
        <v>64.0</v>
      </c>
      <c r="D305" s="3">
        <v>5.0</v>
      </c>
      <c r="E305" s="5" t="s">
        <v>235</v>
      </c>
      <c r="F305" s="5" t="s">
        <v>734</v>
      </c>
      <c r="G305" s="5" t="s">
        <v>735</v>
      </c>
      <c r="H305" s="27">
        <v>0.818</v>
      </c>
      <c r="I305" s="27">
        <v>1.0</v>
      </c>
      <c r="J305" s="27">
        <v>1.0</v>
      </c>
      <c r="K305" s="27">
        <v>0.875</v>
      </c>
      <c r="L305" s="4" t="str">
        <f>IMAGE("https://drive.google.com/uc?export=view&amp;id=1pakcw4dH0AlrFafT8XtjYqDLleS5FErh")</f>
        <v/>
      </c>
    </row>
    <row r="306" ht="22.5" customHeight="1">
      <c r="A306" s="4">
        <v>305.0</v>
      </c>
      <c r="B306" s="3" t="s">
        <v>7</v>
      </c>
      <c r="C306" s="3">
        <v>64.0</v>
      </c>
      <c r="D306" s="3">
        <v>5.0</v>
      </c>
      <c r="E306" s="5" t="s">
        <v>238</v>
      </c>
      <c r="F306" s="5" t="s">
        <v>736</v>
      </c>
      <c r="G306" s="5" t="s">
        <v>737</v>
      </c>
      <c r="H306" s="27">
        <v>0.5</v>
      </c>
      <c r="I306" s="27">
        <v>0.786</v>
      </c>
      <c r="J306" s="27">
        <v>0.0</v>
      </c>
      <c r="K306" s="27">
        <v>0.667</v>
      </c>
      <c r="L306" s="4" t="str">
        <f>IMAGE("https://drive.google.com/uc?export=view&amp;id=1dOmf_0GltSv_6ZsNEj9Vj0nrR6xb2biV")</f>
        <v/>
      </c>
    </row>
    <row r="307" ht="22.5" customHeight="1">
      <c r="A307" s="4">
        <v>306.0</v>
      </c>
      <c r="B307" s="3" t="s">
        <v>7</v>
      </c>
      <c r="C307" s="3">
        <v>64.0</v>
      </c>
      <c r="D307" s="3">
        <v>5.0</v>
      </c>
      <c r="E307" s="5" t="s">
        <v>241</v>
      </c>
      <c r="F307" s="5" t="s">
        <v>738</v>
      </c>
      <c r="G307" s="5" t="s">
        <v>739</v>
      </c>
      <c r="H307" s="27">
        <v>0.5</v>
      </c>
      <c r="I307" s="27">
        <v>0.627</v>
      </c>
      <c r="J307" s="27">
        <v>0.333</v>
      </c>
      <c r="K307" s="27">
        <v>1.0</v>
      </c>
      <c r="L307" s="4" t="str">
        <f>IMAGE("https://drive.google.com/uc?export=view&amp;id=1lkCbCG1lImW3AQ10DRXPDaERCc5lt-V-")</f>
        <v/>
      </c>
    </row>
    <row r="308" ht="22.5" customHeight="1">
      <c r="A308" s="4">
        <v>307.0</v>
      </c>
      <c r="B308" s="3" t="s">
        <v>7</v>
      </c>
      <c r="C308" s="3">
        <v>64.0</v>
      </c>
      <c r="D308" s="3">
        <v>5.0</v>
      </c>
      <c r="E308" s="5" t="s">
        <v>247</v>
      </c>
      <c r="F308" s="5" t="s">
        <v>740</v>
      </c>
      <c r="G308" s="5" t="s">
        <v>741</v>
      </c>
      <c r="H308" s="27">
        <v>0.385</v>
      </c>
      <c r="I308" s="27">
        <v>0.467</v>
      </c>
      <c r="J308" s="27">
        <v>0.0</v>
      </c>
      <c r="K308" s="27">
        <v>0.0</v>
      </c>
      <c r="L308" s="4" t="str">
        <f>IMAGE("https://drive.google.com/uc?export=view&amp;id=1hPnO7xAyn2jYqgL_npTncy459S0ZphRD")</f>
        <v/>
      </c>
    </row>
    <row r="309" ht="22.5" customHeight="1">
      <c r="A309" s="4">
        <v>308.0</v>
      </c>
      <c r="B309" s="3" t="s">
        <v>7</v>
      </c>
      <c r="C309" s="3">
        <v>64.0</v>
      </c>
      <c r="D309" s="3">
        <v>5.0</v>
      </c>
      <c r="E309" s="5" t="s">
        <v>250</v>
      </c>
      <c r="F309" s="5" t="s">
        <v>742</v>
      </c>
      <c r="G309" s="5" t="s">
        <v>743</v>
      </c>
      <c r="H309" s="27">
        <v>0.583</v>
      </c>
      <c r="I309" s="27">
        <v>0.0</v>
      </c>
      <c r="J309" s="27">
        <v>0.0</v>
      </c>
      <c r="K309" s="27">
        <v>0.5</v>
      </c>
      <c r="L309" s="4" t="str">
        <f>IMAGE("https://drive.google.com/uc?export=view&amp;id=1CzQ0CTl42AzYrbHutU1vn0GeA4jSCzJK")</f>
        <v/>
      </c>
    </row>
    <row r="310" ht="22.5" customHeight="1">
      <c r="A310" s="4">
        <v>309.0</v>
      </c>
      <c r="B310" s="3" t="s">
        <v>7</v>
      </c>
      <c r="C310" s="3">
        <v>64.0</v>
      </c>
      <c r="D310" s="3">
        <v>5.0</v>
      </c>
      <c r="E310" s="5" t="s">
        <v>256</v>
      </c>
      <c r="F310" s="5" t="s">
        <v>744</v>
      </c>
      <c r="G310" s="5" t="s">
        <v>745</v>
      </c>
      <c r="H310" s="27">
        <v>0.667</v>
      </c>
      <c r="I310" s="27">
        <v>0.816</v>
      </c>
      <c r="J310" s="27">
        <v>0.333</v>
      </c>
      <c r="K310" s="27">
        <v>1.0</v>
      </c>
      <c r="L310" s="4" t="str">
        <f>IMAGE("https://drive.google.com/uc?export=view&amp;id=1Qr7cyeqEWHzZXhn3tNVMNIuUrGGsaKoP")</f>
        <v/>
      </c>
    </row>
    <row r="311" ht="22.5" customHeight="1">
      <c r="A311" s="4">
        <v>310.0</v>
      </c>
      <c r="B311" s="3" t="s">
        <v>7</v>
      </c>
      <c r="C311" s="3">
        <v>64.0</v>
      </c>
      <c r="D311" s="3">
        <v>5.0</v>
      </c>
      <c r="E311" s="5" t="s">
        <v>259</v>
      </c>
      <c r="F311" s="5" t="s">
        <v>746</v>
      </c>
      <c r="G311" s="5" t="s">
        <v>747</v>
      </c>
      <c r="H311" s="27">
        <v>0.889</v>
      </c>
      <c r="I311" s="27">
        <v>0.431</v>
      </c>
      <c r="J311" s="27">
        <v>0.804</v>
      </c>
      <c r="K311" s="27">
        <v>1.0</v>
      </c>
      <c r="L311" s="4" t="str">
        <f>IMAGE("https://drive.google.com/uc?export=view&amp;id=1nac8szJG76pmSbsKGPVEZOQTcm5yLYZU")</f>
        <v/>
      </c>
    </row>
    <row r="312" ht="22.5" customHeight="1">
      <c r="A312" s="4">
        <v>311.0</v>
      </c>
      <c r="B312" s="3" t="s">
        <v>7</v>
      </c>
      <c r="C312" s="3">
        <v>64.0</v>
      </c>
      <c r="D312" s="3">
        <v>5.0</v>
      </c>
      <c r="E312" s="5" t="s">
        <v>265</v>
      </c>
      <c r="F312" s="5" t="s">
        <v>748</v>
      </c>
      <c r="G312" s="5" t="s">
        <v>749</v>
      </c>
      <c r="H312" s="27">
        <v>1.0</v>
      </c>
      <c r="I312" s="27">
        <v>0.745</v>
      </c>
      <c r="J312" s="27">
        <v>0.25</v>
      </c>
      <c r="K312" s="27">
        <v>1.0</v>
      </c>
      <c r="L312" s="4" t="str">
        <f>IMAGE("https://drive.google.com/uc?export=view&amp;id=1FEjhCRCxm0Pp4z2Al6YF5lmnasWy9P7S")</f>
        <v/>
      </c>
    </row>
    <row r="313" ht="22.5" customHeight="1">
      <c r="A313" s="4">
        <v>312.0</v>
      </c>
      <c r="B313" s="3" t="s">
        <v>7</v>
      </c>
      <c r="C313" s="3">
        <v>64.0</v>
      </c>
      <c r="D313" s="3">
        <v>5.0</v>
      </c>
      <c r="E313" s="5" t="s">
        <v>268</v>
      </c>
      <c r="F313" s="5" t="s">
        <v>750</v>
      </c>
      <c r="G313" s="5" t="s">
        <v>751</v>
      </c>
      <c r="H313" s="27">
        <v>0.25</v>
      </c>
      <c r="I313" s="27">
        <v>0.705</v>
      </c>
      <c r="J313" s="27">
        <v>1.0</v>
      </c>
      <c r="K313" s="27">
        <v>1.0</v>
      </c>
      <c r="L313" s="4" t="str">
        <f>IMAGE("https://drive.google.com/uc?export=view&amp;id=1753cBeYUjFgSldsRy6Jmgp0h9vBG3mXY")</f>
        <v/>
      </c>
    </row>
    <row r="314" ht="22.5" customHeight="1">
      <c r="A314" s="4">
        <v>313.0</v>
      </c>
      <c r="B314" s="3" t="s">
        <v>7</v>
      </c>
      <c r="C314" s="3">
        <v>64.0</v>
      </c>
      <c r="D314" s="3">
        <v>5.0</v>
      </c>
      <c r="E314" s="5" t="s">
        <v>271</v>
      </c>
      <c r="F314" s="5" t="s">
        <v>752</v>
      </c>
      <c r="G314" s="5" t="s">
        <v>753</v>
      </c>
      <c r="H314" s="27">
        <v>1.0</v>
      </c>
      <c r="I314" s="27">
        <v>0.647</v>
      </c>
      <c r="J314" s="27">
        <v>1.0</v>
      </c>
      <c r="K314" s="27">
        <v>0.889</v>
      </c>
      <c r="L314" s="4" t="str">
        <f>IMAGE("https://drive.google.com/uc?export=view&amp;id=1IozBvlvN3hrxCNxSA-ynBvE0JCgwF0CV")</f>
        <v/>
      </c>
    </row>
    <row r="315" ht="22.5" customHeight="1">
      <c r="A315" s="4">
        <v>314.0</v>
      </c>
      <c r="B315" s="3" t="s">
        <v>7</v>
      </c>
      <c r="C315" s="3">
        <v>64.0</v>
      </c>
      <c r="D315" s="3">
        <v>5.0</v>
      </c>
      <c r="E315" s="5" t="s">
        <v>244</v>
      </c>
      <c r="F315" s="5" t="s">
        <v>754</v>
      </c>
      <c r="G315" s="5" t="s">
        <v>755</v>
      </c>
      <c r="H315" s="27">
        <v>0.714</v>
      </c>
      <c r="I315" s="27">
        <v>0.615</v>
      </c>
      <c r="J315" s="27">
        <v>1.0</v>
      </c>
      <c r="K315" s="27">
        <v>0.6</v>
      </c>
      <c r="L315" s="4" t="str">
        <f>IMAGE("https://drive.google.com/uc?export=view&amp;id=1tM9DG7NMPXVgwa34gngtwI4LzrtwKxn_")</f>
        <v/>
      </c>
    </row>
    <row r="316" ht="22.5" customHeight="1">
      <c r="A316" s="4">
        <v>315.0</v>
      </c>
      <c r="B316" s="3" t="s">
        <v>7</v>
      </c>
      <c r="C316" s="3">
        <v>64.0</v>
      </c>
      <c r="D316" s="3">
        <v>5.0</v>
      </c>
      <c r="E316" s="5" t="s">
        <v>253</v>
      </c>
      <c r="F316" s="5" t="s">
        <v>756</v>
      </c>
      <c r="G316" s="5" t="s">
        <v>757</v>
      </c>
      <c r="H316" s="27">
        <v>1.0</v>
      </c>
      <c r="I316" s="27">
        <v>0.0</v>
      </c>
      <c r="J316" s="27">
        <v>1.0</v>
      </c>
      <c r="K316" s="27">
        <v>0.875</v>
      </c>
      <c r="L316" s="4" t="str">
        <f>IMAGE("https://drive.google.com/uc?export=view&amp;id=1IH6mg9lKdQnDt4E_XYwc4g-VRr-CNlqZ")</f>
        <v/>
      </c>
    </row>
    <row r="317" ht="22.5" customHeight="1">
      <c r="A317" s="4">
        <v>316.0</v>
      </c>
      <c r="B317" s="3" t="s">
        <v>7</v>
      </c>
      <c r="C317" s="3">
        <v>64.0</v>
      </c>
      <c r="D317" s="3">
        <v>5.0</v>
      </c>
      <c r="E317" s="5" t="s">
        <v>262</v>
      </c>
      <c r="F317" s="5" t="s">
        <v>758</v>
      </c>
      <c r="G317" s="5" t="s">
        <v>759</v>
      </c>
      <c r="H317" s="27">
        <v>0.375</v>
      </c>
      <c r="I317" s="27">
        <v>0.902</v>
      </c>
      <c r="J317" s="27">
        <v>0.25</v>
      </c>
      <c r="K317" s="27">
        <v>1.0</v>
      </c>
      <c r="L317" s="4" t="str">
        <f>IMAGE("https://drive.google.com/uc?export=view&amp;id=1FokdUOm0nfNZhfhpTFv_X6KREtOsW6ik")</f>
        <v/>
      </c>
    </row>
    <row r="318" ht="22.5" customHeight="1">
      <c r="A318" s="4">
        <v>317.0</v>
      </c>
      <c r="B318" s="3" t="s">
        <v>7</v>
      </c>
      <c r="C318" s="3">
        <v>64.0</v>
      </c>
      <c r="D318" s="3">
        <v>5.0</v>
      </c>
      <c r="E318" s="5" t="s">
        <v>274</v>
      </c>
      <c r="F318" s="5" t="s">
        <v>760</v>
      </c>
      <c r="G318" s="5" t="s">
        <v>761</v>
      </c>
      <c r="H318" s="27">
        <v>0.667</v>
      </c>
      <c r="I318" s="27">
        <v>0.0</v>
      </c>
      <c r="J318" s="27">
        <v>0.2</v>
      </c>
      <c r="K318" s="27">
        <v>0.8</v>
      </c>
      <c r="L318" s="4" t="str">
        <f>IMAGE("https://drive.google.com/uc?export=view&amp;id=11CCBmAR4yKjsZJPIHgLUGtmM_GpfqN4X")</f>
        <v/>
      </c>
    </row>
    <row r="319" ht="22.5" customHeight="1">
      <c r="A319" s="4">
        <v>318.0</v>
      </c>
      <c r="B319" s="3" t="s">
        <v>7</v>
      </c>
      <c r="C319" s="3">
        <v>64.0</v>
      </c>
      <c r="D319" s="3">
        <v>5.0</v>
      </c>
      <c r="E319" s="5" t="s">
        <v>277</v>
      </c>
      <c r="F319" s="5" t="s">
        <v>762</v>
      </c>
      <c r="G319" s="5" t="s">
        <v>763</v>
      </c>
      <c r="H319" s="27">
        <v>0.938</v>
      </c>
      <c r="I319" s="27">
        <v>0.0</v>
      </c>
      <c r="J319" s="27">
        <v>0.0</v>
      </c>
      <c r="K319" s="27">
        <v>1.0</v>
      </c>
      <c r="L319" s="4" t="str">
        <f>IMAGE("https://drive.google.com/uc?export=view&amp;id=1XR8mGVoZsFTPz1ljJboSkfmeg4LkAPI3")</f>
        <v/>
      </c>
    </row>
    <row r="320" ht="22.5" customHeight="1">
      <c r="A320" s="4">
        <v>319.0</v>
      </c>
      <c r="B320" s="3" t="s">
        <v>7</v>
      </c>
      <c r="C320" s="3">
        <v>64.0</v>
      </c>
      <c r="D320" s="3">
        <v>5.0</v>
      </c>
      <c r="E320" s="5" t="s">
        <v>280</v>
      </c>
      <c r="F320" s="5" t="s">
        <v>764</v>
      </c>
      <c r="G320" s="5" t="s">
        <v>765</v>
      </c>
      <c r="H320" s="27">
        <v>0.571</v>
      </c>
      <c r="I320" s="27">
        <v>0.486</v>
      </c>
      <c r="J320" s="27">
        <v>0.2</v>
      </c>
      <c r="K320" s="27">
        <v>1.0</v>
      </c>
      <c r="L320" s="4" t="str">
        <f>IMAGE("https://drive.google.com/uc?export=view&amp;id=1t16c8O-MPbsAc9EM9zcbdkQolZqQzhfW")</f>
        <v/>
      </c>
    </row>
    <row r="321" ht="22.5" customHeight="1">
      <c r="A321" s="4">
        <v>320.0</v>
      </c>
      <c r="B321" s="3" t="s">
        <v>7</v>
      </c>
      <c r="C321" s="3">
        <v>64.0</v>
      </c>
      <c r="D321" s="3">
        <v>5.0</v>
      </c>
      <c r="E321" s="5" t="s">
        <v>283</v>
      </c>
      <c r="F321" s="5" t="s">
        <v>766</v>
      </c>
      <c r="G321" s="5" t="s">
        <v>767</v>
      </c>
      <c r="H321" s="27">
        <v>0.923</v>
      </c>
      <c r="I321" s="27">
        <v>1.0</v>
      </c>
      <c r="J321" s="27">
        <v>0.7</v>
      </c>
      <c r="K321" s="27">
        <v>1.0</v>
      </c>
      <c r="L321" s="4" t="str">
        <f>IMAGE("https://drive.google.com/uc?export=view&amp;id=1LrAudfZtSJz6vt7zgv5tSzwIsg_AZlcc")</f>
        <v/>
      </c>
    </row>
    <row r="322" ht="22.5" customHeight="1">
      <c r="A322" s="4">
        <v>321.0</v>
      </c>
      <c r="B322" s="3" t="s">
        <v>8</v>
      </c>
      <c r="C322" s="3">
        <v>32.0</v>
      </c>
      <c r="D322" s="3">
        <v>3.0</v>
      </c>
      <c r="E322" s="5" t="s">
        <v>46</v>
      </c>
      <c r="F322" s="5" t="s">
        <v>768</v>
      </c>
      <c r="G322" s="5" t="s">
        <v>769</v>
      </c>
      <c r="H322" s="27">
        <v>1.0</v>
      </c>
      <c r="I322" s="27">
        <v>0.989</v>
      </c>
      <c r="J322" s="27">
        <v>1.0</v>
      </c>
      <c r="K322" s="27">
        <v>0.75</v>
      </c>
      <c r="L322" s="4" t="str">
        <f>IMAGE("https://drive.google.com/uc?export=view&amp;id=1j2fK5oO1RsXsFQIrcuA0hZRg2fhAcLGQ")</f>
        <v/>
      </c>
    </row>
    <row r="323" ht="22.5" customHeight="1">
      <c r="A323" s="4">
        <v>322.0</v>
      </c>
      <c r="B323" s="3" t="s">
        <v>8</v>
      </c>
      <c r="C323" s="3">
        <v>32.0</v>
      </c>
      <c r="D323" s="3">
        <v>3.0</v>
      </c>
      <c r="E323" s="5" t="s">
        <v>49</v>
      </c>
      <c r="F323" s="5" t="s">
        <v>770</v>
      </c>
      <c r="G323" s="5" t="s">
        <v>771</v>
      </c>
      <c r="H323" s="27">
        <v>0.6</v>
      </c>
      <c r="I323" s="27">
        <v>0.99</v>
      </c>
      <c r="J323" s="27">
        <v>0.0</v>
      </c>
      <c r="K323" s="27">
        <v>1.0</v>
      </c>
      <c r="L323" s="4" t="str">
        <f>IMAGE("https://drive.google.com/uc?export=view&amp;id=1eIRRtMkNONAV6kNhCX7gFo5a2jMe3kcO")</f>
        <v/>
      </c>
    </row>
    <row r="324" ht="22.5" customHeight="1">
      <c r="A324" s="4">
        <v>323.0</v>
      </c>
      <c r="B324" s="3" t="s">
        <v>8</v>
      </c>
      <c r="C324" s="3">
        <v>32.0</v>
      </c>
      <c r="D324" s="3">
        <v>3.0</v>
      </c>
      <c r="E324" s="5" t="s">
        <v>52</v>
      </c>
      <c r="F324" s="5" t="s">
        <v>772</v>
      </c>
      <c r="G324" s="5" t="s">
        <v>773</v>
      </c>
      <c r="H324" s="27">
        <v>0.455</v>
      </c>
      <c r="I324" s="27">
        <v>0.968</v>
      </c>
      <c r="J324" s="27">
        <v>1.0</v>
      </c>
      <c r="K324" s="27">
        <v>0.625</v>
      </c>
      <c r="L324" s="4" t="str">
        <f>IMAGE("https://drive.google.com/uc?export=view&amp;id=1oDYE6wXxGTt2dnghDOltW3llJq9SuTyW")</f>
        <v/>
      </c>
    </row>
    <row r="325" ht="22.5" customHeight="1">
      <c r="A325" s="4">
        <v>324.0</v>
      </c>
      <c r="B325" s="3" t="s">
        <v>8</v>
      </c>
      <c r="C325" s="3">
        <v>32.0</v>
      </c>
      <c r="D325" s="3">
        <v>3.0</v>
      </c>
      <c r="E325" s="5" t="s">
        <v>55</v>
      </c>
      <c r="F325" s="5" t="s">
        <v>774</v>
      </c>
      <c r="G325" s="5" t="s">
        <v>775</v>
      </c>
      <c r="H325" s="27">
        <v>0.692</v>
      </c>
      <c r="I325" s="27">
        <v>1.0</v>
      </c>
      <c r="J325" s="27">
        <v>1.0</v>
      </c>
      <c r="K325" s="27">
        <v>0.8</v>
      </c>
      <c r="L325" s="4" t="str">
        <f>IMAGE("https://drive.google.com/uc?export=view&amp;id=1sE7nbw6uuvDRGLwptQnwFPI73dZy7tyO")</f>
        <v/>
      </c>
    </row>
    <row r="326" ht="22.5" customHeight="1">
      <c r="A326" s="4">
        <v>325.0</v>
      </c>
      <c r="B326" s="3" t="s">
        <v>8</v>
      </c>
      <c r="C326" s="3">
        <v>32.0</v>
      </c>
      <c r="D326" s="3">
        <v>3.0</v>
      </c>
      <c r="E326" s="5" t="s">
        <v>61</v>
      </c>
      <c r="F326" s="5" t="s">
        <v>776</v>
      </c>
      <c r="G326" s="5" t="s">
        <v>777</v>
      </c>
      <c r="H326" s="27">
        <v>0.533</v>
      </c>
      <c r="I326" s="27">
        <v>0.998</v>
      </c>
      <c r="J326" s="27">
        <v>1.0</v>
      </c>
      <c r="K326" s="27">
        <v>1.0</v>
      </c>
      <c r="L326" s="4" t="str">
        <f>IMAGE("https://drive.google.com/uc?export=view&amp;id=1IeTMCI3-YgXVo4yMw0ZPseawnE-l6jjF")</f>
        <v/>
      </c>
    </row>
    <row r="327" ht="22.5" customHeight="1">
      <c r="A327" s="4">
        <v>326.0</v>
      </c>
      <c r="B327" s="3" t="s">
        <v>8</v>
      </c>
      <c r="C327" s="3">
        <v>32.0</v>
      </c>
      <c r="D327" s="3">
        <v>3.0</v>
      </c>
      <c r="E327" s="5" t="s">
        <v>64</v>
      </c>
      <c r="F327" s="5" t="s">
        <v>778</v>
      </c>
      <c r="G327" s="5" t="s">
        <v>779</v>
      </c>
      <c r="H327" s="27">
        <v>0.778</v>
      </c>
      <c r="I327" s="27">
        <v>0.713</v>
      </c>
      <c r="J327" s="27">
        <v>0.583</v>
      </c>
      <c r="K327" s="27">
        <v>1.0</v>
      </c>
      <c r="L327" s="4" t="str">
        <f>IMAGE("https://drive.google.com/uc?export=view&amp;id=1BIFv0Hq2rCdxAZN2fu-J95Oragz733uE")</f>
        <v/>
      </c>
    </row>
    <row r="328" ht="22.5" customHeight="1">
      <c r="A328" s="4">
        <v>327.0</v>
      </c>
      <c r="B328" s="3" t="s">
        <v>8</v>
      </c>
      <c r="C328" s="3">
        <v>32.0</v>
      </c>
      <c r="D328" s="3">
        <v>3.0</v>
      </c>
      <c r="E328" s="5" t="s">
        <v>67</v>
      </c>
      <c r="F328" s="5" t="s">
        <v>780</v>
      </c>
      <c r="G328" s="5" t="s">
        <v>781</v>
      </c>
      <c r="H328" s="27">
        <v>1.0</v>
      </c>
      <c r="I328" s="27">
        <v>0.891</v>
      </c>
      <c r="J328" s="27">
        <v>1.0</v>
      </c>
      <c r="K328" s="27">
        <v>1.0</v>
      </c>
      <c r="L328" s="4" t="str">
        <f>IMAGE("https://drive.google.com/uc?export=view&amp;id=1iHKsZ0oh5mxtrKRMDo9KFewdcTZ_mptV")</f>
        <v/>
      </c>
    </row>
    <row r="329" ht="22.5" customHeight="1">
      <c r="A329" s="4">
        <v>328.0</v>
      </c>
      <c r="B329" s="3" t="s">
        <v>8</v>
      </c>
      <c r="C329" s="3">
        <v>32.0</v>
      </c>
      <c r="D329" s="3">
        <v>3.0</v>
      </c>
      <c r="E329" s="5" t="s">
        <v>70</v>
      </c>
      <c r="F329" s="5" t="s">
        <v>782</v>
      </c>
      <c r="G329" s="5" t="s">
        <v>783</v>
      </c>
      <c r="H329" s="27">
        <v>0.154</v>
      </c>
      <c r="I329" s="27">
        <v>0.955</v>
      </c>
      <c r="J329" s="27">
        <v>1.0</v>
      </c>
      <c r="K329" s="27">
        <v>0.75</v>
      </c>
      <c r="L329" s="4" t="str">
        <f>IMAGE("https://drive.google.com/uc?export=view&amp;id=1KzczNjVWPbGehfkKHQakwU1F5nZXdd_Z")</f>
        <v/>
      </c>
    </row>
    <row r="330" ht="22.5" customHeight="1">
      <c r="A330" s="4">
        <v>329.0</v>
      </c>
      <c r="B330" s="3" t="s">
        <v>8</v>
      </c>
      <c r="C330" s="3">
        <v>32.0</v>
      </c>
      <c r="D330" s="3">
        <v>3.0</v>
      </c>
      <c r="E330" s="5" t="s">
        <v>73</v>
      </c>
      <c r="F330" s="5" t="s">
        <v>784</v>
      </c>
      <c r="G330" s="5" t="s">
        <v>785</v>
      </c>
      <c r="H330" s="27">
        <v>0.6</v>
      </c>
      <c r="I330" s="27">
        <v>0.876</v>
      </c>
      <c r="J330" s="27">
        <v>1.0</v>
      </c>
      <c r="K330" s="27">
        <v>1.0</v>
      </c>
      <c r="L330" s="4" t="str">
        <f>IMAGE("https://drive.google.com/uc?export=view&amp;id=1vSTdWRYR7qKn5WZJBbOnYFpdhcM4lSDs")</f>
        <v/>
      </c>
    </row>
    <row r="331" ht="22.5" customHeight="1">
      <c r="A331" s="4">
        <v>330.0</v>
      </c>
      <c r="B331" s="3" t="s">
        <v>8</v>
      </c>
      <c r="C331" s="3">
        <v>32.0</v>
      </c>
      <c r="D331" s="3">
        <v>3.0</v>
      </c>
      <c r="E331" s="5" t="s">
        <v>76</v>
      </c>
      <c r="F331" s="5" t="s">
        <v>786</v>
      </c>
      <c r="G331" s="5" t="s">
        <v>787</v>
      </c>
      <c r="H331" s="27">
        <v>0.333</v>
      </c>
      <c r="I331" s="27">
        <v>0.747</v>
      </c>
      <c r="J331" s="27">
        <v>1.0</v>
      </c>
      <c r="K331" s="27">
        <v>0.429</v>
      </c>
      <c r="L331" s="4" t="str">
        <f>IMAGE("https://drive.google.com/uc?export=view&amp;id=1PuFn5K4_OTf-sGjXlYUevaQVTjwxySuN")</f>
        <v/>
      </c>
    </row>
    <row r="332" ht="22.5" customHeight="1">
      <c r="A332" s="4">
        <v>331.0</v>
      </c>
      <c r="B332" s="3" t="s">
        <v>8</v>
      </c>
      <c r="C332" s="3">
        <v>32.0</v>
      </c>
      <c r="D332" s="3">
        <v>3.0</v>
      </c>
      <c r="E332" s="5" t="s">
        <v>79</v>
      </c>
      <c r="F332" s="5" t="s">
        <v>788</v>
      </c>
      <c r="G332" s="5" t="s">
        <v>789</v>
      </c>
      <c r="H332" s="27">
        <v>0.5</v>
      </c>
      <c r="I332" s="27">
        <v>1.0</v>
      </c>
      <c r="J332" s="27">
        <v>1.0</v>
      </c>
      <c r="K332" s="27">
        <v>0.5</v>
      </c>
      <c r="L332" s="4" t="str">
        <f>IMAGE("https://drive.google.com/uc?export=view&amp;id=1hwxux7J7VEVWCxKWMWjrRqPHcGcZVGyu")</f>
        <v/>
      </c>
    </row>
    <row r="333" ht="22.5" customHeight="1">
      <c r="A333" s="4">
        <v>332.0</v>
      </c>
      <c r="B333" s="3" t="s">
        <v>8</v>
      </c>
      <c r="C333" s="3">
        <v>32.0</v>
      </c>
      <c r="D333" s="3">
        <v>3.0</v>
      </c>
      <c r="E333" s="5" t="s">
        <v>82</v>
      </c>
      <c r="F333" s="5" t="s">
        <v>790</v>
      </c>
      <c r="G333" s="5" t="s">
        <v>791</v>
      </c>
      <c r="H333" s="27">
        <v>0.769</v>
      </c>
      <c r="I333" s="27">
        <v>0.877</v>
      </c>
      <c r="J333" s="27">
        <v>1.0</v>
      </c>
      <c r="K333" s="27">
        <v>0.714</v>
      </c>
      <c r="L333" s="4" t="str">
        <f>IMAGE("https://drive.google.com/uc?export=view&amp;id=1UAvWgVYIZeYqL7tCFXBnUsXhYvU6PuF1")</f>
        <v/>
      </c>
    </row>
    <row r="334" ht="22.5" customHeight="1">
      <c r="A334" s="4">
        <v>333.0</v>
      </c>
      <c r="B334" s="3" t="s">
        <v>8</v>
      </c>
      <c r="C334" s="3">
        <v>32.0</v>
      </c>
      <c r="D334" s="3">
        <v>3.0</v>
      </c>
      <c r="E334" s="5" t="s">
        <v>85</v>
      </c>
      <c r="F334" s="5" t="s">
        <v>792</v>
      </c>
      <c r="G334" s="5" t="s">
        <v>793</v>
      </c>
      <c r="H334" s="27">
        <v>0.0</v>
      </c>
      <c r="I334" s="27">
        <v>0.985</v>
      </c>
      <c r="J334" s="27">
        <v>0.5</v>
      </c>
      <c r="K334" s="27">
        <v>0.0</v>
      </c>
      <c r="L334" s="4" t="str">
        <f>IMAGE("https://drive.google.com/uc?export=view&amp;id=1S5Q1-fqrdRLYK-aPKgQZdyvJZV-v0RbI")</f>
        <v/>
      </c>
    </row>
    <row r="335" ht="22.5" customHeight="1">
      <c r="A335" s="4">
        <v>334.0</v>
      </c>
      <c r="B335" s="3" t="s">
        <v>8</v>
      </c>
      <c r="C335" s="3">
        <v>32.0</v>
      </c>
      <c r="D335" s="3">
        <v>3.0</v>
      </c>
      <c r="E335" s="5" t="s">
        <v>88</v>
      </c>
      <c r="F335" s="5" t="s">
        <v>794</v>
      </c>
      <c r="G335" s="5" t="s">
        <v>795</v>
      </c>
      <c r="H335" s="27">
        <v>0.625</v>
      </c>
      <c r="I335" s="27">
        <v>0.945</v>
      </c>
      <c r="J335" s="27">
        <v>1.0</v>
      </c>
      <c r="K335" s="27">
        <v>1.0</v>
      </c>
      <c r="L335" s="4" t="str">
        <f>IMAGE("https://drive.google.com/uc?export=view&amp;id=10gggyaz9sJ72cflOhDhyJXghRKx9q6Fv")</f>
        <v/>
      </c>
    </row>
    <row r="336" ht="22.5" customHeight="1">
      <c r="A336" s="4">
        <v>335.0</v>
      </c>
      <c r="B336" s="3" t="s">
        <v>8</v>
      </c>
      <c r="C336" s="3">
        <v>32.0</v>
      </c>
      <c r="D336" s="3">
        <v>3.0</v>
      </c>
      <c r="E336" s="5" t="s">
        <v>91</v>
      </c>
      <c r="F336" s="5" t="s">
        <v>796</v>
      </c>
      <c r="G336" s="5" t="s">
        <v>797</v>
      </c>
      <c r="H336" s="27">
        <v>0.667</v>
      </c>
      <c r="I336" s="27">
        <v>0.826</v>
      </c>
      <c r="J336" s="27">
        <v>1.0</v>
      </c>
      <c r="K336" s="27">
        <v>1.0</v>
      </c>
      <c r="L336" s="4" t="str">
        <f>IMAGE("https://drive.google.com/uc?export=view&amp;id=1rNAcFJjJFTHzQA6qphxtdKmTONkzCpCa")</f>
        <v/>
      </c>
    </row>
    <row r="337" ht="22.5" customHeight="1">
      <c r="A337" s="4">
        <v>336.0</v>
      </c>
      <c r="B337" s="3" t="s">
        <v>8</v>
      </c>
      <c r="C337" s="3">
        <v>32.0</v>
      </c>
      <c r="D337" s="3">
        <v>3.0</v>
      </c>
      <c r="E337" s="5" t="s">
        <v>100</v>
      </c>
      <c r="F337" s="5" t="s">
        <v>798</v>
      </c>
      <c r="G337" s="5" t="s">
        <v>799</v>
      </c>
      <c r="H337" s="27">
        <v>1.0</v>
      </c>
      <c r="I337" s="27">
        <v>0.894</v>
      </c>
      <c r="J337" s="27">
        <v>1.0</v>
      </c>
      <c r="K337" s="27">
        <v>1.0</v>
      </c>
      <c r="L337" s="4" t="str">
        <f>IMAGE("https://drive.google.com/uc?export=view&amp;id=1FLJujH9AQCL_eCCGjELJMVY8sSMG8Ysz")</f>
        <v/>
      </c>
    </row>
    <row r="338" ht="22.5" customHeight="1">
      <c r="A338" s="4">
        <v>337.0</v>
      </c>
      <c r="B338" s="3" t="s">
        <v>8</v>
      </c>
      <c r="C338" s="3">
        <v>32.0</v>
      </c>
      <c r="D338" s="3">
        <v>3.0</v>
      </c>
      <c r="E338" s="5" t="s">
        <v>97</v>
      </c>
      <c r="F338" s="5" t="s">
        <v>800</v>
      </c>
      <c r="G338" s="5" t="s">
        <v>801</v>
      </c>
      <c r="H338" s="27">
        <v>0.583</v>
      </c>
      <c r="I338" s="27">
        <v>0.972</v>
      </c>
      <c r="J338" s="27">
        <v>1.0</v>
      </c>
      <c r="K338" s="27">
        <v>0.25</v>
      </c>
      <c r="L338" s="4" t="str">
        <f>IMAGE("https://drive.google.com/uc?export=view&amp;id=1Gw7yPn-QsCK8JNHGD7QlYC1aXufYWdiE")</f>
        <v/>
      </c>
    </row>
    <row r="339" ht="22.5" customHeight="1">
      <c r="A339" s="4">
        <v>338.0</v>
      </c>
      <c r="B339" s="3" t="s">
        <v>8</v>
      </c>
      <c r="C339" s="3">
        <v>32.0</v>
      </c>
      <c r="D339" s="3">
        <v>3.0</v>
      </c>
      <c r="E339" s="5" t="s">
        <v>91</v>
      </c>
      <c r="F339" s="5" t="s">
        <v>796</v>
      </c>
      <c r="G339" s="5" t="s">
        <v>797</v>
      </c>
      <c r="H339" s="27">
        <v>0.667</v>
      </c>
      <c r="I339" s="27">
        <v>0.826</v>
      </c>
      <c r="J339" s="27">
        <v>1.0</v>
      </c>
      <c r="K339" s="27">
        <v>1.0</v>
      </c>
      <c r="L339" s="4" t="str">
        <f>IMAGE("https://drive.google.com/uc?export=view&amp;id=1nOBHSz5g928zRbUq977SWi7Y4QvRn1eW")</f>
        <v/>
      </c>
    </row>
    <row r="340" ht="22.5" customHeight="1">
      <c r="A340" s="4">
        <v>339.0</v>
      </c>
      <c r="B340" s="3" t="s">
        <v>8</v>
      </c>
      <c r="C340" s="3">
        <v>32.0</v>
      </c>
      <c r="D340" s="3">
        <v>3.0</v>
      </c>
      <c r="E340" s="5" t="s">
        <v>94</v>
      </c>
      <c r="F340" s="5" t="s">
        <v>802</v>
      </c>
      <c r="G340" s="5" t="s">
        <v>803</v>
      </c>
      <c r="H340" s="27">
        <v>0.765</v>
      </c>
      <c r="I340" s="27">
        <v>0.804</v>
      </c>
      <c r="J340" s="27">
        <v>0.833</v>
      </c>
      <c r="K340" s="27">
        <v>0.25</v>
      </c>
      <c r="L340" s="4" t="str">
        <f>IMAGE("https://drive.google.com/uc?export=view&amp;id=1RoieSbpmNKkSUKOzuazJtif68EOP1w9Q")</f>
        <v/>
      </c>
    </row>
    <row r="341" ht="22.5" customHeight="1">
      <c r="A341" s="4">
        <v>340.0</v>
      </c>
      <c r="B341" s="3" t="s">
        <v>8</v>
      </c>
      <c r="C341" s="3">
        <v>32.0</v>
      </c>
      <c r="D341" s="3">
        <v>3.0</v>
      </c>
      <c r="E341" s="5" t="s">
        <v>115</v>
      </c>
      <c r="F341" s="5" t="s">
        <v>804</v>
      </c>
      <c r="G341" s="5" t="s">
        <v>805</v>
      </c>
      <c r="H341" s="27">
        <v>1.0</v>
      </c>
      <c r="I341" s="27">
        <v>0.979</v>
      </c>
      <c r="J341" s="27">
        <v>1.0</v>
      </c>
      <c r="K341" s="27">
        <v>1.0</v>
      </c>
      <c r="L341" s="4" t="str">
        <f>IMAGE("https://drive.google.com/uc?export=view&amp;id=1mU94PfUsJtZMx_R85CI9n2JLVTeAXgW4")</f>
        <v/>
      </c>
    </row>
    <row r="342" ht="22.5" customHeight="1">
      <c r="A342" s="4">
        <v>341.0</v>
      </c>
      <c r="B342" s="3" t="s">
        <v>8</v>
      </c>
      <c r="C342" s="3">
        <v>32.0</v>
      </c>
      <c r="D342" s="3">
        <v>3.0</v>
      </c>
      <c r="E342" s="5" t="s">
        <v>103</v>
      </c>
      <c r="F342" s="5" t="s">
        <v>806</v>
      </c>
      <c r="G342" s="5" t="s">
        <v>807</v>
      </c>
      <c r="H342" s="27">
        <v>1.0</v>
      </c>
      <c r="I342" s="27">
        <v>0.994</v>
      </c>
      <c r="J342" s="27">
        <v>1.0</v>
      </c>
      <c r="K342" s="27">
        <v>0.75</v>
      </c>
      <c r="L342" s="4" t="str">
        <f>IMAGE("https://drive.google.com/uc?export=view&amp;id=19364fdkPuT9RL5-b2fzsZ7QJPLH0LXJj")</f>
        <v/>
      </c>
    </row>
    <row r="343" ht="22.5" customHeight="1">
      <c r="A343" s="4">
        <v>342.0</v>
      </c>
      <c r="B343" s="3" t="s">
        <v>8</v>
      </c>
      <c r="C343" s="3">
        <v>32.0</v>
      </c>
      <c r="D343" s="3">
        <v>3.0</v>
      </c>
      <c r="E343" s="5" t="s">
        <v>106</v>
      </c>
      <c r="F343" s="5" t="s">
        <v>808</v>
      </c>
      <c r="G343" s="5" t="s">
        <v>809</v>
      </c>
      <c r="H343" s="27">
        <v>1.0</v>
      </c>
      <c r="I343" s="27">
        <v>0.839</v>
      </c>
      <c r="J343" s="27">
        <v>0.5</v>
      </c>
      <c r="K343" s="27">
        <v>1.0</v>
      </c>
      <c r="L343" s="4" t="str">
        <f>IMAGE("https://drive.google.com/uc?export=view&amp;id=1NY4LEOKh9-JpY1N_iQ0qCupeJJYf8VYY")</f>
        <v/>
      </c>
    </row>
    <row r="344" ht="22.5" customHeight="1">
      <c r="A344" s="4">
        <v>343.0</v>
      </c>
      <c r="B344" s="3" t="s">
        <v>8</v>
      </c>
      <c r="C344" s="3">
        <v>32.0</v>
      </c>
      <c r="D344" s="3">
        <v>3.0</v>
      </c>
      <c r="E344" s="5" t="s">
        <v>109</v>
      </c>
      <c r="F344" s="5" t="s">
        <v>810</v>
      </c>
      <c r="G344" s="5" t="s">
        <v>811</v>
      </c>
      <c r="H344" s="27">
        <v>0.545</v>
      </c>
      <c r="I344" s="27">
        <v>0.744</v>
      </c>
      <c r="J344" s="27">
        <v>0.833</v>
      </c>
      <c r="K344" s="27">
        <v>0.6</v>
      </c>
      <c r="L344" s="4" t="str">
        <f>IMAGE("https://drive.google.com/uc?export=view&amp;id=17Gv9KBfOamumtXCSeSG9PB6Ja5OJmZMD")</f>
        <v/>
      </c>
    </row>
    <row r="345" ht="22.5" customHeight="1">
      <c r="A345" s="4">
        <v>344.0</v>
      </c>
      <c r="B345" s="3" t="s">
        <v>8</v>
      </c>
      <c r="C345" s="3">
        <v>32.0</v>
      </c>
      <c r="D345" s="3">
        <v>3.0</v>
      </c>
      <c r="E345" s="5" t="s">
        <v>112</v>
      </c>
      <c r="F345" s="5" t="s">
        <v>812</v>
      </c>
      <c r="G345" s="5" t="s">
        <v>813</v>
      </c>
      <c r="H345" s="27">
        <v>1.0</v>
      </c>
      <c r="I345" s="27">
        <v>0.987</v>
      </c>
      <c r="J345" s="27">
        <v>1.0</v>
      </c>
      <c r="K345" s="27">
        <v>0.429</v>
      </c>
      <c r="L345" s="4" t="str">
        <f>IMAGE("https://drive.google.com/uc?export=view&amp;id=1GtKQ6jkvfGQ9Xt_LPqpenNaeG9v5AeCl")</f>
        <v/>
      </c>
    </row>
    <row r="346" ht="22.5" customHeight="1">
      <c r="A346" s="4">
        <v>345.0</v>
      </c>
      <c r="B346" s="3" t="s">
        <v>8</v>
      </c>
      <c r="C346" s="3">
        <v>32.0</v>
      </c>
      <c r="D346" s="3">
        <v>3.0</v>
      </c>
      <c r="E346" s="5" t="s">
        <v>118</v>
      </c>
      <c r="F346" s="5" t="s">
        <v>814</v>
      </c>
      <c r="G346" s="5" t="s">
        <v>815</v>
      </c>
      <c r="H346" s="27">
        <v>0.667</v>
      </c>
      <c r="I346" s="27">
        <v>0.0</v>
      </c>
      <c r="J346" s="27">
        <v>0.0</v>
      </c>
      <c r="K346" s="27">
        <v>0.6</v>
      </c>
      <c r="L346" s="4" t="str">
        <f>IMAGE("https://drive.google.com/uc?export=view&amp;id=1paXTtxx3sVUmgPCGT5aCO96Oh070aGRw")</f>
        <v/>
      </c>
    </row>
    <row r="347" ht="22.5" customHeight="1">
      <c r="A347" s="4">
        <v>346.0</v>
      </c>
      <c r="B347" s="3" t="s">
        <v>8</v>
      </c>
      <c r="C347" s="3">
        <v>32.0</v>
      </c>
      <c r="D347" s="3">
        <v>3.0</v>
      </c>
      <c r="E347" s="5" t="s">
        <v>121</v>
      </c>
      <c r="F347" s="5" t="s">
        <v>816</v>
      </c>
      <c r="G347" s="5" t="s">
        <v>817</v>
      </c>
      <c r="H347" s="27">
        <v>0.833</v>
      </c>
      <c r="I347" s="27">
        <v>0.978</v>
      </c>
      <c r="J347" s="27">
        <v>0.833</v>
      </c>
      <c r="K347" s="27">
        <v>1.0</v>
      </c>
      <c r="L347" s="4" t="str">
        <f>IMAGE("https://drive.google.com/uc?export=view&amp;id=1xU9dlkk8FoMKFre8kYWz28M66Tp_suag")</f>
        <v/>
      </c>
    </row>
    <row r="348" ht="22.5" customHeight="1">
      <c r="A348" s="4">
        <v>347.0</v>
      </c>
      <c r="B348" s="3" t="s">
        <v>8</v>
      </c>
      <c r="C348" s="3">
        <v>32.0</v>
      </c>
      <c r="D348" s="3">
        <v>3.0</v>
      </c>
      <c r="E348" s="5" t="s">
        <v>127</v>
      </c>
      <c r="F348" s="5" t="s">
        <v>818</v>
      </c>
      <c r="G348" s="5" t="s">
        <v>819</v>
      </c>
      <c r="H348" s="27">
        <v>0.833</v>
      </c>
      <c r="I348" s="27">
        <v>0.851</v>
      </c>
      <c r="J348" s="27">
        <v>0.5</v>
      </c>
      <c r="K348" s="27">
        <v>0.75</v>
      </c>
      <c r="L348" s="4" t="str">
        <f>IMAGE("https://drive.google.com/uc?export=view&amp;id=1GfTUXQyTaAfsWHXnC1AFMyIHnom-l2wz")</f>
        <v/>
      </c>
    </row>
    <row r="349" ht="22.5" customHeight="1">
      <c r="A349" s="4">
        <v>348.0</v>
      </c>
      <c r="B349" s="3" t="s">
        <v>8</v>
      </c>
      <c r="C349" s="3">
        <v>32.0</v>
      </c>
      <c r="D349" s="3">
        <v>3.0</v>
      </c>
      <c r="E349" s="5" t="s">
        <v>130</v>
      </c>
      <c r="F349" s="5" t="s">
        <v>820</v>
      </c>
      <c r="G349" s="5" t="s">
        <v>821</v>
      </c>
      <c r="H349" s="27">
        <v>0.5</v>
      </c>
      <c r="I349" s="27">
        <v>0.708</v>
      </c>
      <c r="J349" s="27">
        <v>1.0</v>
      </c>
      <c r="K349" s="27">
        <v>0.6</v>
      </c>
      <c r="L349" s="4" t="str">
        <f>IMAGE("https://drive.google.com/uc?export=view&amp;id=1L0vNLRhS5mObzj9zmH4SP0kzUU6IWAJU")</f>
        <v/>
      </c>
    </row>
    <row r="350" ht="22.5" customHeight="1">
      <c r="A350" s="4">
        <v>349.0</v>
      </c>
      <c r="B350" s="3" t="s">
        <v>8</v>
      </c>
      <c r="C350" s="3">
        <v>32.0</v>
      </c>
      <c r="D350" s="3">
        <v>3.0</v>
      </c>
      <c r="E350" s="5" t="s">
        <v>133</v>
      </c>
      <c r="F350" s="5" t="s">
        <v>822</v>
      </c>
      <c r="G350" s="5" t="s">
        <v>823</v>
      </c>
      <c r="H350" s="27">
        <v>1.0</v>
      </c>
      <c r="I350" s="27">
        <v>0.0</v>
      </c>
      <c r="J350" s="27">
        <v>0.0</v>
      </c>
      <c r="K350" s="27">
        <v>0.333</v>
      </c>
      <c r="L350" s="4" t="str">
        <f>IMAGE("https://drive.google.com/uc?export=view&amp;id=1q-EXnEEXTSkzPzUNlqQ-wRey8kJo13xu")</f>
        <v/>
      </c>
    </row>
    <row r="351" ht="22.5" customHeight="1">
      <c r="A351" s="4">
        <v>350.0</v>
      </c>
      <c r="B351" s="3" t="s">
        <v>8</v>
      </c>
      <c r="C351" s="3">
        <v>32.0</v>
      </c>
      <c r="D351" s="3">
        <v>3.0</v>
      </c>
      <c r="E351" s="5" t="s">
        <v>136</v>
      </c>
      <c r="F351" s="5" t="s">
        <v>824</v>
      </c>
      <c r="G351" s="5" t="s">
        <v>825</v>
      </c>
      <c r="H351" s="27">
        <v>0.625</v>
      </c>
      <c r="I351" s="27">
        <v>0.961</v>
      </c>
      <c r="J351" s="27">
        <v>1.0</v>
      </c>
      <c r="K351" s="27">
        <v>0.833</v>
      </c>
      <c r="L351" s="4" t="str">
        <f>IMAGE("https://drive.google.com/uc?export=view&amp;id=1fRfGu4g6ODOqb_3bvZF6TWNQrMruxUSY")</f>
        <v/>
      </c>
    </row>
    <row r="352" ht="22.5" customHeight="1">
      <c r="A352" s="4">
        <v>351.0</v>
      </c>
      <c r="B352" s="3" t="s">
        <v>8</v>
      </c>
      <c r="C352" s="3">
        <v>32.0</v>
      </c>
      <c r="D352" s="3">
        <v>3.0</v>
      </c>
      <c r="E352" s="5" t="s">
        <v>139</v>
      </c>
      <c r="F352" s="5" t="s">
        <v>826</v>
      </c>
      <c r="G352" s="5" t="s">
        <v>827</v>
      </c>
      <c r="H352" s="27">
        <v>1.0</v>
      </c>
      <c r="I352" s="27">
        <v>0.875</v>
      </c>
      <c r="J352" s="27">
        <v>1.0</v>
      </c>
      <c r="K352" s="27">
        <v>1.0</v>
      </c>
      <c r="L352" s="4" t="str">
        <f>IMAGE("https://drive.google.com/uc?export=view&amp;id=1u7t1WIdFkNIJxF2L6Zt8ij7S4hfHhhR_")</f>
        <v/>
      </c>
    </row>
    <row r="353" ht="22.5" customHeight="1">
      <c r="A353" s="4">
        <v>352.0</v>
      </c>
      <c r="B353" s="3" t="s">
        <v>8</v>
      </c>
      <c r="C353" s="3">
        <v>32.0</v>
      </c>
      <c r="D353" s="3">
        <v>3.0</v>
      </c>
      <c r="E353" s="5" t="s">
        <v>142</v>
      </c>
      <c r="F353" s="5" t="s">
        <v>828</v>
      </c>
      <c r="G353" s="5" t="s">
        <v>829</v>
      </c>
      <c r="H353" s="27">
        <v>0.833</v>
      </c>
      <c r="I353" s="27">
        <v>0.876</v>
      </c>
      <c r="J353" s="27">
        <v>1.0</v>
      </c>
      <c r="K353" s="27">
        <v>1.0</v>
      </c>
      <c r="L353" s="4" t="str">
        <f>IMAGE("https://drive.google.com/uc?export=view&amp;id=1mFxaLxfWe5VgQ0b3O9zQJQfUkIp3yDPX")</f>
        <v/>
      </c>
    </row>
    <row r="354" ht="22.5" customHeight="1">
      <c r="A354" s="4">
        <v>353.0</v>
      </c>
      <c r="B354" s="3" t="s">
        <v>8</v>
      </c>
      <c r="C354" s="3">
        <v>32.0</v>
      </c>
      <c r="D354" s="3">
        <v>3.0</v>
      </c>
      <c r="E354" s="5" t="s">
        <v>145</v>
      </c>
      <c r="F354" s="5" t="s">
        <v>830</v>
      </c>
      <c r="G354" s="5" t="s">
        <v>831</v>
      </c>
      <c r="H354" s="27">
        <v>0.545</v>
      </c>
      <c r="I354" s="27">
        <v>0.703</v>
      </c>
      <c r="J354" s="27">
        <v>1.0</v>
      </c>
      <c r="K354" s="27">
        <v>0.8</v>
      </c>
      <c r="L354" s="4" t="str">
        <f>IMAGE("https://drive.google.com/uc?export=view&amp;id=1zp3p4c-vgtEjQqNOMfhgJEwOY25E-R9z")</f>
        <v/>
      </c>
    </row>
    <row r="355" ht="22.5" customHeight="1">
      <c r="A355" s="4">
        <v>354.0</v>
      </c>
      <c r="B355" s="3" t="s">
        <v>8</v>
      </c>
      <c r="C355" s="3">
        <v>32.0</v>
      </c>
      <c r="D355" s="3">
        <v>3.0</v>
      </c>
      <c r="E355" s="5" t="s">
        <v>148</v>
      </c>
      <c r="F355" s="5" t="s">
        <v>832</v>
      </c>
      <c r="G355" s="5" t="s">
        <v>833</v>
      </c>
      <c r="H355" s="27">
        <v>0.583</v>
      </c>
      <c r="I355" s="27">
        <v>0.743</v>
      </c>
      <c r="J355" s="27">
        <v>1.0</v>
      </c>
      <c r="K355" s="27">
        <v>0.2</v>
      </c>
      <c r="L355" s="4" t="str">
        <f>IMAGE("https://drive.google.com/uc?export=view&amp;id=1uozZjFNDzZwLMkpjxD2v3bhnc8pX-BXI")</f>
        <v/>
      </c>
    </row>
    <row r="356" ht="22.5" customHeight="1">
      <c r="A356" s="4">
        <v>355.0</v>
      </c>
      <c r="B356" s="3" t="s">
        <v>8</v>
      </c>
      <c r="C356" s="3">
        <v>32.0</v>
      </c>
      <c r="D356" s="3">
        <v>3.0</v>
      </c>
      <c r="E356" s="5" t="s">
        <v>124</v>
      </c>
      <c r="F356" s="5" t="s">
        <v>834</v>
      </c>
      <c r="G356" s="5" t="s">
        <v>835</v>
      </c>
      <c r="H356" s="27">
        <v>1.0</v>
      </c>
      <c r="I356" s="27">
        <v>0.909</v>
      </c>
      <c r="J356" s="27">
        <v>1.0</v>
      </c>
      <c r="K356" s="27">
        <v>0.286</v>
      </c>
      <c r="L356" s="4" t="str">
        <f>IMAGE("https://drive.google.com/uc?export=view&amp;id=1IvrNE-ISOz-Su9wG7z3LeU_c0QCbsP1S")</f>
        <v/>
      </c>
    </row>
    <row r="357" ht="22.5" customHeight="1">
      <c r="A357" s="4">
        <v>356.0</v>
      </c>
      <c r="B357" s="3" t="s">
        <v>8</v>
      </c>
      <c r="C357" s="3">
        <v>32.0</v>
      </c>
      <c r="D357" s="3">
        <v>3.0</v>
      </c>
      <c r="E357" s="5" t="s">
        <v>151</v>
      </c>
      <c r="F357" s="5" t="s">
        <v>836</v>
      </c>
      <c r="G357" s="5" t="s">
        <v>837</v>
      </c>
      <c r="H357" s="27">
        <v>0.8</v>
      </c>
      <c r="I357" s="27">
        <v>0.914</v>
      </c>
      <c r="J357" s="27">
        <v>1.0</v>
      </c>
      <c r="K357" s="27">
        <v>1.0</v>
      </c>
      <c r="L357" s="4" t="str">
        <f>IMAGE("https://drive.google.com/uc?export=view&amp;id=1q0-EqPFqpqbkyj4ca7OSDFRsmLaIgWL7")</f>
        <v/>
      </c>
    </row>
    <row r="358" ht="22.5" customHeight="1">
      <c r="A358" s="4">
        <v>357.0</v>
      </c>
      <c r="B358" s="3" t="s">
        <v>8</v>
      </c>
      <c r="C358" s="3">
        <v>32.0</v>
      </c>
      <c r="D358" s="3">
        <v>3.0</v>
      </c>
      <c r="E358" s="5" t="s">
        <v>154</v>
      </c>
      <c r="F358" s="5" t="s">
        <v>838</v>
      </c>
      <c r="G358" s="5" t="s">
        <v>839</v>
      </c>
      <c r="H358" s="27">
        <v>1.0</v>
      </c>
      <c r="I358" s="27">
        <v>0.815</v>
      </c>
      <c r="J358" s="27">
        <v>1.0</v>
      </c>
      <c r="K358" s="27">
        <v>0.714</v>
      </c>
      <c r="L358" s="4" t="str">
        <f>IMAGE("https://drive.google.com/uc?export=view&amp;id=1APhWYustKNLKb8s9YrR3DJUlbZjPdlhh")</f>
        <v/>
      </c>
    </row>
    <row r="359" ht="22.5" customHeight="1">
      <c r="A359" s="4">
        <v>358.0</v>
      </c>
      <c r="B359" s="3" t="s">
        <v>8</v>
      </c>
      <c r="C359" s="3">
        <v>32.0</v>
      </c>
      <c r="D359" s="3">
        <v>3.0</v>
      </c>
      <c r="E359" s="5" t="s">
        <v>157</v>
      </c>
      <c r="F359" s="5" t="s">
        <v>840</v>
      </c>
      <c r="G359" s="5" t="s">
        <v>841</v>
      </c>
      <c r="H359" s="27">
        <v>0.5</v>
      </c>
      <c r="I359" s="27">
        <v>0.566</v>
      </c>
      <c r="J359" s="27">
        <v>1.0</v>
      </c>
      <c r="K359" s="27">
        <v>1.0</v>
      </c>
      <c r="L359" s="4" t="str">
        <f>IMAGE("https://drive.google.com/uc?export=view&amp;id=19LczHmNWqcHOrF6lhPeSM-l13UCn1o1d")</f>
        <v/>
      </c>
    </row>
    <row r="360" ht="22.5" customHeight="1">
      <c r="A360" s="4">
        <v>359.0</v>
      </c>
      <c r="B360" s="3" t="s">
        <v>8</v>
      </c>
      <c r="C360" s="3">
        <v>32.0</v>
      </c>
      <c r="D360" s="3">
        <v>3.0</v>
      </c>
      <c r="E360" s="5" t="s">
        <v>160</v>
      </c>
      <c r="F360" s="5" t="s">
        <v>842</v>
      </c>
      <c r="G360" s="5" t="s">
        <v>843</v>
      </c>
      <c r="H360" s="27">
        <v>0.727</v>
      </c>
      <c r="I360" s="27">
        <v>0.709</v>
      </c>
      <c r="J360" s="27">
        <v>1.0</v>
      </c>
      <c r="K360" s="27">
        <v>0.857</v>
      </c>
      <c r="L360" s="4" t="str">
        <f>IMAGE("https://drive.google.com/uc?export=view&amp;id=1VpCH3PjA4ACh8xKfObZvHPqqU5KveVDX")</f>
        <v/>
      </c>
    </row>
    <row r="361" ht="22.5" customHeight="1">
      <c r="A361" s="4">
        <v>360.0</v>
      </c>
      <c r="B361" s="3" t="s">
        <v>8</v>
      </c>
      <c r="C361" s="3">
        <v>32.0</v>
      </c>
      <c r="D361" s="3">
        <v>3.0</v>
      </c>
      <c r="E361" s="5" t="s">
        <v>163</v>
      </c>
      <c r="F361" s="5" t="s">
        <v>844</v>
      </c>
      <c r="G361" s="5" t="s">
        <v>845</v>
      </c>
      <c r="H361" s="27">
        <v>0.25</v>
      </c>
      <c r="I361" s="27">
        <v>0.581</v>
      </c>
      <c r="J361" s="27">
        <v>1.0</v>
      </c>
      <c r="K361" s="27">
        <v>0.833</v>
      </c>
      <c r="L361" s="4" t="str">
        <f>IMAGE("https://drive.google.com/uc?export=view&amp;id=1EP0PLyp2Pm51b5c5HJsiMs03iCwH6J_z")</f>
        <v/>
      </c>
    </row>
    <row r="362" ht="22.5" customHeight="1">
      <c r="A362" s="4">
        <v>361.0</v>
      </c>
      <c r="B362" s="3" t="s">
        <v>8</v>
      </c>
      <c r="C362" s="3">
        <v>32.0</v>
      </c>
      <c r="D362" s="3">
        <v>3.0</v>
      </c>
      <c r="E362" s="5" t="s">
        <v>166</v>
      </c>
      <c r="F362" s="5" t="s">
        <v>846</v>
      </c>
      <c r="G362" s="5" t="s">
        <v>847</v>
      </c>
      <c r="H362" s="27">
        <v>0.727</v>
      </c>
      <c r="I362" s="27">
        <v>0.986</v>
      </c>
      <c r="J362" s="27">
        <v>1.0</v>
      </c>
      <c r="K362" s="27">
        <v>0.0</v>
      </c>
      <c r="L362" s="4" t="str">
        <f>IMAGE("https://drive.google.com/uc?export=view&amp;id=1x8TowyauKXnOIkIE1Ns3UGuQiz3eu9h9")</f>
        <v/>
      </c>
    </row>
    <row r="363" ht="22.5" customHeight="1">
      <c r="A363" s="4">
        <v>362.0</v>
      </c>
      <c r="B363" s="3" t="s">
        <v>8</v>
      </c>
      <c r="C363" s="3">
        <v>32.0</v>
      </c>
      <c r="D363" s="3">
        <v>3.0</v>
      </c>
      <c r="E363" s="5" t="s">
        <v>169</v>
      </c>
      <c r="F363" s="5" t="s">
        <v>848</v>
      </c>
      <c r="G363" s="5" t="s">
        <v>849</v>
      </c>
      <c r="H363" s="27">
        <v>0.467</v>
      </c>
      <c r="I363" s="27">
        <v>0.873</v>
      </c>
      <c r="J363" s="27">
        <v>0.0</v>
      </c>
      <c r="K363" s="27">
        <v>0.333</v>
      </c>
      <c r="L363" s="4" t="str">
        <f>IMAGE("https://drive.google.com/uc?export=view&amp;id=1pnwverxK0MsIAcwLTwP4iZcbhbQ8BkMs")</f>
        <v/>
      </c>
    </row>
    <row r="364" ht="22.5" customHeight="1">
      <c r="A364" s="4">
        <v>363.0</v>
      </c>
      <c r="B364" s="3" t="s">
        <v>8</v>
      </c>
      <c r="C364" s="3">
        <v>32.0</v>
      </c>
      <c r="D364" s="3">
        <v>3.0</v>
      </c>
      <c r="E364" s="5" t="s">
        <v>172</v>
      </c>
      <c r="F364" s="5" t="s">
        <v>850</v>
      </c>
      <c r="G364" s="5" t="s">
        <v>851</v>
      </c>
      <c r="H364" s="27">
        <v>0.625</v>
      </c>
      <c r="I364" s="27">
        <v>0.973</v>
      </c>
      <c r="J364" s="27">
        <v>1.0</v>
      </c>
      <c r="K364" s="27">
        <v>0.0</v>
      </c>
      <c r="L364" s="4" t="str">
        <f>IMAGE("https://drive.google.com/uc?export=view&amp;id=1lWTGhhcq_yA928TMN_g50RIX_QYck39D")</f>
        <v/>
      </c>
    </row>
    <row r="365" ht="22.5" customHeight="1">
      <c r="A365" s="4">
        <v>364.0</v>
      </c>
      <c r="B365" s="3" t="s">
        <v>8</v>
      </c>
      <c r="C365" s="3">
        <v>32.0</v>
      </c>
      <c r="D365" s="3">
        <v>3.0</v>
      </c>
      <c r="E365" s="5" t="s">
        <v>175</v>
      </c>
      <c r="F365" s="5" t="s">
        <v>852</v>
      </c>
      <c r="G365" s="5" t="s">
        <v>853</v>
      </c>
      <c r="H365" s="27">
        <v>0.333</v>
      </c>
      <c r="I365" s="27">
        <v>0.983</v>
      </c>
      <c r="J365" s="27">
        <v>0.833</v>
      </c>
      <c r="K365" s="27">
        <v>0.333</v>
      </c>
      <c r="L365" s="4" t="str">
        <f>IMAGE("https://drive.google.com/uc?export=view&amp;id=1vLQI2KLNoVjH0gGBeVCfNp4m2JOOTXp-")</f>
        <v/>
      </c>
    </row>
    <row r="366" ht="22.5" customHeight="1">
      <c r="A366" s="4">
        <v>365.0</v>
      </c>
      <c r="B366" s="3" t="s">
        <v>8</v>
      </c>
      <c r="C366" s="3">
        <v>32.0</v>
      </c>
      <c r="D366" s="3">
        <v>3.0</v>
      </c>
      <c r="E366" s="5" t="s">
        <v>178</v>
      </c>
      <c r="F366" s="5" t="s">
        <v>854</v>
      </c>
      <c r="G366" s="5" t="s">
        <v>855</v>
      </c>
      <c r="H366" s="27">
        <v>0.889</v>
      </c>
      <c r="I366" s="27">
        <v>0.947</v>
      </c>
      <c r="J366" s="27">
        <v>0.5</v>
      </c>
      <c r="K366" s="27">
        <v>0.0</v>
      </c>
      <c r="L366" s="4" t="str">
        <f>IMAGE("https://drive.google.com/uc?export=view&amp;id=1jDbLaL0XNn4SJxcNiUmlt8SKkZ5Xnwte")</f>
        <v/>
      </c>
    </row>
    <row r="367" ht="22.5" customHeight="1">
      <c r="A367" s="4">
        <v>366.0</v>
      </c>
      <c r="B367" s="3" t="s">
        <v>8</v>
      </c>
      <c r="C367" s="3">
        <v>32.0</v>
      </c>
      <c r="D367" s="3">
        <v>3.0</v>
      </c>
      <c r="E367" s="5" t="s">
        <v>856</v>
      </c>
      <c r="F367" s="5" t="s">
        <v>857</v>
      </c>
      <c r="G367" s="5" t="s">
        <v>858</v>
      </c>
      <c r="H367" s="27">
        <v>1.0</v>
      </c>
      <c r="I367" s="27">
        <v>0.877</v>
      </c>
      <c r="J367" s="27">
        <v>1.0</v>
      </c>
      <c r="K367" s="27">
        <v>0.8</v>
      </c>
      <c r="L367" s="4" t="str">
        <f>IMAGE("https://drive.google.com/uc?export=view&amp;id=1JV-ZkDNhbpMIAMcefYqrJ2DXHJFEEbwd")</f>
        <v/>
      </c>
    </row>
    <row r="368" ht="22.5" customHeight="1">
      <c r="A368" s="4">
        <v>367.0</v>
      </c>
      <c r="B368" s="3" t="s">
        <v>8</v>
      </c>
      <c r="C368" s="3">
        <v>32.0</v>
      </c>
      <c r="D368" s="3">
        <v>3.0</v>
      </c>
      <c r="E368" s="5" t="s">
        <v>184</v>
      </c>
      <c r="F368" s="5" t="s">
        <v>859</v>
      </c>
      <c r="G368" s="5" t="s">
        <v>860</v>
      </c>
      <c r="H368" s="27">
        <v>0.875</v>
      </c>
      <c r="I368" s="27">
        <v>0.938</v>
      </c>
      <c r="J368" s="27">
        <v>1.0</v>
      </c>
      <c r="K368" s="27">
        <v>0.833</v>
      </c>
      <c r="L368" s="4" t="str">
        <f>IMAGE("https://drive.google.com/uc?export=view&amp;id=17kxPHWdTyhJWV48GxjmO4NTSjIE5rI6y")</f>
        <v/>
      </c>
    </row>
    <row r="369" ht="22.5" customHeight="1">
      <c r="A369" s="4">
        <v>368.0</v>
      </c>
      <c r="B369" s="3" t="s">
        <v>8</v>
      </c>
      <c r="C369" s="3">
        <v>32.0</v>
      </c>
      <c r="D369" s="3">
        <v>3.0</v>
      </c>
      <c r="E369" s="5" t="s">
        <v>187</v>
      </c>
      <c r="F369" s="5" t="s">
        <v>861</v>
      </c>
      <c r="G369" s="5" t="s">
        <v>862</v>
      </c>
      <c r="H369" s="27">
        <v>1.0</v>
      </c>
      <c r="I369" s="27">
        <v>0.836</v>
      </c>
      <c r="J369" s="27">
        <v>1.0</v>
      </c>
      <c r="K369" s="27">
        <v>0.8</v>
      </c>
      <c r="L369" s="4" t="str">
        <f>IMAGE("https://drive.google.com/uc?export=view&amp;id=1OkxNQ8kRLpwO003tivP5392viOVm_u38")</f>
        <v/>
      </c>
    </row>
    <row r="370" ht="22.5" customHeight="1">
      <c r="A370" s="4">
        <v>369.0</v>
      </c>
      <c r="B370" s="3" t="s">
        <v>8</v>
      </c>
      <c r="C370" s="3">
        <v>32.0</v>
      </c>
      <c r="D370" s="3">
        <v>3.0</v>
      </c>
      <c r="E370" s="5" t="s">
        <v>190</v>
      </c>
      <c r="F370" s="5" t="s">
        <v>863</v>
      </c>
      <c r="G370" s="5" t="s">
        <v>864</v>
      </c>
      <c r="H370" s="27">
        <v>0.643</v>
      </c>
      <c r="I370" s="27">
        <v>0.892</v>
      </c>
      <c r="J370" s="27">
        <v>1.0</v>
      </c>
      <c r="K370" s="27">
        <v>1.0</v>
      </c>
      <c r="L370" s="4" t="str">
        <f>IMAGE("https://drive.google.com/uc?export=view&amp;id=1VesTJTto1XIYIN3tZ_6Ab62W0miEwgUZ")</f>
        <v/>
      </c>
    </row>
    <row r="371" ht="22.5" customHeight="1">
      <c r="A371" s="4">
        <v>370.0</v>
      </c>
      <c r="B371" s="3" t="s">
        <v>8</v>
      </c>
      <c r="C371" s="3">
        <v>32.0</v>
      </c>
      <c r="D371" s="3">
        <v>3.0</v>
      </c>
      <c r="E371" s="5" t="s">
        <v>193</v>
      </c>
      <c r="F371" s="5" t="s">
        <v>865</v>
      </c>
      <c r="G371" s="5" t="s">
        <v>866</v>
      </c>
      <c r="H371" s="27">
        <v>0.727</v>
      </c>
      <c r="I371" s="27">
        <v>0.467</v>
      </c>
      <c r="J371" s="27">
        <v>0.833</v>
      </c>
      <c r="K371" s="27">
        <v>0.0</v>
      </c>
      <c r="L371" s="4" t="str">
        <f>IMAGE("https://drive.google.com/uc?export=view&amp;id=12U4igsQ_aY_FfdBVIaeepFNBKTYQb6d4")</f>
        <v/>
      </c>
    </row>
    <row r="372" ht="22.5" customHeight="1">
      <c r="A372" s="4">
        <v>371.0</v>
      </c>
      <c r="B372" s="3" t="s">
        <v>8</v>
      </c>
      <c r="C372" s="3">
        <v>32.0</v>
      </c>
      <c r="D372" s="3">
        <v>3.0</v>
      </c>
      <c r="E372" s="5" t="s">
        <v>196</v>
      </c>
      <c r="F372" s="5" t="s">
        <v>867</v>
      </c>
      <c r="G372" s="5" t="s">
        <v>868</v>
      </c>
      <c r="H372" s="27">
        <v>0.182</v>
      </c>
      <c r="I372" s="27">
        <v>0.809</v>
      </c>
      <c r="J372" s="27">
        <v>1.0</v>
      </c>
      <c r="K372" s="27">
        <v>0.167</v>
      </c>
      <c r="L372" s="4" t="str">
        <f>IMAGE("https://drive.google.com/uc?export=view&amp;id=1lVpPNZQIiButidNR2CUvixN7vc1o-dHC")</f>
        <v/>
      </c>
    </row>
    <row r="373" ht="22.5" customHeight="1">
      <c r="A373" s="4">
        <v>372.0</v>
      </c>
      <c r="B373" s="3" t="s">
        <v>8</v>
      </c>
      <c r="C373" s="3">
        <v>32.0</v>
      </c>
      <c r="D373" s="3">
        <v>3.0</v>
      </c>
      <c r="E373" s="5" t="s">
        <v>199</v>
      </c>
      <c r="F373" s="5" t="s">
        <v>869</v>
      </c>
      <c r="G373" s="5" t="s">
        <v>870</v>
      </c>
      <c r="H373" s="27">
        <v>0.667</v>
      </c>
      <c r="I373" s="27">
        <v>0.989</v>
      </c>
      <c r="J373" s="27">
        <v>0.5</v>
      </c>
      <c r="K373" s="27">
        <v>0.5</v>
      </c>
      <c r="L373" s="4" t="str">
        <f>IMAGE("https://drive.google.com/uc?export=view&amp;id=1eRWEttBG-CGgGH1metH8ziGpOIarDhyR")</f>
        <v/>
      </c>
    </row>
    <row r="374" ht="22.5" customHeight="1">
      <c r="A374" s="4">
        <v>373.0</v>
      </c>
      <c r="B374" s="3" t="s">
        <v>8</v>
      </c>
      <c r="C374" s="3">
        <v>32.0</v>
      </c>
      <c r="D374" s="3">
        <v>3.0</v>
      </c>
      <c r="E374" s="5" t="s">
        <v>202</v>
      </c>
      <c r="F374" s="5" t="s">
        <v>871</v>
      </c>
      <c r="G374" s="5" t="s">
        <v>872</v>
      </c>
      <c r="H374" s="27">
        <v>0.846</v>
      </c>
      <c r="I374" s="27">
        <v>0.847</v>
      </c>
      <c r="J374" s="27">
        <v>0.5</v>
      </c>
      <c r="K374" s="27">
        <v>1.0</v>
      </c>
      <c r="L374" s="4" t="str">
        <f>IMAGE("https://drive.google.com/uc?export=view&amp;id=1eN5cmyj-Sye-PXsRCyEPt90igXpcIIJi")</f>
        <v/>
      </c>
    </row>
    <row r="375" ht="22.5" customHeight="1">
      <c r="A375" s="4">
        <v>374.0</v>
      </c>
      <c r="B375" s="3" t="s">
        <v>8</v>
      </c>
      <c r="C375" s="3">
        <v>32.0</v>
      </c>
      <c r="D375" s="3">
        <v>3.0</v>
      </c>
      <c r="E375" s="5" t="s">
        <v>205</v>
      </c>
      <c r="F375" s="5" t="s">
        <v>873</v>
      </c>
      <c r="G375" s="5" t="s">
        <v>874</v>
      </c>
      <c r="H375" s="27">
        <v>0.214</v>
      </c>
      <c r="I375" s="27">
        <v>1.0</v>
      </c>
      <c r="J375" s="27">
        <v>1.0</v>
      </c>
      <c r="K375" s="27">
        <v>1.0</v>
      </c>
      <c r="L375" s="4" t="str">
        <f>IMAGE("https://drive.google.com/uc?export=view&amp;id=149XZKNH5LKzmk935YSeH30ShvO8jQGcu")</f>
        <v/>
      </c>
    </row>
    <row r="376" ht="22.5" customHeight="1">
      <c r="A376" s="4">
        <v>375.0</v>
      </c>
      <c r="B376" s="3" t="s">
        <v>8</v>
      </c>
      <c r="C376" s="3">
        <v>32.0</v>
      </c>
      <c r="D376" s="3">
        <v>3.0</v>
      </c>
      <c r="E376" s="5" t="s">
        <v>208</v>
      </c>
      <c r="F376" s="5" t="s">
        <v>875</v>
      </c>
      <c r="G376" s="5" t="s">
        <v>876</v>
      </c>
      <c r="H376" s="27">
        <v>0.529</v>
      </c>
      <c r="I376" s="27">
        <v>0.837</v>
      </c>
      <c r="J376" s="27">
        <v>1.0</v>
      </c>
      <c r="K376" s="27">
        <v>0.0</v>
      </c>
      <c r="L376" s="4" t="str">
        <f>IMAGE("https://drive.google.com/uc?export=view&amp;id=12Nsd1uHzFZ4XaJhcOjNiK4K_JkmQIhT7")</f>
        <v/>
      </c>
    </row>
    <row r="377" ht="22.5" customHeight="1">
      <c r="A377" s="4">
        <v>376.0</v>
      </c>
      <c r="B377" s="3" t="s">
        <v>8</v>
      </c>
      <c r="C377" s="3">
        <v>32.0</v>
      </c>
      <c r="D377" s="3">
        <v>3.0</v>
      </c>
      <c r="E377" s="5" t="s">
        <v>211</v>
      </c>
      <c r="F377" s="5" t="s">
        <v>877</v>
      </c>
      <c r="G377" s="5" t="s">
        <v>878</v>
      </c>
      <c r="H377" s="27">
        <v>1.0</v>
      </c>
      <c r="I377" s="27">
        <v>0.671</v>
      </c>
      <c r="J377" s="27">
        <v>1.0</v>
      </c>
      <c r="K377" s="27">
        <v>1.0</v>
      </c>
      <c r="L377" s="4" t="str">
        <f>IMAGE("https://drive.google.com/uc?export=view&amp;id=1JWNrdLJBzjMKcJVmAtw1BraIhTe2Im2T")</f>
        <v/>
      </c>
    </row>
    <row r="378" ht="22.5" customHeight="1">
      <c r="A378" s="4">
        <v>377.0</v>
      </c>
      <c r="B378" s="3" t="s">
        <v>8</v>
      </c>
      <c r="C378" s="3">
        <v>32.0</v>
      </c>
      <c r="D378" s="3">
        <v>3.0</v>
      </c>
      <c r="E378" s="5" t="s">
        <v>214</v>
      </c>
      <c r="F378" s="5" t="s">
        <v>879</v>
      </c>
      <c r="G378" s="5" t="s">
        <v>880</v>
      </c>
      <c r="H378" s="27">
        <v>1.0</v>
      </c>
      <c r="I378" s="27">
        <v>0.913</v>
      </c>
      <c r="J378" s="27">
        <v>0.583</v>
      </c>
      <c r="K378" s="27">
        <v>0.8</v>
      </c>
      <c r="L378" s="4" t="str">
        <f>IMAGE("https://drive.google.com/uc?export=view&amp;id=16BJFXenSheX_7Jh9yPHIUxkY8l-jnx40")</f>
        <v/>
      </c>
    </row>
    <row r="379" ht="22.5" customHeight="1">
      <c r="A379" s="4">
        <v>378.0</v>
      </c>
      <c r="B379" s="3" t="s">
        <v>8</v>
      </c>
      <c r="C379" s="3">
        <v>32.0</v>
      </c>
      <c r="D379" s="3">
        <v>3.0</v>
      </c>
      <c r="E379" s="5" t="s">
        <v>217</v>
      </c>
      <c r="F379" s="5" t="s">
        <v>881</v>
      </c>
      <c r="G379" s="5" t="s">
        <v>882</v>
      </c>
      <c r="H379" s="27">
        <v>0.875</v>
      </c>
      <c r="I379" s="27">
        <v>0.934</v>
      </c>
      <c r="J379" s="27">
        <v>0.0</v>
      </c>
      <c r="K379" s="27">
        <v>0.0</v>
      </c>
      <c r="L379" s="4" t="str">
        <f>IMAGE("https://drive.google.com/uc?export=view&amp;id=1zCucxEYHz_0VLNxnCc9VtjlO7CwWXZ_J")</f>
        <v/>
      </c>
    </row>
    <row r="380" ht="22.5" customHeight="1">
      <c r="A380" s="4">
        <v>379.0</v>
      </c>
      <c r="B380" s="3" t="s">
        <v>8</v>
      </c>
      <c r="C380" s="3">
        <v>32.0</v>
      </c>
      <c r="D380" s="3">
        <v>3.0</v>
      </c>
      <c r="E380" s="5" t="s">
        <v>220</v>
      </c>
      <c r="F380" s="5" t="s">
        <v>883</v>
      </c>
      <c r="G380" s="5" t="s">
        <v>884</v>
      </c>
      <c r="H380" s="27">
        <v>0.5</v>
      </c>
      <c r="I380" s="27">
        <v>0.767</v>
      </c>
      <c r="J380" s="27">
        <v>1.0</v>
      </c>
      <c r="K380" s="27">
        <v>0.857</v>
      </c>
      <c r="L380" s="4" t="str">
        <f>IMAGE("https://drive.google.com/uc?export=view&amp;id=1rhU1hefOTH4hY8P2Z0uRs5QoJPqbnd8f")</f>
        <v/>
      </c>
    </row>
    <row r="381" ht="22.5" customHeight="1">
      <c r="A381" s="4">
        <v>380.0</v>
      </c>
      <c r="B381" s="3" t="s">
        <v>8</v>
      </c>
      <c r="C381" s="3">
        <v>32.0</v>
      </c>
      <c r="D381" s="3">
        <v>3.0</v>
      </c>
      <c r="E381" s="5" t="s">
        <v>223</v>
      </c>
      <c r="F381" s="5" t="s">
        <v>885</v>
      </c>
      <c r="G381" s="5" t="s">
        <v>886</v>
      </c>
      <c r="H381" s="27">
        <v>0.789</v>
      </c>
      <c r="I381" s="27">
        <v>0.772</v>
      </c>
      <c r="J381" s="27">
        <v>1.0</v>
      </c>
      <c r="K381" s="27">
        <v>1.0</v>
      </c>
      <c r="L381" s="4" t="str">
        <f>IMAGE("https://drive.google.com/uc?export=view&amp;id=1HDYH6bbgi8laMWy__x3Ln_7ouahwAEIT")</f>
        <v/>
      </c>
    </row>
    <row r="382" ht="22.5" customHeight="1">
      <c r="A382" s="4">
        <v>381.0</v>
      </c>
      <c r="B382" s="3" t="s">
        <v>8</v>
      </c>
      <c r="C382" s="3">
        <v>32.0</v>
      </c>
      <c r="D382" s="3">
        <v>3.0</v>
      </c>
      <c r="E382" s="5" t="s">
        <v>226</v>
      </c>
      <c r="F382" s="5" t="s">
        <v>887</v>
      </c>
      <c r="G382" s="5" t="s">
        <v>888</v>
      </c>
      <c r="H382" s="27">
        <v>0.625</v>
      </c>
      <c r="I382" s="27">
        <v>0.998</v>
      </c>
      <c r="J382" s="27">
        <v>1.0</v>
      </c>
      <c r="K382" s="27">
        <v>0.5</v>
      </c>
      <c r="L382" s="4" t="str">
        <f>IMAGE("https://drive.google.com/uc?export=view&amp;id=1Ol4wX5WA0a_m9EOns0vrYMQUu3W-0Bhl")</f>
        <v/>
      </c>
    </row>
    <row r="383" ht="22.5" customHeight="1">
      <c r="A383" s="4">
        <v>382.0</v>
      </c>
      <c r="B383" s="3" t="s">
        <v>8</v>
      </c>
      <c r="C383" s="3">
        <v>32.0</v>
      </c>
      <c r="D383" s="3">
        <v>3.0</v>
      </c>
      <c r="E383" s="5" t="s">
        <v>229</v>
      </c>
      <c r="F383" s="5" t="s">
        <v>889</v>
      </c>
      <c r="G383" s="5" t="s">
        <v>890</v>
      </c>
      <c r="H383" s="27">
        <v>0.556</v>
      </c>
      <c r="I383" s="27">
        <v>0.0</v>
      </c>
      <c r="J383" s="27">
        <v>0.0</v>
      </c>
      <c r="K383" s="27">
        <v>0.6</v>
      </c>
      <c r="L383" s="4" t="str">
        <f>IMAGE("https://drive.google.com/uc?export=view&amp;id=1CN4899auXewQjP2K0kdu4r-AjG5qacZC")</f>
        <v/>
      </c>
    </row>
    <row r="384" ht="22.5" customHeight="1">
      <c r="A384" s="4">
        <v>383.0</v>
      </c>
      <c r="B384" s="3" t="s">
        <v>8</v>
      </c>
      <c r="C384" s="3">
        <v>32.0</v>
      </c>
      <c r="D384" s="3">
        <v>3.0</v>
      </c>
      <c r="E384" s="5" t="s">
        <v>232</v>
      </c>
      <c r="F384" s="5" t="s">
        <v>891</v>
      </c>
      <c r="G384" s="5" t="s">
        <v>892</v>
      </c>
      <c r="H384" s="27">
        <v>0.625</v>
      </c>
      <c r="I384" s="27">
        <v>0.992</v>
      </c>
      <c r="J384" s="27">
        <v>0.333</v>
      </c>
      <c r="K384" s="27">
        <v>0.2</v>
      </c>
      <c r="L384" s="4" t="str">
        <f>IMAGE("https://drive.google.com/uc?export=view&amp;id=1KH74X5cvN56sakPCgD8poS5NSrLs7cmP")</f>
        <v/>
      </c>
    </row>
    <row r="385" ht="22.5" customHeight="1">
      <c r="A385" s="4">
        <v>384.0</v>
      </c>
      <c r="B385" s="3" t="s">
        <v>8</v>
      </c>
      <c r="C385" s="3">
        <v>32.0</v>
      </c>
      <c r="D385" s="3">
        <v>3.0</v>
      </c>
      <c r="E385" s="5" t="s">
        <v>235</v>
      </c>
      <c r="F385" s="5" t="s">
        <v>893</v>
      </c>
      <c r="G385" s="5" t="s">
        <v>894</v>
      </c>
      <c r="H385" s="27">
        <v>0.8</v>
      </c>
      <c r="I385" s="27">
        <v>0.993</v>
      </c>
      <c r="J385" s="27">
        <v>1.0</v>
      </c>
      <c r="K385" s="27">
        <v>0.833</v>
      </c>
      <c r="L385" s="4" t="str">
        <f>IMAGE("https://drive.google.com/uc?export=view&amp;id=1pcXyx9GoCrRLTTm-L2P-G_LeyS0zXini")</f>
        <v/>
      </c>
    </row>
    <row r="386" ht="22.5" customHeight="1">
      <c r="A386" s="4">
        <v>385.0</v>
      </c>
      <c r="B386" s="3" t="s">
        <v>8</v>
      </c>
      <c r="C386" s="3">
        <v>32.0</v>
      </c>
      <c r="D386" s="3">
        <v>3.0</v>
      </c>
      <c r="E386" s="5" t="s">
        <v>238</v>
      </c>
      <c r="F386" s="5" t="s">
        <v>895</v>
      </c>
      <c r="G386" s="5" t="s">
        <v>896</v>
      </c>
      <c r="H386" s="27">
        <v>0.833</v>
      </c>
      <c r="I386" s="27">
        <v>0.837</v>
      </c>
      <c r="J386" s="27">
        <v>1.0</v>
      </c>
      <c r="K386" s="27">
        <v>0.75</v>
      </c>
      <c r="L386" s="4" t="str">
        <f>IMAGE("https://drive.google.com/uc?export=view&amp;id=1Y55s46RiOR4trZvlGyKCRfgS06GuyIFP")</f>
        <v/>
      </c>
    </row>
    <row r="387" ht="22.5" customHeight="1">
      <c r="A387" s="4">
        <v>386.0</v>
      </c>
      <c r="B387" s="3" t="s">
        <v>8</v>
      </c>
      <c r="C387" s="3">
        <v>32.0</v>
      </c>
      <c r="D387" s="3">
        <v>3.0</v>
      </c>
      <c r="E387" s="5" t="s">
        <v>241</v>
      </c>
      <c r="F387" s="5" t="s">
        <v>897</v>
      </c>
      <c r="G387" s="5" t="s">
        <v>898</v>
      </c>
      <c r="H387" s="27">
        <v>0.875</v>
      </c>
      <c r="I387" s="27">
        <v>0.0</v>
      </c>
      <c r="J387" s="27">
        <v>0.0</v>
      </c>
      <c r="K387" s="27">
        <v>0.4</v>
      </c>
      <c r="L387" s="4" t="str">
        <f>IMAGE("https://drive.google.com/uc?export=view&amp;id=1LLGLggh50LBlIZI6kdbTbUIAOg5zFz1Y")</f>
        <v/>
      </c>
    </row>
    <row r="388" ht="22.5" customHeight="1">
      <c r="A388" s="4">
        <v>387.0</v>
      </c>
      <c r="B388" s="3" t="s">
        <v>8</v>
      </c>
      <c r="C388" s="3">
        <v>32.0</v>
      </c>
      <c r="D388" s="3">
        <v>3.0</v>
      </c>
      <c r="E388" s="5" t="s">
        <v>244</v>
      </c>
      <c r="F388" s="5" t="s">
        <v>899</v>
      </c>
      <c r="G388" s="5" t="s">
        <v>900</v>
      </c>
      <c r="H388" s="27">
        <v>0.875</v>
      </c>
      <c r="I388" s="27">
        <v>0.724</v>
      </c>
      <c r="J388" s="27">
        <v>0.0</v>
      </c>
      <c r="K388" s="27">
        <v>1.0</v>
      </c>
      <c r="L388" s="4" t="str">
        <f>IMAGE("https://drive.google.com/uc?export=view&amp;id=1wa2HRw412fvcRr3HOuzir9xfMgI8JtZw")</f>
        <v/>
      </c>
    </row>
    <row r="389" ht="22.5" customHeight="1">
      <c r="A389" s="4">
        <v>388.0</v>
      </c>
      <c r="B389" s="3" t="s">
        <v>8</v>
      </c>
      <c r="C389" s="3">
        <v>32.0</v>
      </c>
      <c r="D389" s="3">
        <v>3.0</v>
      </c>
      <c r="E389" s="5" t="s">
        <v>247</v>
      </c>
      <c r="F389" s="5" t="s">
        <v>901</v>
      </c>
      <c r="G389" s="5" t="s">
        <v>902</v>
      </c>
      <c r="H389" s="27">
        <v>0.556</v>
      </c>
      <c r="I389" s="27">
        <v>0.99</v>
      </c>
      <c r="J389" s="27">
        <v>1.0</v>
      </c>
      <c r="K389" s="27">
        <v>0.8</v>
      </c>
      <c r="L389" s="4" t="str">
        <f>IMAGE("https://drive.google.com/uc?export=view&amp;id=1tTSgdU_LCdDYaB5L3BbIoGSMpVdNCiaP")</f>
        <v/>
      </c>
    </row>
    <row r="390" ht="22.5" customHeight="1">
      <c r="A390" s="4">
        <v>389.0</v>
      </c>
      <c r="B390" s="3" t="s">
        <v>8</v>
      </c>
      <c r="C390" s="3">
        <v>32.0</v>
      </c>
      <c r="D390" s="3">
        <v>3.0</v>
      </c>
      <c r="E390" s="5" t="s">
        <v>253</v>
      </c>
      <c r="F390" s="5" t="s">
        <v>903</v>
      </c>
      <c r="G390" s="5" t="s">
        <v>904</v>
      </c>
      <c r="H390" s="27">
        <v>0.846</v>
      </c>
      <c r="I390" s="27">
        <v>0.0</v>
      </c>
      <c r="J390" s="27">
        <v>0.0</v>
      </c>
      <c r="K390" s="27">
        <v>0.143</v>
      </c>
      <c r="L390" s="4" t="str">
        <f>IMAGE("https://drive.google.com/uc?export=view&amp;id=1a6Zn7omks5pgSzuBD3Nd_x2bjbbchHc6")</f>
        <v/>
      </c>
    </row>
    <row r="391" ht="22.5" customHeight="1">
      <c r="A391" s="4">
        <v>390.0</v>
      </c>
      <c r="B391" s="3" t="s">
        <v>8</v>
      </c>
      <c r="C391" s="3">
        <v>32.0</v>
      </c>
      <c r="D391" s="3">
        <v>3.0</v>
      </c>
      <c r="E391" s="5" t="s">
        <v>256</v>
      </c>
      <c r="F391" s="5" t="s">
        <v>905</v>
      </c>
      <c r="G391" s="5" t="s">
        <v>906</v>
      </c>
      <c r="H391" s="27">
        <v>0.714</v>
      </c>
      <c r="I391" s="27">
        <v>1.0</v>
      </c>
      <c r="J391" s="27">
        <v>1.0</v>
      </c>
      <c r="K391" s="27">
        <v>1.0</v>
      </c>
      <c r="L391" s="4" t="str">
        <f>IMAGE("https://drive.google.com/uc?export=view&amp;id=1Gqj31IWJh70y3Svoei5RATSRNahkHYDQ")</f>
        <v/>
      </c>
    </row>
    <row r="392" ht="22.5" customHeight="1">
      <c r="A392" s="4">
        <v>391.0</v>
      </c>
      <c r="B392" s="3" t="s">
        <v>8</v>
      </c>
      <c r="C392" s="3">
        <v>32.0</v>
      </c>
      <c r="D392" s="3">
        <v>3.0</v>
      </c>
      <c r="E392" s="5" t="s">
        <v>259</v>
      </c>
      <c r="F392" s="5" t="s">
        <v>907</v>
      </c>
      <c r="G392" s="5" t="s">
        <v>908</v>
      </c>
      <c r="H392" s="27">
        <v>0.647</v>
      </c>
      <c r="I392" s="27">
        <v>1.0</v>
      </c>
      <c r="J392" s="27">
        <v>1.0</v>
      </c>
      <c r="K392" s="27">
        <v>0.4</v>
      </c>
      <c r="L392" s="4" t="str">
        <f>IMAGE("https://drive.google.com/uc?export=view&amp;id=17Tynj0eWp4g1za_tot9rF_2WiNjIyzNs")</f>
        <v/>
      </c>
    </row>
    <row r="393" ht="22.5" customHeight="1">
      <c r="A393" s="4">
        <v>392.0</v>
      </c>
      <c r="B393" s="3" t="s">
        <v>8</v>
      </c>
      <c r="C393" s="3">
        <v>32.0</v>
      </c>
      <c r="D393" s="3">
        <v>3.0</v>
      </c>
      <c r="E393" s="5" t="s">
        <v>262</v>
      </c>
      <c r="F393" s="5" t="s">
        <v>909</v>
      </c>
      <c r="G393" s="5" t="s">
        <v>910</v>
      </c>
      <c r="H393" s="27">
        <v>0.286</v>
      </c>
      <c r="I393" s="27">
        <v>0.893</v>
      </c>
      <c r="J393" s="27">
        <v>0.833</v>
      </c>
      <c r="K393" s="27">
        <v>1.0</v>
      </c>
      <c r="L393" s="4" t="str">
        <f>IMAGE("https://drive.google.com/uc?export=view&amp;id=12nKLlr5AhITsYG3bp4lPj4F4-fCfg6SP")</f>
        <v/>
      </c>
    </row>
    <row r="394" ht="22.5" customHeight="1">
      <c r="A394" s="4">
        <v>393.0</v>
      </c>
      <c r="B394" s="3" t="s">
        <v>8</v>
      </c>
      <c r="C394" s="3">
        <v>32.0</v>
      </c>
      <c r="D394" s="3">
        <v>3.0</v>
      </c>
      <c r="E394" s="5" t="s">
        <v>268</v>
      </c>
      <c r="F394" s="5" t="s">
        <v>911</v>
      </c>
      <c r="G394" s="5" t="s">
        <v>912</v>
      </c>
      <c r="H394" s="27">
        <v>1.0</v>
      </c>
      <c r="I394" s="27">
        <v>0.764</v>
      </c>
      <c r="J394" s="27">
        <v>1.0</v>
      </c>
      <c r="K394" s="27">
        <v>1.0</v>
      </c>
      <c r="L394" s="4" t="str">
        <f>IMAGE("https://drive.google.com/uc?export=view&amp;id=1pa2Nj6dFbeUAL__w_BO83B3EW1bL1QCG")</f>
        <v/>
      </c>
    </row>
    <row r="395" ht="22.5" customHeight="1">
      <c r="A395" s="4">
        <v>394.0</v>
      </c>
      <c r="B395" s="3" t="s">
        <v>8</v>
      </c>
      <c r="C395" s="3">
        <v>32.0</v>
      </c>
      <c r="D395" s="3">
        <v>3.0</v>
      </c>
      <c r="E395" s="5" t="s">
        <v>265</v>
      </c>
      <c r="F395" s="5" t="s">
        <v>913</v>
      </c>
      <c r="G395" s="5" t="s">
        <v>914</v>
      </c>
      <c r="H395" s="27">
        <v>0.692</v>
      </c>
      <c r="I395" s="27">
        <v>0.996</v>
      </c>
      <c r="J395" s="27">
        <v>1.0</v>
      </c>
      <c r="K395" s="27">
        <v>0.25</v>
      </c>
      <c r="L395" s="4" t="str">
        <f>IMAGE("https://drive.google.com/uc?export=view&amp;id=1-8qOT0Dn2g4TudZRtROB0_sBVPl_XjQa")</f>
        <v/>
      </c>
    </row>
    <row r="396" ht="22.5" customHeight="1">
      <c r="A396" s="4">
        <v>395.0</v>
      </c>
      <c r="B396" s="3" t="s">
        <v>8</v>
      </c>
      <c r="C396" s="3">
        <v>32.0</v>
      </c>
      <c r="D396" s="3">
        <v>3.0</v>
      </c>
      <c r="E396" s="5" t="s">
        <v>250</v>
      </c>
      <c r="F396" s="5" t="s">
        <v>915</v>
      </c>
      <c r="G396" s="5" t="s">
        <v>916</v>
      </c>
      <c r="H396" s="27">
        <v>1.0</v>
      </c>
      <c r="I396" s="27">
        <v>0.862</v>
      </c>
      <c r="J396" s="27">
        <v>1.0</v>
      </c>
      <c r="K396" s="27">
        <v>1.0</v>
      </c>
      <c r="L396" s="4" t="str">
        <f>IMAGE("https://drive.google.com/uc?export=view&amp;id=10grtAqu12-TJDJhE3UhqZFy_mAJ_nQgr")</f>
        <v/>
      </c>
    </row>
    <row r="397" ht="22.5" customHeight="1">
      <c r="A397" s="4">
        <v>396.0</v>
      </c>
      <c r="B397" s="3" t="s">
        <v>8</v>
      </c>
      <c r="C397" s="3">
        <v>32.0</v>
      </c>
      <c r="D397" s="3">
        <v>3.0</v>
      </c>
      <c r="E397" s="5" t="s">
        <v>271</v>
      </c>
      <c r="F397" s="5" t="s">
        <v>917</v>
      </c>
      <c r="G397" s="5" t="s">
        <v>918</v>
      </c>
      <c r="H397" s="27">
        <v>0.625</v>
      </c>
      <c r="I397" s="27">
        <v>0.906</v>
      </c>
      <c r="J397" s="27">
        <v>1.0</v>
      </c>
      <c r="K397" s="27">
        <v>1.0</v>
      </c>
      <c r="L397" s="4" t="str">
        <f>IMAGE("https://drive.google.com/uc?export=view&amp;id=1CC2zcYQ1G1Df1VUvvZ5vOIbKjbEXz9UL")</f>
        <v/>
      </c>
    </row>
    <row r="398" ht="22.5" customHeight="1">
      <c r="A398" s="4">
        <v>397.0</v>
      </c>
      <c r="B398" s="3" t="s">
        <v>8</v>
      </c>
      <c r="C398" s="3">
        <v>32.0</v>
      </c>
      <c r="D398" s="3">
        <v>3.0</v>
      </c>
      <c r="E398" s="5" t="s">
        <v>274</v>
      </c>
      <c r="F398" s="5" t="s">
        <v>919</v>
      </c>
      <c r="G398" s="5" t="s">
        <v>920</v>
      </c>
      <c r="H398" s="27">
        <v>1.0</v>
      </c>
      <c r="I398" s="27">
        <v>0.986</v>
      </c>
      <c r="J398" s="27">
        <v>0.583</v>
      </c>
      <c r="K398" s="27">
        <v>1.0</v>
      </c>
      <c r="L398" s="4" t="str">
        <f>IMAGE("https://drive.google.com/uc?export=view&amp;id=1qyz_6imADjBk6I5mwtLi6eXLKqTeToDh")</f>
        <v/>
      </c>
    </row>
    <row r="399" ht="22.5" customHeight="1">
      <c r="A399" s="4">
        <v>398.0</v>
      </c>
      <c r="B399" s="3" t="s">
        <v>8</v>
      </c>
      <c r="C399" s="3">
        <v>32.0</v>
      </c>
      <c r="D399" s="3">
        <v>3.0</v>
      </c>
      <c r="E399" s="5" t="s">
        <v>277</v>
      </c>
      <c r="F399" s="5" t="s">
        <v>921</v>
      </c>
      <c r="G399" s="5" t="s">
        <v>922</v>
      </c>
      <c r="H399" s="27">
        <v>0.667</v>
      </c>
      <c r="I399" s="27">
        <v>0.955</v>
      </c>
      <c r="J399" s="27">
        <v>0.0</v>
      </c>
      <c r="K399" s="27">
        <v>1.0</v>
      </c>
      <c r="L399" s="4" t="str">
        <f>IMAGE("https://drive.google.com/uc?export=view&amp;id=11KtXyO1i_P-iN_KlwepJzAgyQUq1SFIP")</f>
        <v/>
      </c>
    </row>
    <row r="400" ht="22.5" customHeight="1">
      <c r="A400" s="4">
        <v>399.0</v>
      </c>
      <c r="B400" s="3" t="s">
        <v>8</v>
      </c>
      <c r="C400" s="3">
        <v>32.0</v>
      </c>
      <c r="D400" s="3">
        <v>3.0</v>
      </c>
      <c r="E400" s="5" t="s">
        <v>280</v>
      </c>
      <c r="F400" s="5" t="s">
        <v>923</v>
      </c>
      <c r="G400" s="5" t="s">
        <v>924</v>
      </c>
      <c r="H400" s="27">
        <v>0.5</v>
      </c>
      <c r="I400" s="27">
        <v>0.727</v>
      </c>
      <c r="J400" s="27">
        <v>1.0</v>
      </c>
      <c r="K400" s="27">
        <v>0.2</v>
      </c>
      <c r="L400" s="4" t="str">
        <f>IMAGE("https://drive.google.com/uc?export=view&amp;id=1LohwVOmtjTejMi6SmrpGgWfMXG_ujspB")</f>
        <v/>
      </c>
    </row>
    <row r="401" ht="22.5" customHeight="1">
      <c r="A401" s="4">
        <v>400.0</v>
      </c>
      <c r="B401" s="3" t="s">
        <v>8</v>
      </c>
      <c r="C401" s="3">
        <v>32.0</v>
      </c>
      <c r="D401" s="3">
        <v>3.0</v>
      </c>
      <c r="E401" s="5" t="s">
        <v>283</v>
      </c>
      <c r="F401" s="5" t="s">
        <v>925</v>
      </c>
      <c r="G401" s="5" t="s">
        <v>926</v>
      </c>
      <c r="H401" s="27">
        <v>0.7</v>
      </c>
      <c r="I401" s="27">
        <v>1.0</v>
      </c>
      <c r="J401" s="27">
        <v>1.0</v>
      </c>
      <c r="K401" s="27">
        <v>0.8</v>
      </c>
      <c r="L401" s="4" t="str">
        <f>IMAGE("https://drive.google.com/uc?export=view&amp;id=1J7Fqqfq9MlntuX2IxCfOJsst9saFwYj_")</f>
        <v/>
      </c>
    </row>
    <row r="402" ht="22.5" customHeight="1">
      <c r="A402" s="4">
        <v>401.0</v>
      </c>
      <c r="B402" s="3" t="s">
        <v>8</v>
      </c>
      <c r="C402" s="3">
        <v>32.0</v>
      </c>
      <c r="D402" s="3">
        <v>5.0</v>
      </c>
      <c r="E402" s="30" t="s">
        <v>46</v>
      </c>
      <c r="F402" s="30" t="s">
        <v>927</v>
      </c>
      <c r="G402" s="28" t="s">
        <v>928</v>
      </c>
      <c r="H402" s="31">
        <v>0.615</v>
      </c>
      <c r="I402" s="31">
        <v>0.969</v>
      </c>
      <c r="J402" s="31">
        <v>1.0</v>
      </c>
      <c r="K402" s="31">
        <v>0.833</v>
      </c>
      <c r="L402" s="4" t="str">
        <f>IMAGE("https://drive.google.com/uc?export=view&amp;id=18lTJiiu7JcDjbUYrM9YeUpnfOO7882If")</f>
        <v/>
      </c>
    </row>
    <row r="403" ht="22.5" customHeight="1">
      <c r="A403" s="4">
        <v>402.0</v>
      </c>
      <c r="B403" s="3" t="s">
        <v>8</v>
      </c>
      <c r="C403" s="3">
        <v>32.0</v>
      </c>
      <c r="D403" s="3">
        <v>5.0</v>
      </c>
      <c r="E403" s="30" t="s">
        <v>49</v>
      </c>
      <c r="F403" s="30" t="s">
        <v>929</v>
      </c>
      <c r="G403" s="28" t="s">
        <v>930</v>
      </c>
      <c r="H403" s="31">
        <v>0.636</v>
      </c>
      <c r="I403" s="31">
        <v>0.994</v>
      </c>
      <c r="J403" s="31">
        <v>0.95</v>
      </c>
      <c r="K403" s="31">
        <v>0.0</v>
      </c>
      <c r="L403" s="4" t="str">
        <f>IMAGE("https://drive.google.com/uc?export=view&amp;id=14oz2lb2aZjha-5E5VrnwpQkOcCbgmQOm")</f>
        <v/>
      </c>
    </row>
    <row r="404" ht="22.5" customHeight="1">
      <c r="A404" s="4">
        <v>403.0</v>
      </c>
      <c r="B404" s="3" t="s">
        <v>8</v>
      </c>
      <c r="C404" s="3">
        <v>32.0</v>
      </c>
      <c r="D404" s="3">
        <v>5.0</v>
      </c>
      <c r="E404" s="30" t="s">
        <v>52</v>
      </c>
      <c r="F404" s="30" t="s">
        <v>931</v>
      </c>
      <c r="G404" s="28" t="s">
        <v>932</v>
      </c>
      <c r="H404" s="31">
        <v>0.867</v>
      </c>
      <c r="I404" s="31">
        <v>0.889</v>
      </c>
      <c r="J404" s="31">
        <v>1.0</v>
      </c>
      <c r="K404" s="31">
        <v>0.167</v>
      </c>
      <c r="L404" s="4" t="str">
        <f>IMAGE("https://drive.google.com/uc?export=view&amp;id=13RgsPMzP6lrit8Ym4p8ZGjKnwoqoNNsY")</f>
        <v/>
      </c>
    </row>
    <row r="405" ht="22.5" customHeight="1">
      <c r="A405" s="4">
        <v>404.0</v>
      </c>
      <c r="B405" s="3" t="s">
        <v>8</v>
      </c>
      <c r="C405" s="3">
        <v>32.0</v>
      </c>
      <c r="D405" s="3">
        <v>5.0</v>
      </c>
      <c r="E405" s="30" t="s">
        <v>55</v>
      </c>
      <c r="F405" s="30" t="s">
        <v>933</v>
      </c>
      <c r="G405" s="28" t="s">
        <v>934</v>
      </c>
      <c r="H405" s="31">
        <v>1.0</v>
      </c>
      <c r="I405" s="31">
        <v>1.0</v>
      </c>
      <c r="J405" s="31">
        <v>1.0</v>
      </c>
      <c r="K405" s="31">
        <v>0.667</v>
      </c>
      <c r="L405" s="4" t="str">
        <f>IMAGE("https://drive.google.com/uc?export=view&amp;id=1Bc_QYAfpauaa0lCnjngEjjVdermlbqJU")</f>
        <v/>
      </c>
    </row>
    <row r="406" ht="22.5" customHeight="1">
      <c r="A406" s="4">
        <v>405.0</v>
      </c>
      <c r="B406" s="3" t="s">
        <v>8</v>
      </c>
      <c r="C406" s="3">
        <v>32.0</v>
      </c>
      <c r="D406" s="3">
        <v>5.0</v>
      </c>
      <c r="E406" s="30" t="s">
        <v>58</v>
      </c>
      <c r="F406" s="30" t="s">
        <v>935</v>
      </c>
      <c r="G406" s="28" t="s">
        <v>936</v>
      </c>
      <c r="H406" s="31">
        <v>0.75</v>
      </c>
      <c r="I406" s="31">
        <v>0.876</v>
      </c>
      <c r="J406" s="31">
        <v>1.0</v>
      </c>
      <c r="K406" s="31">
        <v>1.0</v>
      </c>
      <c r="L406" s="4" t="str">
        <f>IMAGE("https://drive.google.com/uc?export=view&amp;id=10unCpBKBqig_6AGWyG4ePEKr7GYhmld-")</f>
        <v/>
      </c>
    </row>
    <row r="407" ht="22.5" customHeight="1">
      <c r="A407" s="4">
        <v>406.0</v>
      </c>
      <c r="B407" s="3" t="s">
        <v>8</v>
      </c>
      <c r="C407" s="3">
        <v>32.0</v>
      </c>
      <c r="D407" s="3">
        <v>5.0</v>
      </c>
      <c r="E407" s="30" t="s">
        <v>61</v>
      </c>
      <c r="F407" s="30" t="s">
        <v>937</v>
      </c>
      <c r="G407" s="28" t="s">
        <v>938</v>
      </c>
      <c r="H407" s="31">
        <v>1.0</v>
      </c>
      <c r="I407" s="31">
        <v>0.989</v>
      </c>
      <c r="J407" s="31">
        <v>1.0</v>
      </c>
      <c r="K407" s="31">
        <v>0.833</v>
      </c>
      <c r="L407" s="4" t="str">
        <f>IMAGE("https://drive.google.com/uc?export=view&amp;id=1uHKdG2xnoP0o2ggbH9y5dU_GhKEd4x-A")</f>
        <v/>
      </c>
    </row>
    <row r="408" ht="22.5" customHeight="1">
      <c r="A408" s="4">
        <v>407.0</v>
      </c>
      <c r="B408" s="3" t="s">
        <v>8</v>
      </c>
      <c r="C408" s="3">
        <v>32.0</v>
      </c>
      <c r="D408" s="3">
        <v>5.0</v>
      </c>
      <c r="E408" s="30" t="s">
        <v>64</v>
      </c>
      <c r="F408" s="30" t="s">
        <v>939</v>
      </c>
      <c r="G408" s="28" t="s">
        <v>940</v>
      </c>
      <c r="H408" s="31">
        <v>0.9</v>
      </c>
      <c r="I408" s="31">
        <v>0.711</v>
      </c>
      <c r="J408" s="31">
        <v>0.478</v>
      </c>
      <c r="K408" s="31">
        <v>0.2</v>
      </c>
      <c r="L408" s="4" t="str">
        <f>IMAGE("https://drive.google.com/uc?export=view&amp;id=16BzSGCFfXduoqJGZiot9U2RVdBDYvxTi")</f>
        <v/>
      </c>
    </row>
    <row r="409" ht="22.5" customHeight="1">
      <c r="A409" s="4">
        <v>408.0</v>
      </c>
      <c r="B409" s="3" t="s">
        <v>8</v>
      </c>
      <c r="C409" s="3">
        <v>32.0</v>
      </c>
      <c r="D409" s="3">
        <v>5.0</v>
      </c>
      <c r="E409" s="30" t="s">
        <v>67</v>
      </c>
      <c r="F409" s="30" t="s">
        <v>941</v>
      </c>
      <c r="G409" s="28" t="s">
        <v>942</v>
      </c>
      <c r="H409" s="31">
        <v>0.931</v>
      </c>
      <c r="I409" s="31">
        <v>0.842</v>
      </c>
      <c r="J409" s="31">
        <v>1.0</v>
      </c>
      <c r="K409" s="31">
        <v>0.6</v>
      </c>
      <c r="L409" s="4" t="str">
        <f>IMAGE("https://drive.google.com/uc?export=view&amp;id=1-Cmmnso1qwh7Ir_pHVm7ISTaFFcTACRh")</f>
        <v/>
      </c>
    </row>
    <row r="410" ht="22.5" customHeight="1">
      <c r="A410" s="4">
        <v>409.0</v>
      </c>
      <c r="B410" s="3" t="s">
        <v>8</v>
      </c>
      <c r="C410" s="3">
        <v>32.0</v>
      </c>
      <c r="D410" s="3">
        <v>5.0</v>
      </c>
      <c r="E410" s="30" t="s">
        <v>70</v>
      </c>
      <c r="F410" s="30" t="s">
        <v>943</v>
      </c>
      <c r="G410" s="28" t="s">
        <v>944</v>
      </c>
      <c r="H410" s="31">
        <v>0.417</v>
      </c>
      <c r="I410" s="31">
        <v>0.874</v>
      </c>
      <c r="J410" s="31">
        <v>1.0</v>
      </c>
      <c r="K410" s="31">
        <v>0.2</v>
      </c>
      <c r="L410" s="4" t="str">
        <f>IMAGE("https://drive.google.com/uc?export=view&amp;id=1gBb8ws7EtW_CyGYnxtgxyJQYNQ9MhtCU")</f>
        <v/>
      </c>
    </row>
    <row r="411" ht="22.5" customHeight="1">
      <c r="A411" s="4">
        <v>410.0</v>
      </c>
      <c r="B411" s="3" t="s">
        <v>8</v>
      </c>
      <c r="C411" s="3">
        <v>32.0</v>
      </c>
      <c r="D411" s="3">
        <v>5.0</v>
      </c>
      <c r="E411" s="30" t="s">
        <v>73</v>
      </c>
      <c r="F411" s="30" t="s">
        <v>945</v>
      </c>
      <c r="G411" s="28" t="s">
        <v>946</v>
      </c>
      <c r="H411" s="31">
        <v>0.7</v>
      </c>
      <c r="I411" s="31">
        <v>0.876</v>
      </c>
      <c r="J411" s="31">
        <v>0.0</v>
      </c>
      <c r="K411" s="31">
        <v>0.8</v>
      </c>
      <c r="L411" s="4" t="str">
        <f>IMAGE("https://drive.google.com/uc?export=view&amp;id=1Dv6aLHEK7oThahA3cUPMw0Oe65p29aWK")</f>
        <v/>
      </c>
    </row>
    <row r="412" ht="22.5" customHeight="1">
      <c r="A412" s="4">
        <v>411.0</v>
      </c>
      <c r="B412" s="3" t="s">
        <v>8</v>
      </c>
      <c r="C412" s="3">
        <v>32.0</v>
      </c>
      <c r="D412" s="3">
        <v>5.0</v>
      </c>
      <c r="E412" s="30" t="s">
        <v>76</v>
      </c>
      <c r="F412" s="30" t="s">
        <v>947</v>
      </c>
      <c r="G412" s="28" t="s">
        <v>948</v>
      </c>
      <c r="H412" s="31">
        <v>0.733</v>
      </c>
      <c r="I412" s="31">
        <v>0.741</v>
      </c>
      <c r="J412" s="31">
        <v>1.0</v>
      </c>
      <c r="K412" s="31">
        <v>1.0</v>
      </c>
      <c r="L412" s="4" t="str">
        <f>IMAGE("https://drive.google.com/uc?export=view&amp;id=1XdMg5_bhM4eZQ9kxfPhqUx-pqXZJx-R_")</f>
        <v/>
      </c>
    </row>
    <row r="413" ht="22.5" customHeight="1">
      <c r="A413" s="4">
        <v>412.0</v>
      </c>
      <c r="B413" s="3" t="s">
        <v>8</v>
      </c>
      <c r="C413" s="3">
        <v>32.0</v>
      </c>
      <c r="D413" s="3">
        <v>5.0</v>
      </c>
      <c r="E413" s="30" t="s">
        <v>79</v>
      </c>
      <c r="F413" s="30" t="s">
        <v>949</v>
      </c>
      <c r="G413" s="28" t="s">
        <v>950</v>
      </c>
      <c r="H413" s="31">
        <v>0.938</v>
      </c>
      <c r="I413" s="31">
        <v>1.0</v>
      </c>
      <c r="J413" s="31">
        <v>0.95</v>
      </c>
      <c r="K413" s="31">
        <v>0.8</v>
      </c>
      <c r="L413" s="4" t="str">
        <f>IMAGE("https://drive.google.com/uc?export=view&amp;id=1kYcEmSygLNlsxSIBSI8L-szZDQ72RETJ")</f>
        <v/>
      </c>
    </row>
    <row r="414" ht="22.5" customHeight="1">
      <c r="A414" s="4">
        <v>413.0</v>
      </c>
      <c r="B414" s="3" t="s">
        <v>8</v>
      </c>
      <c r="C414" s="3">
        <v>32.0</v>
      </c>
      <c r="D414" s="3">
        <v>5.0</v>
      </c>
      <c r="E414" s="30" t="s">
        <v>82</v>
      </c>
      <c r="F414" s="30" t="s">
        <v>951</v>
      </c>
      <c r="G414" s="28" t="s">
        <v>952</v>
      </c>
      <c r="H414" s="31">
        <v>1.0</v>
      </c>
      <c r="I414" s="31">
        <v>0.791</v>
      </c>
      <c r="J414" s="31">
        <v>1.0</v>
      </c>
      <c r="K414" s="31">
        <v>1.0</v>
      </c>
      <c r="L414" s="4" t="str">
        <f>IMAGE("https://drive.google.com/uc?export=view&amp;id=1unMd-u7Ca4m3xRNlgb6oi-UWettuEtE6")</f>
        <v/>
      </c>
    </row>
    <row r="415" ht="22.5" customHeight="1">
      <c r="A415" s="4">
        <v>414.0</v>
      </c>
      <c r="B415" s="3" t="s">
        <v>8</v>
      </c>
      <c r="C415" s="3">
        <v>32.0</v>
      </c>
      <c r="D415" s="3">
        <v>5.0</v>
      </c>
      <c r="E415" s="30" t="s">
        <v>85</v>
      </c>
      <c r="F415" s="30" t="s">
        <v>953</v>
      </c>
      <c r="G415" s="28" t="s">
        <v>954</v>
      </c>
      <c r="H415" s="31">
        <v>1.0</v>
      </c>
      <c r="I415" s="31">
        <v>0.987</v>
      </c>
      <c r="J415" s="31">
        <v>1.0</v>
      </c>
      <c r="K415" s="31">
        <v>0.8</v>
      </c>
      <c r="L415" s="4" t="str">
        <f>IMAGE("https://drive.google.com/uc?export=view&amp;id=1HIJ1dim8BRjWh5EhqA0uTMQDhFw--qZh")</f>
        <v/>
      </c>
    </row>
    <row r="416" ht="22.5" customHeight="1">
      <c r="A416" s="4">
        <v>415.0</v>
      </c>
      <c r="B416" s="3" t="s">
        <v>8</v>
      </c>
      <c r="C416" s="3">
        <v>32.0</v>
      </c>
      <c r="D416" s="3">
        <v>5.0</v>
      </c>
      <c r="E416" s="30" t="s">
        <v>88</v>
      </c>
      <c r="F416" s="30" t="s">
        <v>955</v>
      </c>
      <c r="G416" s="28" t="s">
        <v>956</v>
      </c>
      <c r="H416" s="31">
        <v>0.688</v>
      </c>
      <c r="I416" s="31">
        <v>0.721</v>
      </c>
      <c r="J416" s="31">
        <v>1.0</v>
      </c>
      <c r="K416" s="31">
        <v>1.0</v>
      </c>
      <c r="L416" s="4" t="str">
        <f>IMAGE("https://drive.google.com/uc?export=view&amp;id=1AjG8k-8wSdxSLWpHNEgU9vh2VMhwXduJ")</f>
        <v/>
      </c>
    </row>
    <row r="417" ht="22.5" customHeight="1">
      <c r="A417" s="4">
        <v>416.0</v>
      </c>
      <c r="B417" s="3" t="s">
        <v>8</v>
      </c>
      <c r="C417" s="3">
        <v>32.0</v>
      </c>
      <c r="D417" s="3">
        <v>5.0</v>
      </c>
      <c r="E417" s="30" t="s">
        <v>91</v>
      </c>
      <c r="F417" s="30" t="s">
        <v>957</v>
      </c>
      <c r="G417" s="28" t="s">
        <v>958</v>
      </c>
      <c r="H417" s="31">
        <v>0.5</v>
      </c>
      <c r="I417" s="31">
        <v>0.827</v>
      </c>
      <c r="J417" s="31">
        <v>0.867</v>
      </c>
      <c r="K417" s="31">
        <v>1.0</v>
      </c>
      <c r="L417" s="4" t="str">
        <f>IMAGE("https://drive.google.com/uc?export=view&amp;id=18x7iF4biX8wd-fWs7mWtj5ZmyC1Z4Fek")</f>
        <v/>
      </c>
    </row>
    <row r="418" ht="22.5" customHeight="1">
      <c r="A418" s="4">
        <v>417.0</v>
      </c>
      <c r="B418" s="3" t="s">
        <v>8</v>
      </c>
      <c r="C418" s="3">
        <v>32.0</v>
      </c>
      <c r="D418" s="3">
        <v>5.0</v>
      </c>
      <c r="E418" s="30" t="s">
        <v>94</v>
      </c>
      <c r="F418" s="30" t="s">
        <v>959</v>
      </c>
      <c r="G418" s="28" t="s">
        <v>960</v>
      </c>
      <c r="H418" s="31">
        <v>0.462</v>
      </c>
      <c r="I418" s="31">
        <v>0.912</v>
      </c>
      <c r="J418" s="31">
        <v>1.0</v>
      </c>
      <c r="K418" s="31">
        <v>0.286</v>
      </c>
      <c r="L418" s="4" t="str">
        <f>IMAGE("https://drive.google.com/uc?export=view&amp;id=1CVx1t0gqwd4kbgOX6WZNWgr-PLQFbK6B")</f>
        <v/>
      </c>
    </row>
    <row r="419" ht="22.5" customHeight="1">
      <c r="A419" s="4">
        <v>418.0</v>
      </c>
      <c r="B419" s="3" t="s">
        <v>8</v>
      </c>
      <c r="C419" s="3">
        <v>32.0</v>
      </c>
      <c r="D419" s="3">
        <v>5.0</v>
      </c>
      <c r="E419" s="30" t="s">
        <v>97</v>
      </c>
      <c r="F419" s="30" t="s">
        <v>961</v>
      </c>
      <c r="G419" s="28" t="s">
        <v>962</v>
      </c>
      <c r="H419" s="31">
        <v>1.0</v>
      </c>
      <c r="I419" s="31">
        <v>0.886</v>
      </c>
      <c r="J419" s="31">
        <v>0.5</v>
      </c>
      <c r="K419" s="31">
        <v>0.286</v>
      </c>
      <c r="L419" s="4" t="str">
        <f>IMAGE("https://drive.google.com/uc?export=view&amp;id=1FqMLXWWx0kPLk6KOt7GEnhCl63-cS6uM")</f>
        <v/>
      </c>
    </row>
    <row r="420" ht="22.5" customHeight="1">
      <c r="A420" s="4">
        <v>419.0</v>
      </c>
      <c r="B420" s="3" t="s">
        <v>8</v>
      </c>
      <c r="C420" s="3">
        <v>32.0</v>
      </c>
      <c r="D420" s="3">
        <v>5.0</v>
      </c>
      <c r="E420" s="30" t="s">
        <v>100</v>
      </c>
      <c r="F420" s="30" t="s">
        <v>963</v>
      </c>
      <c r="G420" s="28" t="s">
        <v>964</v>
      </c>
      <c r="H420" s="31">
        <v>0.955</v>
      </c>
      <c r="I420" s="31">
        <v>0.784</v>
      </c>
      <c r="J420" s="31">
        <v>1.0</v>
      </c>
      <c r="K420" s="31">
        <v>1.0</v>
      </c>
      <c r="L420" s="4" t="str">
        <f>IMAGE("https://drive.google.com/uc?export=view&amp;id=1K3lGRViw-G41fpgnhM_j-9RHMQCmtD3x")</f>
        <v/>
      </c>
    </row>
    <row r="421" ht="22.5" customHeight="1">
      <c r="A421" s="4">
        <v>420.0</v>
      </c>
      <c r="B421" s="3" t="s">
        <v>8</v>
      </c>
      <c r="C421" s="3">
        <v>32.0</v>
      </c>
      <c r="D421" s="3">
        <v>5.0</v>
      </c>
      <c r="E421" s="30" t="s">
        <v>115</v>
      </c>
      <c r="F421" s="30" t="s">
        <v>965</v>
      </c>
      <c r="G421" s="28" t="s">
        <v>966</v>
      </c>
      <c r="H421" s="31">
        <v>0.733</v>
      </c>
      <c r="I421" s="31">
        <v>0.979</v>
      </c>
      <c r="J421" s="31">
        <v>1.0</v>
      </c>
      <c r="K421" s="31">
        <v>0.8</v>
      </c>
      <c r="L421" s="4" t="str">
        <f>IMAGE("https://drive.google.com/uc?export=view&amp;id=1f7T1Kb2mmg_zNrq8lE7ZnIGvhK4gq5Qp")</f>
        <v/>
      </c>
    </row>
    <row r="422" ht="22.5" customHeight="1">
      <c r="A422" s="4">
        <v>421.0</v>
      </c>
      <c r="B422" s="3" t="s">
        <v>8</v>
      </c>
      <c r="C422" s="3">
        <v>32.0</v>
      </c>
      <c r="D422" s="3">
        <v>5.0</v>
      </c>
      <c r="E422" s="30" t="s">
        <v>103</v>
      </c>
      <c r="F422" s="30" t="s">
        <v>967</v>
      </c>
      <c r="G422" s="28" t="s">
        <v>968</v>
      </c>
      <c r="H422" s="31">
        <v>1.0</v>
      </c>
      <c r="I422" s="31">
        <v>0.976</v>
      </c>
      <c r="J422" s="31">
        <v>1.0</v>
      </c>
      <c r="K422" s="31">
        <v>0.8</v>
      </c>
      <c r="L422" s="4" t="str">
        <f>IMAGE("https://drive.google.com/uc?export=view&amp;id=1dGbB1D5iSk7KQhQJvVLbn1RKf6kr-Eh2")</f>
        <v/>
      </c>
    </row>
    <row r="423" ht="22.5" customHeight="1">
      <c r="A423" s="4">
        <v>422.0</v>
      </c>
      <c r="B423" s="3" t="s">
        <v>8</v>
      </c>
      <c r="C423" s="3">
        <v>32.0</v>
      </c>
      <c r="D423" s="3">
        <v>5.0</v>
      </c>
      <c r="E423" s="30" t="s">
        <v>109</v>
      </c>
      <c r="F423" s="30" t="s">
        <v>969</v>
      </c>
      <c r="G423" s="28" t="s">
        <v>970</v>
      </c>
      <c r="H423" s="31">
        <v>0.9</v>
      </c>
      <c r="I423" s="31">
        <v>0.673</v>
      </c>
      <c r="J423" s="31">
        <v>1.0</v>
      </c>
      <c r="K423" s="31">
        <v>0.333</v>
      </c>
      <c r="L423" s="4" t="str">
        <f>IMAGE("https://drive.google.com/uc?export=view&amp;id=1X72mqjzgiqhrG7O0umxf3-26oUDwLeAb")</f>
        <v/>
      </c>
    </row>
    <row r="424" ht="22.5" customHeight="1">
      <c r="A424" s="4">
        <v>423.0</v>
      </c>
      <c r="B424" s="3" t="s">
        <v>8</v>
      </c>
      <c r="C424" s="3">
        <v>32.0</v>
      </c>
      <c r="D424" s="3">
        <v>5.0</v>
      </c>
      <c r="E424" s="30" t="s">
        <v>112</v>
      </c>
      <c r="F424" s="30" t="s">
        <v>971</v>
      </c>
      <c r="G424" s="28" t="s">
        <v>972</v>
      </c>
      <c r="H424" s="31">
        <v>1.0</v>
      </c>
      <c r="I424" s="31">
        <v>0.987</v>
      </c>
      <c r="J424" s="31">
        <v>1.0</v>
      </c>
      <c r="K424" s="31">
        <v>1.0</v>
      </c>
      <c r="L424" s="4" t="str">
        <f>IMAGE("https://drive.google.com/uc?export=view&amp;id=1MJzmX8_n9mb4qzFLspp5q9HDlTv-gSbB")</f>
        <v/>
      </c>
    </row>
    <row r="425" ht="22.5" customHeight="1">
      <c r="A425" s="4">
        <v>424.0</v>
      </c>
      <c r="B425" s="3" t="s">
        <v>8</v>
      </c>
      <c r="C425" s="3">
        <v>32.0</v>
      </c>
      <c r="D425" s="3">
        <v>5.0</v>
      </c>
      <c r="E425" s="30" t="s">
        <v>106</v>
      </c>
      <c r="F425" s="30" t="s">
        <v>973</v>
      </c>
      <c r="G425" s="28" t="s">
        <v>974</v>
      </c>
      <c r="H425" s="31">
        <v>0.875</v>
      </c>
      <c r="I425" s="31">
        <v>0.998</v>
      </c>
      <c r="J425" s="31">
        <v>0.45</v>
      </c>
      <c r="K425" s="31">
        <v>0.286</v>
      </c>
      <c r="L425" s="4" t="str">
        <f>IMAGE("https://drive.google.com/uc?export=view&amp;id=1B7l99DXqjtT47plpm8eYOkG5lyX2MFRR")</f>
        <v/>
      </c>
    </row>
    <row r="426" ht="22.5" customHeight="1">
      <c r="A426" s="4">
        <v>425.0</v>
      </c>
      <c r="B426" s="3" t="s">
        <v>8</v>
      </c>
      <c r="C426" s="3">
        <v>32.0</v>
      </c>
      <c r="D426" s="3">
        <v>5.0</v>
      </c>
      <c r="E426" s="30" t="s">
        <v>118</v>
      </c>
      <c r="F426" s="30" t="s">
        <v>975</v>
      </c>
      <c r="G426" s="28" t="s">
        <v>976</v>
      </c>
      <c r="H426" s="31">
        <v>1.0</v>
      </c>
      <c r="I426" s="31">
        <v>0.0</v>
      </c>
      <c r="J426" s="31">
        <v>0.0</v>
      </c>
      <c r="K426" s="31">
        <v>0.833</v>
      </c>
      <c r="L426" s="4" t="str">
        <f>IMAGE("https://drive.google.com/uc?export=view&amp;id=1TFYNewob2IEn3mdfnA2RtzSXbODWN8Lz")</f>
        <v/>
      </c>
    </row>
    <row r="427" ht="22.5" customHeight="1">
      <c r="A427" s="4">
        <v>426.0</v>
      </c>
      <c r="B427" s="3" t="s">
        <v>8</v>
      </c>
      <c r="C427" s="3">
        <v>32.0</v>
      </c>
      <c r="D427" s="3">
        <v>5.0</v>
      </c>
      <c r="E427" s="30" t="s">
        <v>121</v>
      </c>
      <c r="F427" s="30" t="s">
        <v>977</v>
      </c>
      <c r="G427" s="28" t="s">
        <v>978</v>
      </c>
      <c r="H427" s="31">
        <v>1.0</v>
      </c>
      <c r="I427" s="31">
        <v>0.978</v>
      </c>
      <c r="J427" s="31">
        <v>0.804</v>
      </c>
      <c r="K427" s="31">
        <v>1.0</v>
      </c>
      <c r="L427" s="4" t="str">
        <f>IMAGE("https://drive.google.com/uc?export=view&amp;id=1OZ4hSlnMk5Pl8QAKFkZZ7lPJhNvYYQOn")</f>
        <v/>
      </c>
    </row>
    <row r="428" ht="22.5" customHeight="1">
      <c r="A428" s="4">
        <v>427.0</v>
      </c>
      <c r="B428" s="3" t="s">
        <v>8</v>
      </c>
      <c r="C428" s="3">
        <v>32.0</v>
      </c>
      <c r="D428" s="3">
        <v>5.0</v>
      </c>
      <c r="E428" s="30" t="s">
        <v>124</v>
      </c>
      <c r="F428" s="30" t="s">
        <v>979</v>
      </c>
      <c r="G428" s="28" t="s">
        <v>980</v>
      </c>
      <c r="H428" s="31">
        <v>0.944</v>
      </c>
      <c r="I428" s="31">
        <v>0.909</v>
      </c>
      <c r="J428" s="31">
        <v>0.804</v>
      </c>
      <c r="K428" s="31">
        <v>0.8</v>
      </c>
      <c r="L428" s="4" t="str">
        <f>IMAGE("https://drive.google.com/uc?export=view&amp;id=1eStE-0Rv6l5wCKWdDCHMFYgbk0cFTMfY")</f>
        <v/>
      </c>
    </row>
    <row r="429" ht="22.5" customHeight="1">
      <c r="A429" s="4">
        <v>428.0</v>
      </c>
      <c r="B429" s="3" t="s">
        <v>8</v>
      </c>
      <c r="C429" s="3">
        <v>32.0</v>
      </c>
      <c r="D429" s="3">
        <v>5.0</v>
      </c>
      <c r="E429" s="30" t="s">
        <v>127</v>
      </c>
      <c r="F429" s="30" t="s">
        <v>981</v>
      </c>
      <c r="G429" s="28" t="s">
        <v>982</v>
      </c>
      <c r="H429" s="31">
        <v>1.0</v>
      </c>
      <c r="I429" s="31">
        <v>0.89</v>
      </c>
      <c r="J429" s="31">
        <v>0.533</v>
      </c>
      <c r="K429" s="31">
        <v>0.75</v>
      </c>
      <c r="L429" s="4" t="str">
        <f>IMAGE("https://drive.google.com/uc?export=view&amp;id=13UNIXMM0dJAVLWr5gucKOt-v1qZkWDJj")</f>
        <v/>
      </c>
    </row>
    <row r="430" ht="22.5" customHeight="1">
      <c r="A430" s="4">
        <v>429.0</v>
      </c>
      <c r="B430" s="3" t="s">
        <v>8</v>
      </c>
      <c r="C430" s="3">
        <v>32.0</v>
      </c>
      <c r="D430" s="3">
        <v>5.0</v>
      </c>
      <c r="E430" s="30" t="s">
        <v>130</v>
      </c>
      <c r="F430" s="30" t="s">
        <v>983</v>
      </c>
      <c r="G430" s="28" t="s">
        <v>984</v>
      </c>
      <c r="H430" s="31">
        <v>0.75</v>
      </c>
      <c r="I430" s="31">
        <v>0.848</v>
      </c>
      <c r="J430" s="31">
        <v>1.0</v>
      </c>
      <c r="K430" s="31">
        <v>1.0</v>
      </c>
      <c r="L430" s="4" t="str">
        <f>IMAGE("https://drive.google.com/uc?export=view&amp;id=1pItN91M1n3FPARixGjfeQh_H3ZstebXV")</f>
        <v/>
      </c>
    </row>
    <row r="431" ht="22.5" customHeight="1">
      <c r="A431" s="4">
        <v>430.0</v>
      </c>
      <c r="B431" s="3" t="s">
        <v>8</v>
      </c>
      <c r="C431" s="3">
        <v>32.0</v>
      </c>
      <c r="D431" s="3">
        <v>5.0</v>
      </c>
      <c r="E431" s="30" t="s">
        <v>133</v>
      </c>
      <c r="F431" s="30" t="s">
        <v>985</v>
      </c>
      <c r="G431" s="28" t="s">
        <v>986</v>
      </c>
      <c r="H431" s="31">
        <v>0.833</v>
      </c>
      <c r="I431" s="31">
        <v>0.905</v>
      </c>
      <c r="J431" s="31">
        <v>0.95</v>
      </c>
      <c r="K431" s="31">
        <v>0.0</v>
      </c>
      <c r="L431" s="4" t="str">
        <f>IMAGE("https://drive.google.com/uc?export=view&amp;id=1A8PE5QV41Brl6bNTOxJJcNkzESoUilZi")</f>
        <v/>
      </c>
    </row>
    <row r="432" ht="22.5" customHeight="1">
      <c r="A432" s="4">
        <v>431.0</v>
      </c>
      <c r="B432" s="3" t="s">
        <v>8</v>
      </c>
      <c r="C432" s="3">
        <v>32.0</v>
      </c>
      <c r="D432" s="3">
        <v>5.0</v>
      </c>
      <c r="E432" s="30" t="s">
        <v>136</v>
      </c>
      <c r="F432" s="30" t="s">
        <v>987</v>
      </c>
      <c r="G432" s="28" t="s">
        <v>988</v>
      </c>
      <c r="H432" s="31">
        <v>0.941</v>
      </c>
      <c r="I432" s="31">
        <v>0.999</v>
      </c>
      <c r="J432" s="31">
        <v>1.0</v>
      </c>
      <c r="K432" s="31">
        <v>0.417</v>
      </c>
      <c r="L432" s="4" t="str">
        <f>IMAGE("https://drive.google.com/uc?export=view&amp;id=1aR9Y_UtAeUsH7F1B4PIYicVtr4NR6AC6")</f>
        <v/>
      </c>
    </row>
    <row r="433" ht="22.5" customHeight="1">
      <c r="A433" s="4">
        <v>432.0</v>
      </c>
      <c r="B433" s="3" t="s">
        <v>8</v>
      </c>
      <c r="C433" s="3">
        <v>32.0</v>
      </c>
      <c r="D433" s="3">
        <v>5.0</v>
      </c>
      <c r="E433" s="30" t="s">
        <v>139</v>
      </c>
      <c r="F433" s="30" t="s">
        <v>989</v>
      </c>
      <c r="G433" s="28" t="s">
        <v>990</v>
      </c>
      <c r="H433" s="31">
        <v>0.6</v>
      </c>
      <c r="I433" s="31">
        <v>0.916</v>
      </c>
      <c r="J433" s="31">
        <v>1.0</v>
      </c>
      <c r="K433" s="31">
        <v>1.0</v>
      </c>
      <c r="L433" s="4" t="str">
        <f>IMAGE("https://drive.google.com/uc?export=view&amp;id=1RY30n3af--8qvNEaYhVhiNaNdbV9_6SJ")</f>
        <v/>
      </c>
    </row>
    <row r="434" ht="22.5" customHeight="1">
      <c r="A434" s="4">
        <v>433.0</v>
      </c>
      <c r="B434" s="3" t="s">
        <v>8</v>
      </c>
      <c r="C434" s="3">
        <v>32.0</v>
      </c>
      <c r="D434" s="3">
        <v>5.0</v>
      </c>
      <c r="E434" s="30" t="s">
        <v>142</v>
      </c>
      <c r="F434" s="30" t="s">
        <v>991</v>
      </c>
      <c r="G434" s="28" t="s">
        <v>992</v>
      </c>
      <c r="H434" s="31">
        <v>1.0</v>
      </c>
      <c r="I434" s="31">
        <v>0.641</v>
      </c>
      <c r="J434" s="31">
        <v>1.0</v>
      </c>
      <c r="K434" s="31">
        <v>0.8</v>
      </c>
      <c r="L434" s="4" t="str">
        <f>IMAGE("https://drive.google.com/uc?export=view&amp;id=15XsvGbu8vPLQGbmT3S2L05BBPhauxWgJ")</f>
        <v/>
      </c>
    </row>
    <row r="435" ht="22.5" customHeight="1">
      <c r="A435" s="4">
        <v>434.0</v>
      </c>
      <c r="B435" s="3" t="s">
        <v>8</v>
      </c>
      <c r="C435" s="3">
        <v>32.0</v>
      </c>
      <c r="D435" s="3">
        <v>5.0</v>
      </c>
      <c r="E435" s="30" t="s">
        <v>145</v>
      </c>
      <c r="F435" s="30" t="s">
        <v>993</v>
      </c>
      <c r="G435" s="28" t="s">
        <v>994</v>
      </c>
      <c r="H435" s="31">
        <v>1.0</v>
      </c>
      <c r="I435" s="31">
        <v>0.783</v>
      </c>
      <c r="J435" s="31">
        <v>0.7</v>
      </c>
      <c r="K435" s="31">
        <v>0.857</v>
      </c>
      <c r="L435" s="4" t="str">
        <f>IMAGE("https://drive.google.com/uc?export=view&amp;id=1xwVwcWYdazyioGcN0i8856zALlrsOZla")</f>
        <v/>
      </c>
    </row>
    <row r="436" ht="22.5" customHeight="1">
      <c r="A436" s="4">
        <v>435.0</v>
      </c>
      <c r="B436" s="3" t="s">
        <v>8</v>
      </c>
      <c r="C436" s="3">
        <v>32.0</v>
      </c>
      <c r="D436" s="3">
        <v>5.0</v>
      </c>
      <c r="E436" s="30" t="s">
        <v>148</v>
      </c>
      <c r="F436" s="30" t="s">
        <v>995</v>
      </c>
      <c r="G436" s="28" t="s">
        <v>996</v>
      </c>
      <c r="H436" s="31">
        <v>0.714</v>
      </c>
      <c r="I436" s="31">
        <v>0.805</v>
      </c>
      <c r="J436" s="31">
        <v>0.756</v>
      </c>
      <c r="K436" s="31">
        <v>1.0</v>
      </c>
      <c r="L436" s="4" t="str">
        <f>IMAGE("https://drive.google.com/uc?export=view&amp;id=1cvQDuKU-f7uDk3XLPNoL-7woqVNHfRpv")</f>
        <v/>
      </c>
    </row>
    <row r="437" ht="22.5" customHeight="1">
      <c r="A437" s="4">
        <v>436.0</v>
      </c>
      <c r="B437" s="3" t="s">
        <v>8</v>
      </c>
      <c r="C437" s="3">
        <v>32.0</v>
      </c>
      <c r="D437" s="3">
        <v>5.0</v>
      </c>
      <c r="E437" s="30" t="s">
        <v>151</v>
      </c>
      <c r="F437" s="30" t="s">
        <v>997</v>
      </c>
      <c r="G437" s="28" t="s">
        <v>998</v>
      </c>
      <c r="H437" s="31">
        <v>1.0</v>
      </c>
      <c r="I437" s="31">
        <v>0.914</v>
      </c>
      <c r="J437" s="31">
        <v>1.0</v>
      </c>
      <c r="K437" s="31">
        <v>1.0</v>
      </c>
      <c r="L437" s="4" t="str">
        <f>IMAGE("https://drive.google.com/uc?export=view&amp;id=1VawKCncjD3pwBXgk_nExX4T3eatoQc0U")</f>
        <v/>
      </c>
    </row>
    <row r="438" ht="22.5" customHeight="1">
      <c r="A438" s="4">
        <v>437.0</v>
      </c>
      <c r="B438" s="3" t="s">
        <v>8</v>
      </c>
      <c r="C438" s="3">
        <v>32.0</v>
      </c>
      <c r="D438" s="3">
        <v>5.0</v>
      </c>
      <c r="E438" s="30" t="s">
        <v>154</v>
      </c>
      <c r="F438" s="30" t="s">
        <v>999</v>
      </c>
      <c r="G438" s="28" t="s">
        <v>1000</v>
      </c>
      <c r="H438" s="31">
        <v>0.909</v>
      </c>
      <c r="I438" s="31">
        <v>0.752</v>
      </c>
      <c r="J438" s="31">
        <v>1.0</v>
      </c>
      <c r="K438" s="31">
        <v>1.0</v>
      </c>
      <c r="L438" s="4" t="str">
        <f>IMAGE("https://drive.google.com/uc?export=view&amp;id=1bnWTdTX4-Y9WUzhxjElD-JBicO1h72Sj")</f>
        <v/>
      </c>
    </row>
    <row r="439" ht="22.5" customHeight="1">
      <c r="A439" s="4">
        <v>438.0</v>
      </c>
      <c r="B439" s="3" t="s">
        <v>8</v>
      </c>
      <c r="C439" s="3">
        <v>32.0</v>
      </c>
      <c r="D439" s="3">
        <v>5.0</v>
      </c>
      <c r="E439" s="30" t="s">
        <v>160</v>
      </c>
      <c r="F439" s="30" t="s">
        <v>1001</v>
      </c>
      <c r="G439" s="28" t="s">
        <v>1002</v>
      </c>
      <c r="H439" s="31">
        <v>0.786</v>
      </c>
      <c r="I439" s="31">
        <v>0.66</v>
      </c>
      <c r="J439" s="31">
        <v>1.0</v>
      </c>
      <c r="K439" s="31">
        <v>0.4</v>
      </c>
      <c r="L439" s="4" t="str">
        <f>IMAGE("https://drive.google.com/uc?export=view&amp;id=1FsfVS64lOoV44plj4nGIdpvyKiXux3Ua")</f>
        <v/>
      </c>
    </row>
    <row r="440" ht="22.5" customHeight="1">
      <c r="A440" s="4">
        <v>439.0</v>
      </c>
      <c r="B440" s="3" t="s">
        <v>8</v>
      </c>
      <c r="C440" s="3">
        <v>32.0</v>
      </c>
      <c r="D440" s="3">
        <v>5.0</v>
      </c>
      <c r="E440" s="30" t="s">
        <v>163</v>
      </c>
      <c r="F440" s="30" t="s">
        <v>1003</v>
      </c>
      <c r="G440" s="28" t="s">
        <v>1004</v>
      </c>
      <c r="H440" s="31">
        <v>0.25</v>
      </c>
      <c r="I440" s="31">
        <v>0.665</v>
      </c>
      <c r="J440" s="31">
        <v>1.0</v>
      </c>
      <c r="K440" s="31">
        <v>1.0</v>
      </c>
      <c r="L440" s="4" t="str">
        <f>IMAGE("https://drive.google.com/uc?export=view&amp;id=12vRggH4pAXvCLRZvrARpEUMUsZgQyl8k")</f>
        <v/>
      </c>
    </row>
    <row r="441" ht="22.5" customHeight="1">
      <c r="A441" s="4">
        <v>440.0</v>
      </c>
      <c r="B441" s="3" t="s">
        <v>8</v>
      </c>
      <c r="C441" s="3">
        <v>32.0</v>
      </c>
      <c r="D441" s="3">
        <v>5.0</v>
      </c>
      <c r="E441" s="30" t="s">
        <v>157</v>
      </c>
      <c r="F441" s="30" t="s">
        <v>1005</v>
      </c>
      <c r="G441" s="28" t="s">
        <v>1006</v>
      </c>
      <c r="H441" s="31">
        <v>0.545</v>
      </c>
      <c r="I441" s="31">
        <v>0.771</v>
      </c>
      <c r="J441" s="31">
        <v>1.0</v>
      </c>
      <c r="K441" s="31">
        <v>1.0</v>
      </c>
      <c r="L441" s="4" t="str">
        <f>IMAGE("https://drive.google.com/uc?export=view&amp;id=1Qh5zAhn-lQzW0kQmr8aYTi3APLk3Bf-x")</f>
        <v/>
      </c>
    </row>
    <row r="442" ht="22.5" customHeight="1">
      <c r="A442" s="4">
        <v>441.0</v>
      </c>
      <c r="B442" s="3" t="s">
        <v>8</v>
      </c>
      <c r="C442" s="3">
        <v>32.0</v>
      </c>
      <c r="D442" s="3">
        <v>5.0</v>
      </c>
      <c r="E442" s="30" t="s">
        <v>166</v>
      </c>
      <c r="F442" s="30" t="s">
        <v>1007</v>
      </c>
      <c r="G442" s="28" t="s">
        <v>1008</v>
      </c>
      <c r="H442" s="31">
        <v>0.067</v>
      </c>
      <c r="I442" s="31">
        <v>0.986</v>
      </c>
      <c r="J442" s="31">
        <v>1.0</v>
      </c>
      <c r="K442" s="31">
        <v>0.75</v>
      </c>
      <c r="L442" s="4" t="str">
        <f>IMAGE("https://drive.google.com/uc?export=view&amp;id=1a6UmUHfPo64YPVcg4gSuSDoffShUg1zv")</f>
        <v/>
      </c>
    </row>
    <row r="443" ht="22.5" customHeight="1">
      <c r="A443" s="4">
        <v>442.0</v>
      </c>
      <c r="B443" s="3" t="s">
        <v>8</v>
      </c>
      <c r="C443" s="3">
        <v>32.0</v>
      </c>
      <c r="D443" s="3">
        <v>5.0</v>
      </c>
      <c r="E443" s="30" t="s">
        <v>169</v>
      </c>
      <c r="F443" s="30" t="s">
        <v>1009</v>
      </c>
      <c r="G443" s="28" t="s">
        <v>1010</v>
      </c>
      <c r="H443" s="31">
        <v>0.6</v>
      </c>
      <c r="I443" s="31">
        <v>0.895</v>
      </c>
      <c r="J443" s="31">
        <v>1.0</v>
      </c>
      <c r="K443" s="31">
        <v>1.0</v>
      </c>
      <c r="L443" s="4" t="str">
        <f>IMAGE("https://drive.google.com/uc?export=view&amp;id=1FtYvFLhzivgdHAIMRd9b3VDZ0WntPDNA")</f>
        <v/>
      </c>
    </row>
    <row r="444" ht="22.5" customHeight="1">
      <c r="A444" s="4">
        <v>443.0</v>
      </c>
      <c r="B444" s="3" t="s">
        <v>8</v>
      </c>
      <c r="C444" s="3">
        <v>32.0</v>
      </c>
      <c r="D444" s="3">
        <v>5.0</v>
      </c>
      <c r="E444" s="30" t="s">
        <v>172</v>
      </c>
      <c r="F444" s="30" t="s">
        <v>1011</v>
      </c>
      <c r="G444" s="28" t="s">
        <v>1012</v>
      </c>
      <c r="H444" s="31">
        <v>0.688</v>
      </c>
      <c r="I444" s="31">
        <v>0.999</v>
      </c>
      <c r="J444" s="31">
        <v>0.533</v>
      </c>
      <c r="K444" s="31">
        <v>0.0</v>
      </c>
      <c r="L444" s="4" t="str">
        <f>IMAGE("https://drive.google.com/uc?export=view&amp;id=1MfHJbbLRmeXLK08_31YR5EZxVuiFQBBN")</f>
        <v/>
      </c>
    </row>
    <row r="445" ht="22.5" customHeight="1">
      <c r="A445" s="4">
        <v>444.0</v>
      </c>
      <c r="B445" s="3" t="s">
        <v>8</v>
      </c>
      <c r="C445" s="3">
        <v>32.0</v>
      </c>
      <c r="D445" s="3">
        <v>5.0</v>
      </c>
      <c r="E445" s="30" t="s">
        <v>175</v>
      </c>
      <c r="F445" s="30" t="s">
        <v>1013</v>
      </c>
      <c r="G445" s="28" t="s">
        <v>1014</v>
      </c>
      <c r="H445" s="31">
        <v>0.571</v>
      </c>
      <c r="I445" s="31">
        <v>0.794</v>
      </c>
      <c r="J445" s="31">
        <v>0.2</v>
      </c>
      <c r="K445" s="31">
        <v>0.167</v>
      </c>
      <c r="L445" s="4" t="str">
        <f>IMAGE("https://drive.google.com/uc?export=view&amp;id=1v8_8ubZKQMgOwU3_PMJdFPJs-1ob_lue")</f>
        <v/>
      </c>
    </row>
    <row r="446" ht="22.5" customHeight="1">
      <c r="A446" s="4">
        <v>445.0</v>
      </c>
      <c r="B446" s="3" t="s">
        <v>8</v>
      </c>
      <c r="C446" s="3">
        <v>32.0</v>
      </c>
      <c r="D446" s="3">
        <v>5.0</v>
      </c>
      <c r="E446" s="30" t="s">
        <v>178</v>
      </c>
      <c r="F446" s="30" t="s">
        <v>1015</v>
      </c>
      <c r="G446" s="28" t="s">
        <v>1016</v>
      </c>
      <c r="H446" s="31">
        <v>0.571</v>
      </c>
      <c r="I446" s="31">
        <v>0.947</v>
      </c>
      <c r="J446" s="31">
        <v>0.5</v>
      </c>
      <c r="K446" s="31">
        <v>0.0</v>
      </c>
      <c r="L446" s="4" t="str">
        <f>IMAGE("https://drive.google.com/uc?export=view&amp;id=1QKWetDRqb3n5jLFoi7bGT9p_RVJm87vL")</f>
        <v/>
      </c>
    </row>
    <row r="447" ht="22.5" customHeight="1">
      <c r="A447" s="4">
        <v>446.0</v>
      </c>
      <c r="B447" s="3" t="s">
        <v>8</v>
      </c>
      <c r="C447" s="3">
        <v>32.0</v>
      </c>
      <c r="D447" s="3">
        <v>5.0</v>
      </c>
      <c r="E447" s="30" t="s">
        <v>181</v>
      </c>
      <c r="F447" s="30" t="s">
        <v>1017</v>
      </c>
      <c r="G447" s="28" t="s">
        <v>1018</v>
      </c>
      <c r="H447" s="31">
        <v>0.125</v>
      </c>
      <c r="I447" s="31">
        <v>0.895</v>
      </c>
      <c r="J447" s="31">
        <v>1.0</v>
      </c>
      <c r="K447" s="31">
        <v>1.0</v>
      </c>
      <c r="L447" s="4" t="str">
        <f>IMAGE("https://drive.google.com/uc?export=view&amp;id=1upTlu8wXyRVyo7DPAZeftk9UHD9cW-S2")</f>
        <v/>
      </c>
    </row>
    <row r="448" ht="22.5" customHeight="1">
      <c r="A448" s="4">
        <v>447.0</v>
      </c>
      <c r="B448" s="3" t="s">
        <v>8</v>
      </c>
      <c r="C448" s="3">
        <v>32.0</v>
      </c>
      <c r="D448" s="3">
        <v>5.0</v>
      </c>
      <c r="E448" s="30" t="s">
        <v>187</v>
      </c>
      <c r="F448" s="30" t="s">
        <v>1019</v>
      </c>
      <c r="G448" s="28" t="s">
        <v>1020</v>
      </c>
      <c r="H448" s="31">
        <v>0.727</v>
      </c>
      <c r="I448" s="31">
        <v>0.84</v>
      </c>
      <c r="J448" s="31">
        <v>0.887</v>
      </c>
      <c r="K448" s="31">
        <v>0.8</v>
      </c>
      <c r="L448" s="4" t="str">
        <f>IMAGE("https://drive.google.com/uc?export=view&amp;id=16HE-4yaAObWHI6qVjNA6MZy5ypiaqVAz")</f>
        <v/>
      </c>
    </row>
    <row r="449" ht="22.5" customHeight="1">
      <c r="A449" s="4">
        <v>448.0</v>
      </c>
      <c r="B449" s="3" t="s">
        <v>8</v>
      </c>
      <c r="C449" s="3">
        <v>32.0</v>
      </c>
      <c r="D449" s="3">
        <v>5.0</v>
      </c>
      <c r="E449" s="30" t="s">
        <v>190</v>
      </c>
      <c r="F449" s="30" t="s">
        <v>1021</v>
      </c>
      <c r="G449" s="28" t="s">
        <v>1022</v>
      </c>
      <c r="H449" s="31">
        <v>1.0</v>
      </c>
      <c r="I449" s="31">
        <v>0.892</v>
      </c>
      <c r="J449" s="31">
        <v>1.0</v>
      </c>
      <c r="K449" s="31">
        <v>0.167</v>
      </c>
      <c r="L449" s="4" t="str">
        <f>IMAGE("https://drive.google.com/uc?export=view&amp;id=1XcB3Yxq8p6FSp2xy13Gg3Yf2M_yfJNXH")</f>
        <v/>
      </c>
    </row>
    <row r="450" ht="22.5" customHeight="1">
      <c r="A450" s="4">
        <v>449.0</v>
      </c>
      <c r="B450" s="3" t="s">
        <v>8</v>
      </c>
      <c r="C450" s="3">
        <v>32.0</v>
      </c>
      <c r="D450" s="3">
        <v>5.0</v>
      </c>
      <c r="E450" s="30" t="s">
        <v>193</v>
      </c>
      <c r="F450" s="30" t="s">
        <v>1023</v>
      </c>
      <c r="G450" s="28" t="s">
        <v>1024</v>
      </c>
      <c r="H450" s="31">
        <v>0.75</v>
      </c>
      <c r="I450" s="31">
        <v>0.839</v>
      </c>
      <c r="J450" s="31">
        <v>0.7</v>
      </c>
      <c r="K450" s="31">
        <v>0.0</v>
      </c>
      <c r="L450" s="4" t="str">
        <f>IMAGE("https://drive.google.com/uc?export=view&amp;id=1gi_g1Ky9OiURcsIammGeVkLk4gCfFsWa")</f>
        <v/>
      </c>
    </row>
    <row r="451" ht="22.5" customHeight="1">
      <c r="A451" s="4">
        <v>450.0</v>
      </c>
      <c r="B451" s="3" t="s">
        <v>8</v>
      </c>
      <c r="C451" s="3">
        <v>32.0</v>
      </c>
      <c r="D451" s="3">
        <v>5.0</v>
      </c>
      <c r="E451" s="30" t="s">
        <v>196</v>
      </c>
      <c r="F451" s="30" t="s">
        <v>1025</v>
      </c>
      <c r="G451" s="28" t="s">
        <v>1026</v>
      </c>
      <c r="H451" s="31">
        <v>0.643</v>
      </c>
      <c r="I451" s="31">
        <v>0.945</v>
      </c>
      <c r="J451" s="31">
        <v>0.756</v>
      </c>
      <c r="K451" s="31">
        <v>0.5</v>
      </c>
      <c r="L451" s="4" t="str">
        <f>IMAGE("https://drive.google.com/uc?export=view&amp;id=1Ef0-Tp_BxK1WkIQ7V5bn1dd8ClIpdSW7")</f>
        <v/>
      </c>
    </row>
    <row r="452" ht="22.5" customHeight="1">
      <c r="A452" s="4">
        <v>451.0</v>
      </c>
      <c r="B452" s="3" t="s">
        <v>8</v>
      </c>
      <c r="C452" s="3">
        <v>32.0</v>
      </c>
      <c r="D452" s="3">
        <v>5.0</v>
      </c>
      <c r="E452" s="30" t="s">
        <v>199</v>
      </c>
      <c r="F452" s="30" t="s">
        <v>1027</v>
      </c>
      <c r="G452" s="28" t="s">
        <v>1028</v>
      </c>
      <c r="H452" s="31">
        <v>1.0</v>
      </c>
      <c r="I452" s="31">
        <v>0.767</v>
      </c>
      <c r="J452" s="31">
        <v>1.0</v>
      </c>
      <c r="K452" s="31">
        <v>1.0</v>
      </c>
      <c r="L452" s="4" t="str">
        <f>IMAGE("https://drive.google.com/uc?export=view&amp;id=1slpN5SehV_eCiyW8DKE8OoF3SMlo_Wuy")</f>
        <v/>
      </c>
    </row>
    <row r="453" ht="22.5" customHeight="1">
      <c r="A453" s="4">
        <v>452.0</v>
      </c>
      <c r="B453" s="3" t="s">
        <v>8</v>
      </c>
      <c r="C453" s="3">
        <v>32.0</v>
      </c>
      <c r="D453" s="3">
        <v>5.0</v>
      </c>
      <c r="E453" s="30" t="s">
        <v>202</v>
      </c>
      <c r="F453" s="30" t="s">
        <v>1029</v>
      </c>
      <c r="G453" s="28" t="s">
        <v>1030</v>
      </c>
      <c r="H453" s="31">
        <v>0.929</v>
      </c>
      <c r="I453" s="31">
        <v>0.875</v>
      </c>
      <c r="J453" s="31">
        <v>0.533</v>
      </c>
      <c r="K453" s="31">
        <v>0.125</v>
      </c>
      <c r="L453" s="4" t="str">
        <f>IMAGE("https://drive.google.com/uc?export=view&amp;id=15C1kGWRUZYnCP4pyxB5CcMFiBi0N-s74")</f>
        <v/>
      </c>
    </row>
    <row r="454" ht="22.5" customHeight="1">
      <c r="A454" s="4">
        <v>453.0</v>
      </c>
      <c r="B454" s="3" t="s">
        <v>8</v>
      </c>
      <c r="C454" s="3">
        <v>32.0</v>
      </c>
      <c r="D454" s="3">
        <v>5.0</v>
      </c>
      <c r="E454" s="30" t="s">
        <v>205</v>
      </c>
      <c r="F454" s="30" t="s">
        <v>1031</v>
      </c>
      <c r="G454" s="28" t="s">
        <v>1032</v>
      </c>
      <c r="H454" s="31">
        <v>0.091</v>
      </c>
      <c r="I454" s="31">
        <v>1.0</v>
      </c>
      <c r="J454" s="31">
        <v>0.95</v>
      </c>
      <c r="K454" s="31">
        <v>1.0</v>
      </c>
      <c r="L454" s="4" t="str">
        <f>IMAGE("https://drive.google.com/uc?export=view&amp;id=1mt2Avd-p5JQB1eKc0tsyY-R0pq2zfIkY")</f>
        <v/>
      </c>
    </row>
    <row r="455" ht="22.5" customHeight="1">
      <c r="A455" s="4">
        <v>454.0</v>
      </c>
      <c r="B455" s="3" t="s">
        <v>8</v>
      </c>
      <c r="C455" s="3">
        <v>32.0</v>
      </c>
      <c r="D455" s="3">
        <v>5.0</v>
      </c>
      <c r="E455" s="30" t="s">
        <v>208</v>
      </c>
      <c r="F455" s="30" t="s">
        <v>1033</v>
      </c>
      <c r="G455" s="28" t="s">
        <v>1034</v>
      </c>
      <c r="H455" s="31">
        <v>0.9</v>
      </c>
      <c r="I455" s="31">
        <v>0.736</v>
      </c>
      <c r="J455" s="31">
        <v>0.639</v>
      </c>
      <c r="K455" s="31">
        <v>1.0</v>
      </c>
      <c r="L455" s="4" t="str">
        <f>IMAGE("https://drive.google.com/uc?export=view&amp;id=1MaGRg1vngVpYbcjeRyeUw6bh2zPrWkP_")</f>
        <v/>
      </c>
    </row>
    <row r="456" ht="22.5" customHeight="1">
      <c r="A456" s="4">
        <v>455.0</v>
      </c>
      <c r="B456" s="3" t="s">
        <v>8</v>
      </c>
      <c r="C456" s="3">
        <v>32.0</v>
      </c>
      <c r="D456" s="3">
        <v>5.0</v>
      </c>
      <c r="E456" s="30" t="s">
        <v>211</v>
      </c>
      <c r="F456" s="30" t="s">
        <v>1035</v>
      </c>
      <c r="G456" s="28" t="s">
        <v>1036</v>
      </c>
      <c r="H456" s="31">
        <v>0.923</v>
      </c>
      <c r="I456" s="31">
        <v>0.671</v>
      </c>
      <c r="J456" s="31">
        <v>1.0</v>
      </c>
      <c r="K456" s="31">
        <v>1.0</v>
      </c>
      <c r="L456" s="4" t="str">
        <f>IMAGE("https://drive.google.com/uc?export=view&amp;id=1vXbygMtnhRudaI07zecRda_rBenka3j7")</f>
        <v/>
      </c>
    </row>
    <row r="457" ht="22.5" customHeight="1">
      <c r="A457" s="4">
        <v>456.0</v>
      </c>
      <c r="B457" s="3" t="s">
        <v>8</v>
      </c>
      <c r="C457" s="3">
        <v>32.0</v>
      </c>
      <c r="D457" s="3">
        <v>5.0</v>
      </c>
      <c r="E457" s="30" t="s">
        <v>214</v>
      </c>
      <c r="F457" s="30" t="s">
        <v>1037</v>
      </c>
      <c r="G457" s="28" t="s">
        <v>1038</v>
      </c>
      <c r="H457" s="31">
        <v>1.0</v>
      </c>
      <c r="I457" s="31">
        <v>0.885</v>
      </c>
      <c r="J457" s="31">
        <v>0.679</v>
      </c>
      <c r="K457" s="31">
        <v>0.0</v>
      </c>
      <c r="L457" s="4" t="str">
        <f>IMAGE("https://drive.google.com/uc?export=view&amp;id=1Z-FUmbRfF4S6VRlJO8lSX1pPCJh9Qwal")</f>
        <v/>
      </c>
    </row>
    <row r="458" ht="22.5" customHeight="1">
      <c r="A458" s="4">
        <v>457.0</v>
      </c>
      <c r="B458" s="3" t="s">
        <v>8</v>
      </c>
      <c r="C458" s="3">
        <v>32.0</v>
      </c>
      <c r="D458" s="3">
        <v>5.0</v>
      </c>
      <c r="E458" s="30" t="s">
        <v>220</v>
      </c>
      <c r="F458" s="30" t="s">
        <v>1039</v>
      </c>
      <c r="G458" s="28" t="s">
        <v>1040</v>
      </c>
      <c r="H458" s="31">
        <v>0.889</v>
      </c>
      <c r="I458" s="31">
        <v>0.932</v>
      </c>
      <c r="J458" s="31">
        <v>1.0</v>
      </c>
      <c r="K458" s="31">
        <v>1.0</v>
      </c>
      <c r="L458" s="4" t="str">
        <f>IMAGE("https://drive.google.com/uc?export=view&amp;id=1itoS_cHaifBbGQ7SADxn4saIeFMPBSWX")</f>
        <v/>
      </c>
    </row>
    <row r="459" ht="22.5" customHeight="1">
      <c r="A459" s="4">
        <v>458.0</v>
      </c>
      <c r="B459" s="3" t="s">
        <v>8</v>
      </c>
      <c r="C459" s="3">
        <v>32.0</v>
      </c>
      <c r="D459" s="3">
        <v>5.0</v>
      </c>
      <c r="E459" s="30" t="s">
        <v>223</v>
      </c>
      <c r="F459" s="30" t="s">
        <v>1041</v>
      </c>
      <c r="G459" s="28" t="s">
        <v>1042</v>
      </c>
      <c r="H459" s="31">
        <v>0.667</v>
      </c>
      <c r="I459" s="31">
        <v>0.723</v>
      </c>
      <c r="J459" s="31">
        <v>1.0</v>
      </c>
      <c r="K459" s="31">
        <v>1.0</v>
      </c>
      <c r="L459" s="4" t="str">
        <f>IMAGE("https://drive.google.com/uc?export=view&amp;id=1JSO7NpxZ0NFdZhBeqkv10x6zoUy9a6cL")</f>
        <v/>
      </c>
    </row>
    <row r="460" ht="22.5" customHeight="1">
      <c r="A460" s="4">
        <v>459.0</v>
      </c>
      <c r="B460" s="3" t="s">
        <v>8</v>
      </c>
      <c r="C460" s="3">
        <v>32.0</v>
      </c>
      <c r="D460" s="3">
        <v>5.0</v>
      </c>
      <c r="E460" s="30" t="s">
        <v>184</v>
      </c>
      <c r="F460" s="30" t="s">
        <v>1043</v>
      </c>
      <c r="G460" s="28" t="s">
        <v>1044</v>
      </c>
      <c r="H460" s="31">
        <v>0.733</v>
      </c>
      <c r="I460" s="31">
        <v>0.938</v>
      </c>
      <c r="J460" s="31">
        <v>0.95</v>
      </c>
      <c r="K460" s="31">
        <v>0.4</v>
      </c>
      <c r="L460" s="4" t="str">
        <f>IMAGE("https://drive.google.com/uc?export=view&amp;id=1IfJbmzDU0SFvDxHZdQadclBgelYbfBx2")</f>
        <v/>
      </c>
    </row>
    <row r="461" ht="22.5" customHeight="1">
      <c r="A461" s="4">
        <v>460.0</v>
      </c>
      <c r="B461" s="3" t="s">
        <v>8</v>
      </c>
      <c r="C461" s="3">
        <v>32.0</v>
      </c>
      <c r="D461" s="3">
        <v>5.0</v>
      </c>
      <c r="E461" s="30" t="s">
        <v>187</v>
      </c>
      <c r="F461" s="30" t="s">
        <v>1019</v>
      </c>
      <c r="G461" s="28" t="s">
        <v>1020</v>
      </c>
      <c r="H461" s="31">
        <v>0.727</v>
      </c>
      <c r="I461" s="31">
        <v>0.84</v>
      </c>
      <c r="J461" s="31">
        <v>0.887</v>
      </c>
      <c r="K461" s="31">
        <v>0.8</v>
      </c>
      <c r="L461" s="4" t="str">
        <f>IMAGE("https://drive.google.com/uc?export=view&amp;id=1Q5J2G59NTD1ETQ3k21sOkHwK-9f7njc8")</f>
        <v/>
      </c>
    </row>
    <row r="462" ht="22.5" customHeight="1">
      <c r="A462" s="4">
        <v>461.0</v>
      </c>
      <c r="B462" s="3" t="s">
        <v>8</v>
      </c>
      <c r="C462" s="3">
        <v>32.0</v>
      </c>
      <c r="D462" s="3">
        <v>5.0</v>
      </c>
      <c r="E462" s="30" t="s">
        <v>226</v>
      </c>
      <c r="F462" s="30" t="s">
        <v>1045</v>
      </c>
      <c r="G462" s="28" t="s">
        <v>1046</v>
      </c>
      <c r="H462" s="31">
        <v>0.571</v>
      </c>
      <c r="I462" s="31">
        <v>0.0</v>
      </c>
      <c r="J462" s="31">
        <v>0.583</v>
      </c>
      <c r="K462" s="31">
        <v>1.0</v>
      </c>
      <c r="L462" s="4" t="str">
        <f>IMAGE("https://drive.google.com/uc?export=view&amp;id=1PKSjRJQshmqEv0b20O5wptBFJFZJLPL4")</f>
        <v/>
      </c>
    </row>
    <row r="463" ht="22.5" customHeight="1">
      <c r="A463" s="4">
        <v>462.0</v>
      </c>
      <c r="B463" s="3" t="s">
        <v>8</v>
      </c>
      <c r="C463" s="3">
        <v>32.0</v>
      </c>
      <c r="D463" s="3">
        <v>5.0</v>
      </c>
      <c r="E463" s="30" t="s">
        <v>229</v>
      </c>
      <c r="F463" s="30" t="s">
        <v>1047</v>
      </c>
      <c r="G463" s="28" t="s">
        <v>1048</v>
      </c>
      <c r="H463" s="31">
        <v>1.0</v>
      </c>
      <c r="I463" s="31">
        <v>0.992</v>
      </c>
      <c r="J463" s="31">
        <v>0.0</v>
      </c>
      <c r="K463" s="31">
        <v>0.833</v>
      </c>
      <c r="L463" s="4" t="str">
        <f>IMAGE("https://drive.google.com/uc?export=view&amp;id=1PEEJUdtdtyZnn8ZbJB6ewkvsVzoMcWUO")</f>
        <v/>
      </c>
    </row>
    <row r="464" ht="22.5" customHeight="1">
      <c r="A464" s="4">
        <v>463.0</v>
      </c>
      <c r="B464" s="3" t="s">
        <v>8</v>
      </c>
      <c r="C464" s="3">
        <v>32.0</v>
      </c>
      <c r="D464" s="3">
        <v>5.0</v>
      </c>
      <c r="E464" s="30" t="s">
        <v>232</v>
      </c>
      <c r="F464" s="30" t="s">
        <v>1049</v>
      </c>
      <c r="G464" s="28" t="s">
        <v>1050</v>
      </c>
      <c r="H464" s="31">
        <v>1.0</v>
      </c>
      <c r="I464" s="31">
        <v>0.992</v>
      </c>
      <c r="J464" s="31">
        <v>0.333</v>
      </c>
      <c r="K464" s="31">
        <v>1.0</v>
      </c>
      <c r="L464" s="4" t="str">
        <f>IMAGE("https://drive.google.com/uc?export=view&amp;id=1BDtDqRDrKNxL-hr9H1cnCWGDkumodxUz")</f>
        <v/>
      </c>
    </row>
    <row r="465" ht="22.5" customHeight="1">
      <c r="A465" s="4">
        <v>464.0</v>
      </c>
      <c r="B465" s="3" t="s">
        <v>8</v>
      </c>
      <c r="C465" s="3">
        <v>32.0</v>
      </c>
      <c r="D465" s="3">
        <v>5.0</v>
      </c>
      <c r="E465" s="30" t="s">
        <v>235</v>
      </c>
      <c r="F465" s="30" t="s">
        <v>1051</v>
      </c>
      <c r="G465" s="28" t="s">
        <v>1052</v>
      </c>
      <c r="H465" s="31">
        <v>1.0</v>
      </c>
      <c r="I465" s="31">
        <v>0.993</v>
      </c>
      <c r="J465" s="31">
        <v>1.0</v>
      </c>
      <c r="K465" s="31">
        <v>0.857</v>
      </c>
      <c r="L465" s="4" t="str">
        <f>IMAGE("https://drive.google.com/uc?export=view&amp;id=1cof0_kapLmIGgYTtcBrCme0UqU5kkXsT")</f>
        <v/>
      </c>
    </row>
    <row r="466" ht="22.5" customHeight="1">
      <c r="A466" s="4">
        <v>465.0</v>
      </c>
      <c r="B466" s="3" t="s">
        <v>8</v>
      </c>
      <c r="C466" s="3">
        <v>32.0</v>
      </c>
      <c r="D466" s="3">
        <v>5.0</v>
      </c>
      <c r="E466" s="30" t="s">
        <v>238</v>
      </c>
      <c r="F466" s="30" t="s">
        <v>1053</v>
      </c>
      <c r="G466" s="28" t="s">
        <v>1054</v>
      </c>
      <c r="H466" s="31">
        <v>0.5</v>
      </c>
      <c r="I466" s="31">
        <v>0.817</v>
      </c>
      <c r="J466" s="31">
        <v>1.0</v>
      </c>
      <c r="K466" s="31">
        <v>0.8</v>
      </c>
      <c r="L466" s="4" t="str">
        <f>IMAGE("https://drive.google.com/uc?export=view&amp;id=1dA69W_32D3QnjGN4zzpueefJwvIbxCb5")</f>
        <v/>
      </c>
    </row>
    <row r="467" ht="22.5" customHeight="1">
      <c r="A467" s="4">
        <v>466.0</v>
      </c>
      <c r="B467" s="3" t="s">
        <v>8</v>
      </c>
      <c r="C467" s="3">
        <v>32.0</v>
      </c>
      <c r="D467" s="3">
        <v>5.0</v>
      </c>
      <c r="E467" s="30" t="s">
        <v>241</v>
      </c>
      <c r="F467" s="30" t="s">
        <v>1055</v>
      </c>
      <c r="G467" s="28" t="s">
        <v>1056</v>
      </c>
      <c r="H467" s="31">
        <v>0.8</v>
      </c>
      <c r="I467" s="31">
        <v>0.982</v>
      </c>
      <c r="J467" s="31">
        <v>0.679</v>
      </c>
      <c r="K467" s="31">
        <v>0.75</v>
      </c>
      <c r="L467" s="4" t="str">
        <f>IMAGE("https://drive.google.com/uc?export=view&amp;id=15op180H5sPvR6joWPgeUYN7oFENYLZ7I")</f>
        <v/>
      </c>
    </row>
    <row r="468" ht="22.5" customHeight="1">
      <c r="A468" s="4">
        <v>467.0</v>
      </c>
      <c r="B468" s="3" t="s">
        <v>8</v>
      </c>
      <c r="C468" s="3">
        <v>32.0</v>
      </c>
      <c r="D468" s="3">
        <v>5.0</v>
      </c>
      <c r="E468" s="30" t="s">
        <v>244</v>
      </c>
      <c r="F468" s="30" t="s">
        <v>1057</v>
      </c>
      <c r="G468" s="28" t="s">
        <v>1058</v>
      </c>
      <c r="H468" s="31">
        <v>0.5</v>
      </c>
      <c r="I468" s="31">
        <v>0.992</v>
      </c>
      <c r="J468" s="31">
        <v>0.2</v>
      </c>
      <c r="K468" s="31">
        <v>0.25</v>
      </c>
      <c r="L468" s="4" t="str">
        <f>IMAGE("https://drive.google.com/uc?export=view&amp;id=1xXoaOyfzPug3cAXGMDKaAV-pzEtU_jpc")</f>
        <v/>
      </c>
    </row>
    <row r="469" ht="22.5" customHeight="1">
      <c r="A469" s="4">
        <v>468.0</v>
      </c>
      <c r="B469" s="3" t="s">
        <v>8</v>
      </c>
      <c r="C469" s="3">
        <v>32.0</v>
      </c>
      <c r="D469" s="3">
        <v>5.0</v>
      </c>
      <c r="E469" s="30" t="s">
        <v>247</v>
      </c>
      <c r="F469" s="30" t="s">
        <v>1059</v>
      </c>
      <c r="G469" s="28" t="s">
        <v>1060</v>
      </c>
      <c r="H469" s="31">
        <v>0.684</v>
      </c>
      <c r="I469" s="31">
        <v>0.99</v>
      </c>
      <c r="J469" s="31">
        <v>1.0</v>
      </c>
      <c r="K469" s="31">
        <v>1.0</v>
      </c>
      <c r="L469" s="4" t="str">
        <f>IMAGE("https://drive.google.com/uc?export=view&amp;id=1fPr1rgzbZZU_rATMffjIfPG7Ab1pXYq2")</f>
        <v/>
      </c>
    </row>
    <row r="470" ht="22.5" customHeight="1">
      <c r="A470" s="4">
        <v>469.0</v>
      </c>
      <c r="B470" s="3" t="s">
        <v>8</v>
      </c>
      <c r="C470" s="3">
        <v>32.0</v>
      </c>
      <c r="D470" s="3">
        <v>5.0</v>
      </c>
      <c r="E470" s="30" t="s">
        <v>250</v>
      </c>
      <c r="F470" s="30" t="s">
        <v>1061</v>
      </c>
      <c r="G470" s="28" t="s">
        <v>1062</v>
      </c>
      <c r="H470" s="31">
        <v>0.857</v>
      </c>
      <c r="I470" s="31">
        <v>0.901</v>
      </c>
      <c r="J470" s="31">
        <v>1.0</v>
      </c>
      <c r="K470" s="31">
        <v>0.8</v>
      </c>
      <c r="L470" s="4" t="str">
        <f>IMAGE("https://drive.google.com/uc?export=view&amp;id=1BE9j-rQj3YK8YesGXDbQuhbut3q864LN")</f>
        <v/>
      </c>
    </row>
    <row r="471" ht="22.5" customHeight="1">
      <c r="A471" s="4">
        <v>470.0</v>
      </c>
      <c r="B471" s="3" t="s">
        <v>8</v>
      </c>
      <c r="C471" s="3">
        <v>32.0</v>
      </c>
      <c r="D471" s="3">
        <v>5.0</v>
      </c>
      <c r="E471" s="30" t="s">
        <v>253</v>
      </c>
      <c r="F471" s="30" t="s">
        <v>1063</v>
      </c>
      <c r="G471" s="28" t="s">
        <v>1064</v>
      </c>
      <c r="H471" s="31">
        <v>0.769</v>
      </c>
      <c r="I471" s="31">
        <v>0.97</v>
      </c>
      <c r="J471" s="31">
        <v>0.75</v>
      </c>
      <c r="K471" s="31">
        <v>0.571</v>
      </c>
      <c r="L471" s="4" t="str">
        <f>IMAGE("https://drive.google.com/uc?export=view&amp;id=1_fKMWQ67cvCnU70_8nzxq8SMYfD2kvQY")</f>
        <v/>
      </c>
    </row>
    <row r="472" ht="22.5" customHeight="1">
      <c r="A472" s="4">
        <v>471.0</v>
      </c>
      <c r="B472" s="3" t="s">
        <v>8</v>
      </c>
      <c r="C472" s="3">
        <v>32.0</v>
      </c>
      <c r="D472" s="3">
        <v>5.0</v>
      </c>
      <c r="E472" s="30" t="s">
        <v>256</v>
      </c>
      <c r="F472" s="30" t="s">
        <v>1065</v>
      </c>
      <c r="G472" s="28" t="s">
        <v>1066</v>
      </c>
      <c r="H472" s="31">
        <v>1.0</v>
      </c>
      <c r="I472" s="31">
        <v>1.0</v>
      </c>
      <c r="J472" s="31">
        <v>0.533</v>
      </c>
      <c r="K472" s="31">
        <v>0.75</v>
      </c>
      <c r="L472" s="4" t="str">
        <f>IMAGE("https://drive.google.com/uc?export=view&amp;id=1E8-hprSQ3raemnPJrr3N1r9og9n_J-Ez")</f>
        <v/>
      </c>
    </row>
    <row r="473" ht="22.5" customHeight="1">
      <c r="A473" s="4">
        <v>472.0</v>
      </c>
      <c r="B473" s="3" t="s">
        <v>8</v>
      </c>
      <c r="C473" s="3">
        <v>32.0</v>
      </c>
      <c r="D473" s="3">
        <v>5.0</v>
      </c>
      <c r="E473" s="30" t="s">
        <v>259</v>
      </c>
      <c r="F473" s="30" t="s">
        <v>1067</v>
      </c>
      <c r="G473" s="28" t="s">
        <v>1068</v>
      </c>
      <c r="H473" s="31">
        <v>0.8</v>
      </c>
      <c r="I473" s="31">
        <v>0.996</v>
      </c>
      <c r="J473" s="31">
        <v>0.804</v>
      </c>
      <c r="K473" s="31">
        <v>0.8</v>
      </c>
      <c r="L473" s="4" t="str">
        <f>IMAGE("https://drive.google.com/uc?export=view&amp;id=12Syhs6A6r-lrZzIyGP7KjAHp39pAy8n6")</f>
        <v/>
      </c>
    </row>
    <row r="474" ht="22.5" customHeight="1">
      <c r="A474" s="4">
        <v>473.0</v>
      </c>
      <c r="B474" s="3" t="s">
        <v>8</v>
      </c>
      <c r="C474" s="3">
        <v>32.0</v>
      </c>
      <c r="D474" s="3">
        <v>5.0</v>
      </c>
      <c r="E474" s="30" t="s">
        <v>262</v>
      </c>
      <c r="F474" s="30" t="s">
        <v>1069</v>
      </c>
      <c r="G474" s="28" t="s">
        <v>1070</v>
      </c>
      <c r="H474" s="31">
        <v>0.667</v>
      </c>
      <c r="I474" s="31">
        <v>1.0</v>
      </c>
      <c r="J474" s="31">
        <v>0.7</v>
      </c>
      <c r="K474" s="31">
        <v>1.0</v>
      </c>
      <c r="L474" s="4" t="str">
        <f>IMAGE("https://drive.google.com/uc?export=view&amp;id=1VLf7IOJyhirBw7lnU8DE0hjP0bmV0Ytq")</f>
        <v/>
      </c>
    </row>
    <row r="475" ht="22.5" customHeight="1">
      <c r="A475" s="4">
        <v>474.0</v>
      </c>
      <c r="B475" s="3" t="s">
        <v>8</v>
      </c>
      <c r="C475" s="3">
        <v>32.0</v>
      </c>
      <c r="D475" s="3">
        <v>5.0</v>
      </c>
      <c r="E475" s="30" t="s">
        <v>265</v>
      </c>
      <c r="F475" s="30" t="s">
        <v>1071</v>
      </c>
      <c r="G475" s="28" t="s">
        <v>1072</v>
      </c>
      <c r="H475" s="31">
        <v>0.167</v>
      </c>
      <c r="I475" s="31">
        <v>0.875</v>
      </c>
      <c r="J475" s="31">
        <v>0.75</v>
      </c>
      <c r="K475" s="31">
        <v>0.75</v>
      </c>
      <c r="L475" s="4" t="str">
        <f>IMAGE("https://drive.google.com/uc?export=view&amp;id=1HFkD3qTOM_neGuYNF4Yb194t--DPZiiY")</f>
        <v/>
      </c>
    </row>
    <row r="476" ht="22.5" customHeight="1">
      <c r="A476" s="4">
        <v>475.0</v>
      </c>
      <c r="B476" s="3" t="s">
        <v>8</v>
      </c>
      <c r="C476" s="3">
        <v>32.0</v>
      </c>
      <c r="D476" s="3">
        <v>5.0</v>
      </c>
      <c r="E476" s="30" t="s">
        <v>268</v>
      </c>
      <c r="F476" s="30" t="s">
        <v>1073</v>
      </c>
      <c r="G476" s="28" t="s">
        <v>1074</v>
      </c>
      <c r="H476" s="31">
        <v>0.81</v>
      </c>
      <c r="I476" s="31">
        <v>0.859</v>
      </c>
      <c r="J476" s="31">
        <v>1.0</v>
      </c>
      <c r="K476" s="31">
        <v>1.0</v>
      </c>
      <c r="L476" s="4" t="str">
        <f>IMAGE("https://drive.google.com/uc?export=view&amp;id=1XT2IDBAQU35ToGtmoQBap6ytmnTClLP0")</f>
        <v/>
      </c>
    </row>
    <row r="477" ht="22.5" customHeight="1">
      <c r="A477" s="4">
        <v>476.0</v>
      </c>
      <c r="B477" s="3" t="s">
        <v>8</v>
      </c>
      <c r="C477" s="3">
        <v>32.0</v>
      </c>
      <c r="D477" s="3">
        <v>5.0</v>
      </c>
      <c r="E477" s="30" t="s">
        <v>271</v>
      </c>
      <c r="F477" s="30" t="s">
        <v>1075</v>
      </c>
      <c r="G477" s="28" t="s">
        <v>1076</v>
      </c>
      <c r="H477" s="31">
        <v>0.765</v>
      </c>
      <c r="I477" s="31">
        <v>0.906</v>
      </c>
      <c r="J477" s="31">
        <v>1.0</v>
      </c>
      <c r="K477" s="31">
        <v>0.571</v>
      </c>
      <c r="L477" s="4" t="str">
        <f>IMAGE("https://drive.google.com/uc?export=view&amp;id=1SsLF84TuSy9lXvBj45oT2cBj8BOQIq0X")</f>
        <v/>
      </c>
    </row>
    <row r="478" ht="22.5" customHeight="1">
      <c r="A478" s="4">
        <v>477.0</v>
      </c>
      <c r="B478" s="3" t="s">
        <v>8</v>
      </c>
      <c r="C478" s="3">
        <v>32.0</v>
      </c>
      <c r="D478" s="3">
        <v>5.0</v>
      </c>
      <c r="E478" s="30" t="s">
        <v>274</v>
      </c>
      <c r="F478" s="30" t="s">
        <v>1077</v>
      </c>
      <c r="G478" s="28" t="s">
        <v>1078</v>
      </c>
      <c r="H478" s="31">
        <v>0.0</v>
      </c>
      <c r="I478" s="31">
        <v>0.622</v>
      </c>
      <c r="J478" s="31">
        <v>0.0</v>
      </c>
      <c r="K478" s="31">
        <v>1.0</v>
      </c>
      <c r="L478" s="4" t="str">
        <f>IMAGE("https://drive.google.com/uc?export=view&amp;id=1TYLpXJRFHhns-YiMRl-OQz1HyMqdvGFS")</f>
        <v/>
      </c>
    </row>
    <row r="479" ht="22.5" customHeight="1">
      <c r="A479" s="4">
        <v>478.0</v>
      </c>
      <c r="B479" s="3" t="s">
        <v>8</v>
      </c>
      <c r="C479" s="3">
        <v>32.0</v>
      </c>
      <c r="D479" s="3">
        <v>5.0</v>
      </c>
      <c r="E479" s="30" t="s">
        <v>277</v>
      </c>
      <c r="F479" s="30" t="s">
        <v>1079</v>
      </c>
      <c r="G479" s="28" t="s">
        <v>1080</v>
      </c>
      <c r="H479" s="31">
        <v>0.875</v>
      </c>
      <c r="I479" s="31">
        <v>0.721</v>
      </c>
      <c r="J479" s="31">
        <v>0.325</v>
      </c>
      <c r="K479" s="31">
        <v>1.0</v>
      </c>
      <c r="L479" s="4" t="str">
        <f>IMAGE("https://drive.google.com/uc?export=view&amp;id=1pEWdmlOwV0a6FqNzDAYWY-L6XNEYZ5nf")</f>
        <v/>
      </c>
    </row>
    <row r="480" ht="22.5" customHeight="1">
      <c r="A480" s="4">
        <v>479.0</v>
      </c>
      <c r="B480" s="3" t="s">
        <v>8</v>
      </c>
      <c r="C480" s="3">
        <v>32.0</v>
      </c>
      <c r="D480" s="3">
        <v>5.0</v>
      </c>
      <c r="E480" s="30" t="s">
        <v>280</v>
      </c>
      <c r="F480" s="30" t="s">
        <v>1081</v>
      </c>
      <c r="G480" s="28" t="s">
        <v>1082</v>
      </c>
      <c r="H480" s="31">
        <v>1.0</v>
      </c>
      <c r="I480" s="31">
        <v>0.803</v>
      </c>
      <c r="J480" s="31">
        <v>1.0</v>
      </c>
      <c r="K480" s="31">
        <v>0.167</v>
      </c>
      <c r="L480" s="4" t="str">
        <f>IMAGE("https://drive.google.com/uc?export=view&amp;id=10ideIKge0MCTAdh-brdwzwkvozRdUpMD")</f>
        <v/>
      </c>
    </row>
    <row r="481" ht="22.5" customHeight="1">
      <c r="A481" s="4">
        <v>480.0</v>
      </c>
      <c r="B481" s="3" t="s">
        <v>8</v>
      </c>
      <c r="C481" s="3">
        <v>32.0</v>
      </c>
      <c r="D481" s="3">
        <v>5.0</v>
      </c>
      <c r="E481" s="30" t="s">
        <v>283</v>
      </c>
      <c r="F481" s="30" t="s">
        <v>1083</v>
      </c>
      <c r="G481" s="28" t="s">
        <v>1084</v>
      </c>
      <c r="H481" s="31">
        <v>0.727</v>
      </c>
      <c r="I481" s="31">
        <v>1.0</v>
      </c>
      <c r="J481" s="31">
        <v>0.45</v>
      </c>
      <c r="K481" s="31">
        <v>1.0</v>
      </c>
      <c r="L481" s="4" t="str">
        <f>IMAGE("https://drive.google.com/uc?export=view&amp;id=1jtPIcBcfTp-FJGydL_bvr3hL7_QcrN3i")</f>
        <v/>
      </c>
    </row>
    <row r="482" ht="22.5" customHeight="1">
      <c r="A482" s="4">
        <v>481.0</v>
      </c>
      <c r="B482" s="3" t="s">
        <v>8</v>
      </c>
      <c r="C482" s="3">
        <v>64.0</v>
      </c>
      <c r="D482" s="3">
        <v>3.0</v>
      </c>
      <c r="E482" s="5" t="s">
        <v>46</v>
      </c>
      <c r="F482" s="5" t="s">
        <v>1085</v>
      </c>
      <c r="G482" s="5" t="s">
        <v>1086</v>
      </c>
      <c r="H482" s="27">
        <v>1.0</v>
      </c>
      <c r="I482" s="27">
        <v>0.989</v>
      </c>
      <c r="J482" s="27">
        <v>1.0</v>
      </c>
      <c r="K482" s="27">
        <v>1.0</v>
      </c>
      <c r="L482" s="4" t="str">
        <f>IMAGE("https://drive.google.com/uc?export=view&amp;id=1rXwc2KepCQHjbo_S0oa9EO3cMlFopCQ-")</f>
        <v/>
      </c>
    </row>
    <row r="483" ht="22.5" customHeight="1">
      <c r="A483" s="4">
        <v>482.0</v>
      </c>
      <c r="B483" s="3" t="s">
        <v>8</v>
      </c>
      <c r="C483" s="3">
        <v>64.0</v>
      </c>
      <c r="D483" s="3">
        <v>3.0</v>
      </c>
      <c r="E483" s="5" t="s">
        <v>49</v>
      </c>
      <c r="F483" s="5" t="s">
        <v>1087</v>
      </c>
      <c r="G483" s="5" t="s">
        <v>1088</v>
      </c>
      <c r="H483" s="27">
        <v>0.111</v>
      </c>
      <c r="I483" s="27">
        <v>1.0</v>
      </c>
      <c r="J483" s="27">
        <v>0.5</v>
      </c>
      <c r="K483" s="27">
        <v>0.5</v>
      </c>
      <c r="L483" s="4" t="str">
        <f>IMAGE("https://drive.google.com/uc?export=view&amp;id=1TGXOcLD6XH8Qr5U6MnlCVL7jSDwBRZEm")</f>
        <v/>
      </c>
    </row>
    <row r="484" ht="22.5" customHeight="1">
      <c r="A484" s="4">
        <v>483.0</v>
      </c>
      <c r="B484" s="3" t="s">
        <v>8</v>
      </c>
      <c r="C484" s="3">
        <v>64.0</v>
      </c>
      <c r="D484" s="3">
        <v>3.0</v>
      </c>
      <c r="E484" s="5" t="s">
        <v>52</v>
      </c>
      <c r="F484" s="5" t="s">
        <v>1089</v>
      </c>
      <c r="G484" s="5" t="s">
        <v>1090</v>
      </c>
      <c r="H484" s="27">
        <v>0.529</v>
      </c>
      <c r="I484" s="27">
        <v>0.844</v>
      </c>
      <c r="J484" s="27">
        <v>1.0</v>
      </c>
      <c r="K484" s="27">
        <v>0.4</v>
      </c>
      <c r="L484" s="4" t="str">
        <f>IMAGE("https://drive.google.com/uc?export=view&amp;id=1sL7sve1ukprGuMZLpFuo0oQTWJ_rggtV")</f>
        <v/>
      </c>
    </row>
    <row r="485" ht="22.5" customHeight="1">
      <c r="A485" s="4">
        <v>484.0</v>
      </c>
      <c r="B485" s="3" t="s">
        <v>8</v>
      </c>
      <c r="C485" s="3">
        <v>64.0</v>
      </c>
      <c r="D485" s="3">
        <v>3.0</v>
      </c>
      <c r="E485" s="5" t="s">
        <v>55</v>
      </c>
      <c r="F485" s="5" t="s">
        <v>1091</v>
      </c>
      <c r="G485" s="5" t="s">
        <v>1092</v>
      </c>
      <c r="H485" s="27">
        <v>0.438</v>
      </c>
      <c r="I485" s="27">
        <v>1.0</v>
      </c>
      <c r="J485" s="27">
        <v>1.0</v>
      </c>
      <c r="K485" s="27">
        <v>1.0</v>
      </c>
      <c r="L485" s="4" t="str">
        <f>IMAGE("https://drive.google.com/uc?export=view&amp;id=1q_3r6AZ5xgnq6x-ISS7APw5SrJbNCqZ6")</f>
        <v/>
      </c>
    </row>
    <row r="486" ht="22.5" customHeight="1">
      <c r="A486" s="4">
        <v>485.0</v>
      </c>
      <c r="B486" s="3" t="s">
        <v>8</v>
      </c>
      <c r="C486" s="3">
        <v>64.0</v>
      </c>
      <c r="D486" s="3">
        <v>3.0</v>
      </c>
      <c r="E486" s="5" t="s">
        <v>58</v>
      </c>
      <c r="F486" s="5" t="s">
        <v>1093</v>
      </c>
      <c r="G486" s="5" t="s">
        <v>1094</v>
      </c>
      <c r="H486" s="27">
        <v>1.0</v>
      </c>
      <c r="I486" s="27">
        <v>0.876</v>
      </c>
      <c r="J486" s="27">
        <v>1.0</v>
      </c>
      <c r="K486" s="27">
        <v>0.857</v>
      </c>
      <c r="L486" s="4" t="str">
        <f>IMAGE("https://drive.google.com/uc?export=view&amp;id=1z3_cwm3CEfL8KRUUUoSYdcStzl_0vjYh")</f>
        <v/>
      </c>
    </row>
    <row r="487" ht="22.5" customHeight="1">
      <c r="A487" s="4">
        <v>486.0</v>
      </c>
      <c r="B487" s="3" t="s">
        <v>8</v>
      </c>
      <c r="C487" s="3">
        <v>64.0</v>
      </c>
      <c r="D487" s="3">
        <v>3.0</v>
      </c>
      <c r="E487" s="5" t="s">
        <v>64</v>
      </c>
      <c r="F487" s="5" t="s">
        <v>1095</v>
      </c>
      <c r="G487" s="5" t="s">
        <v>1096</v>
      </c>
      <c r="H487" s="27">
        <v>1.0</v>
      </c>
      <c r="I487" s="27">
        <v>0.474</v>
      </c>
      <c r="J487" s="27">
        <v>1.0</v>
      </c>
      <c r="K487" s="27">
        <v>0.857</v>
      </c>
      <c r="L487" s="4" t="str">
        <f>IMAGE("https://drive.google.com/uc?export=view&amp;id=1y51faqzdwFIofLNoTIXrYGdRsxQcB1ZX")</f>
        <v/>
      </c>
    </row>
    <row r="488" ht="22.5" customHeight="1">
      <c r="A488" s="4">
        <v>487.0</v>
      </c>
      <c r="B488" s="3" t="s">
        <v>8</v>
      </c>
      <c r="C488" s="3">
        <v>64.0</v>
      </c>
      <c r="D488" s="3">
        <v>3.0</v>
      </c>
      <c r="E488" s="5" t="s">
        <v>67</v>
      </c>
      <c r="F488" s="5" t="s">
        <v>1097</v>
      </c>
      <c r="G488" s="5" t="s">
        <v>1098</v>
      </c>
      <c r="H488" s="27">
        <v>0.25</v>
      </c>
      <c r="I488" s="27">
        <v>0.891</v>
      </c>
      <c r="J488" s="27">
        <v>1.0</v>
      </c>
      <c r="K488" s="27">
        <v>1.0</v>
      </c>
      <c r="L488" s="4" t="str">
        <f>IMAGE("https://drive.google.com/uc?export=view&amp;id=1yZmZY5Qa_0FWoIFDEbvi_xM2SkxaCECl")</f>
        <v/>
      </c>
    </row>
    <row r="489" ht="22.5" customHeight="1">
      <c r="A489" s="4">
        <v>488.0</v>
      </c>
      <c r="B489" s="3" t="s">
        <v>8</v>
      </c>
      <c r="C489" s="3">
        <v>64.0</v>
      </c>
      <c r="D489" s="3">
        <v>3.0</v>
      </c>
      <c r="E489" s="5" t="s">
        <v>70</v>
      </c>
      <c r="F489" s="5" t="s">
        <v>1099</v>
      </c>
      <c r="G489" s="5" t="s">
        <v>1100</v>
      </c>
      <c r="H489" s="27">
        <v>0.917</v>
      </c>
      <c r="I489" s="27">
        <v>0.503</v>
      </c>
      <c r="J489" s="27">
        <v>1.0</v>
      </c>
      <c r="K489" s="27">
        <v>0.833</v>
      </c>
      <c r="L489" s="4" t="str">
        <f>IMAGE("https://drive.google.com/uc?export=view&amp;id=17wlvcyFQ5_zKC543hOFLeMOKel3G6NJ_")</f>
        <v/>
      </c>
    </row>
    <row r="490" ht="22.5" customHeight="1">
      <c r="A490" s="4">
        <v>489.0</v>
      </c>
      <c r="B490" s="3" t="s">
        <v>8</v>
      </c>
      <c r="C490" s="3">
        <v>64.0</v>
      </c>
      <c r="D490" s="3">
        <v>3.0</v>
      </c>
      <c r="E490" s="5" t="s">
        <v>73</v>
      </c>
      <c r="F490" s="5" t="s">
        <v>1101</v>
      </c>
      <c r="G490" s="5" t="s">
        <v>1102</v>
      </c>
      <c r="H490" s="27">
        <v>0.905</v>
      </c>
      <c r="I490" s="27">
        <v>0.876</v>
      </c>
      <c r="J490" s="27">
        <v>1.0</v>
      </c>
      <c r="K490" s="27">
        <v>0.556</v>
      </c>
      <c r="L490" s="4" t="str">
        <f>IMAGE("https://drive.google.com/uc?export=view&amp;id=1DZZKFVysrferPzkhtHF6mAaYRMw-926Z")</f>
        <v/>
      </c>
    </row>
    <row r="491" ht="22.5" customHeight="1">
      <c r="A491" s="4">
        <v>490.0</v>
      </c>
      <c r="B491" s="3" t="s">
        <v>8</v>
      </c>
      <c r="C491" s="3">
        <v>64.0</v>
      </c>
      <c r="D491" s="3">
        <v>3.0</v>
      </c>
      <c r="E491" s="5" t="s">
        <v>76</v>
      </c>
      <c r="F491" s="5" t="s">
        <v>1103</v>
      </c>
      <c r="G491" s="5" t="s">
        <v>1104</v>
      </c>
      <c r="H491" s="27">
        <v>1.0</v>
      </c>
      <c r="I491" s="27">
        <v>0.682</v>
      </c>
      <c r="J491" s="27">
        <v>1.0</v>
      </c>
      <c r="K491" s="27">
        <v>1.0</v>
      </c>
      <c r="L491" s="4" t="str">
        <f>IMAGE("https://drive.google.com/uc?export=view&amp;id=1b7sm1db3_4GcvfeBEV7cmONz_N8RxPS6")</f>
        <v/>
      </c>
    </row>
    <row r="492" ht="22.5" customHeight="1">
      <c r="A492" s="4">
        <v>491.0</v>
      </c>
      <c r="B492" s="3" t="s">
        <v>8</v>
      </c>
      <c r="C492" s="3">
        <v>64.0</v>
      </c>
      <c r="D492" s="3">
        <v>3.0</v>
      </c>
      <c r="E492" s="5" t="s">
        <v>79</v>
      </c>
      <c r="F492" s="5" t="s">
        <v>1105</v>
      </c>
      <c r="G492" s="5" t="s">
        <v>1106</v>
      </c>
      <c r="H492" s="27">
        <v>0.692</v>
      </c>
      <c r="I492" s="27">
        <v>1.0</v>
      </c>
      <c r="J492" s="27">
        <v>1.0</v>
      </c>
      <c r="K492" s="27">
        <v>0.8</v>
      </c>
      <c r="L492" s="4" t="str">
        <f>IMAGE("https://drive.google.com/uc?export=view&amp;id=18XTA5FfCatJ-pcc4DwnkBxrqVgkK8p9j")</f>
        <v/>
      </c>
    </row>
    <row r="493" ht="22.5" customHeight="1">
      <c r="A493" s="4">
        <v>492.0</v>
      </c>
      <c r="B493" s="3" t="s">
        <v>8</v>
      </c>
      <c r="C493" s="3">
        <v>64.0</v>
      </c>
      <c r="D493" s="3">
        <v>3.0</v>
      </c>
      <c r="E493" s="5" t="s">
        <v>82</v>
      </c>
      <c r="F493" s="5" t="s">
        <v>1107</v>
      </c>
      <c r="G493" s="5" t="s">
        <v>1108</v>
      </c>
      <c r="H493" s="27">
        <v>1.0</v>
      </c>
      <c r="I493" s="27">
        <v>0.811</v>
      </c>
      <c r="J493" s="27">
        <v>1.0</v>
      </c>
      <c r="K493" s="27">
        <v>1.0</v>
      </c>
      <c r="L493" s="4" t="str">
        <f>IMAGE("https://drive.google.com/uc?export=view&amp;id=1URGr56kOeOvhZa9QM-ihA8s6Q9J9Li30")</f>
        <v/>
      </c>
    </row>
    <row r="494" ht="22.5" customHeight="1">
      <c r="A494" s="4">
        <v>493.0</v>
      </c>
      <c r="B494" s="3" t="s">
        <v>8</v>
      </c>
      <c r="C494" s="3">
        <v>64.0</v>
      </c>
      <c r="D494" s="3">
        <v>3.0</v>
      </c>
      <c r="E494" s="5" t="s">
        <v>85</v>
      </c>
      <c r="F494" s="5" t="s">
        <v>1109</v>
      </c>
      <c r="G494" s="5" t="s">
        <v>1110</v>
      </c>
      <c r="H494" s="27">
        <v>0.273</v>
      </c>
      <c r="I494" s="27">
        <v>0.985</v>
      </c>
      <c r="J494" s="27">
        <v>0.333</v>
      </c>
      <c r="K494" s="27">
        <v>0.0</v>
      </c>
      <c r="L494" s="4" t="str">
        <f>IMAGE("https://drive.google.com/uc?export=view&amp;id=194SVOoGDuv-GBFOf1ZF5MoxucsFyTYOt")</f>
        <v/>
      </c>
    </row>
    <row r="495" ht="22.5" customHeight="1">
      <c r="A495" s="4">
        <v>494.0</v>
      </c>
      <c r="B495" s="3" t="s">
        <v>8</v>
      </c>
      <c r="C495" s="3">
        <v>64.0</v>
      </c>
      <c r="D495" s="3">
        <v>3.0</v>
      </c>
      <c r="E495" s="5" t="s">
        <v>88</v>
      </c>
      <c r="F495" s="5" t="s">
        <v>1111</v>
      </c>
      <c r="G495" s="5" t="s">
        <v>1112</v>
      </c>
      <c r="H495" s="27">
        <v>0.611</v>
      </c>
      <c r="I495" s="27">
        <v>0.807</v>
      </c>
      <c r="J495" s="27">
        <v>1.0</v>
      </c>
      <c r="K495" s="27">
        <v>1.0</v>
      </c>
      <c r="L495" s="4" t="str">
        <f>IMAGE("https://drive.google.com/uc?export=view&amp;id=1OZlvisRPkp8HBDJFCMvV7rR99x8ljFRU")</f>
        <v/>
      </c>
    </row>
    <row r="496" ht="22.5" customHeight="1">
      <c r="A496" s="4">
        <v>495.0</v>
      </c>
      <c r="B496" s="3" t="s">
        <v>8</v>
      </c>
      <c r="C496" s="3">
        <v>64.0</v>
      </c>
      <c r="D496" s="3">
        <v>3.0</v>
      </c>
      <c r="E496" s="5" t="s">
        <v>91</v>
      </c>
      <c r="F496" s="5" t="s">
        <v>1113</v>
      </c>
      <c r="G496" s="5" t="s">
        <v>1114</v>
      </c>
      <c r="H496" s="27">
        <v>0.333</v>
      </c>
      <c r="I496" s="27">
        <v>0.997</v>
      </c>
      <c r="J496" s="27">
        <v>1.0</v>
      </c>
      <c r="K496" s="27">
        <v>1.0</v>
      </c>
      <c r="L496" s="4" t="str">
        <f>IMAGE("https://drive.google.com/uc?export=view&amp;id=1YJzsA2LwSrMCiI_WnGoDCA-wQehRzjBn")</f>
        <v/>
      </c>
    </row>
    <row r="497" ht="22.5" customHeight="1">
      <c r="A497" s="4">
        <v>496.0</v>
      </c>
      <c r="B497" s="3" t="s">
        <v>8</v>
      </c>
      <c r="C497" s="3">
        <v>64.0</v>
      </c>
      <c r="D497" s="3">
        <v>3.0</v>
      </c>
      <c r="E497" s="5" t="s">
        <v>94</v>
      </c>
      <c r="F497" s="5" t="s">
        <v>1115</v>
      </c>
      <c r="G497" s="5" t="s">
        <v>1116</v>
      </c>
      <c r="H497" s="27">
        <v>0.474</v>
      </c>
      <c r="I497" s="27">
        <v>0.889</v>
      </c>
      <c r="J497" s="27">
        <v>1.0</v>
      </c>
      <c r="K497" s="27">
        <v>0.8</v>
      </c>
      <c r="L497" s="4" t="str">
        <f>IMAGE("https://drive.google.com/uc?export=view&amp;id=1_qJu3lMjLrNg-57tqf6z8X324k4bX3Xt")</f>
        <v/>
      </c>
    </row>
    <row r="498" ht="22.5" customHeight="1">
      <c r="A498" s="4">
        <v>497.0</v>
      </c>
      <c r="B498" s="3" t="s">
        <v>8</v>
      </c>
      <c r="C498" s="3">
        <v>64.0</v>
      </c>
      <c r="D498" s="3">
        <v>3.0</v>
      </c>
      <c r="E498" s="5" t="s">
        <v>61</v>
      </c>
      <c r="F498" s="5" t="s">
        <v>1117</v>
      </c>
      <c r="G498" s="5" t="s">
        <v>1118</v>
      </c>
      <c r="H498" s="27">
        <v>0.667</v>
      </c>
      <c r="I498" s="27">
        <v>0.998</v>
      </c>
      <c r="J498" s="27">
        <v>1.0</v>
      </c>
      <c r="K498" s="27">
        <v>0.8</v>
      </c>
      <c r="L498" s="4" t="str">
        <f>IMAGE("https://drive.google.com/uc?export=view&amp;id=19CPrkesLCRzuGSboch7PMg4lya6UhfT7")</f>
        <v/>
      </c>
    </row>
    <row r="499" ht="22.5" customHeight="1">
      <c r="A499" s="4">
        <v>498.0</v>
      </c>
      <c r="B499" s="3" t="s">
        <v>8</v>
      </c>
      <c r="C499" s="3">
        <v>64.0</v>
      </c>
      <c r="D499" s="3">
        <v>3.0</v>
      </c>
      <c r="E499" s="5" t="s">
        <v>97</v>
      </c>
      <c r="F499" s="5" t="s">
        <v>1119</v>
      </c>
      <c r="G499" s="5" t="s">
        <v>1120</v>
      </c>
      <c r="H499" s="27">
        <v>0.917</v>
      </c>
      <c r="I499" s="27">
        <v>0.851</v>
      </c>
      <c r="J499" s="27">
        <v>1.0</v>
      </c>
      <c r="K499" s="27">
        <v>1.0</v>
      </c>
      <c r="L499" s="4" t="str">
        <f>IMAGE("https://drive.google.com/uc?export=view&amp;id=1NmDk99ntZkIj0Mfeeuwg0VdFntICwU3O")</f>
        <v/>
      </c>
    </row>
    <row r="500" ht="22.5" customHeight="1">
      <c r="A500" s="4">
        <v>499.0</v>
      </c>
      <c r="B500" s="3" t="s">
        <v>8</v>
      </c>
      <c r="C500" s="3">
        <v>64.0</v>
      </c>
      <c r="D500" s="3">
        <v>3.0</v>
      </c>
      <c r="E500" s="5" t="s">
        <v>100</v>
      </c>
      <c r="F500" s="5" t="s">
        <v>1121</v>
      </c>
      <c r="G500" s="5" t="s">
        <v>1122</v>
      </c>
      <c r="H500" s="27">
        <v>0.556</v>
      </c>
      <c r="I500" s="27">
        <v>0.962</v>
      </c>
      <c r="J500" s="27">
        <v>1.0</v>
      </c>
      <c r="K500" s="27">
        <v>1.0</v>
      </c>
      <c r="L500" s="4" t="str">
        <f>IMAGE("https://drive.google.com/uc?export=view&amp;id=1AbKrb-jE5fOIJfHZmbMbTOP6O-kotcpk")</f>
        <v/>
      </c>
    </row>
    <row r="501" ht="22.5" customHeight="1">
      <c r="A501" s="4">
        <v>500.0</v>
      </c>
      <c r="B501" s="3" t="s">
        <v>8</v>
      </c>
      <c r="C501" s="3">
        <v>64.0</v>
      </c>
      <c r="D501" s="3">
        <v>3.0</v>
      </c>
      <c r="E501" s="5" t="s">
        <v>115</v>
      </c>
      <c r="F501" s="5" t="s">
        <v>1123</v>
      </c>
      <c r="G501" s="5" t="s">
        <v>1124</v>
      </c>
      <c r="H501" s="27">
        <v>0.5</v>
      </c>
      <c r="I501" s="27">
        <v>0.979</v>
      </c>
      <c r="J501" s="27">
        <v>1.0</v>
      </c>
      <c r="K501" s="27">
        <v>1.0</v>
      </c>
      <c r="L501" s="4" t="str">
        <f>IMAGE("https://drive.google.com/uc?export=view&amp;id=1JkfnyBRgI2u4R2pruw-Uy1cZ0bJ2XvQK")</f>
        <v/>
      </c>
    </row>
    <row r="502" ht="22.5" customHeight="1">
      <c r="A502" s="4">
        <v>501.0</v>
      </c>
      <c r="B502" s="3" t="s">
        <v>8</v>
      </c>
      <c r="C502" s="3">
        <v>64.0</v>
      </c>
      <c r="D502" s="3">
        <v>3.0</v>
      </c>
      <c r="E502" s="5" t="s">
        <v>103</v>
      </c>
      <c r="F502" s="5" t="s">
        <v>1125</v>
      </c>
      <c r="G502" s="5" t="s">
        <v>1126</v>
      </c>
      <c r="H502" s="27">
        <v>0.556</v>
      </c>
      <c r="I502" s="27">
        <v>0.814</v>
      </c>
      <c r="J502" s="27">
        <v>1.0</v>
      </c>
      <c r="K502" s="27">
        <v>1.0</v>
      </c>
      <c r="L502" s="4" t="str">
        <f>IMAGE("https://drive.google.com/uc?export=view&amp;id=1hMgzPwBsE7ZOpVVFwxKX4ZLl989OoOYL")</f>
        <v/>
      </c>
    </row>
    <row r="503" ht="22.5" customHeight="1">
      <c r="A503" s="4">
        <v>502.0</v>
      </c>
      <c r="B503" s="3" t="s">
        <v>8</v>
      </c>
      <c r="C503" s="3">
        <v>64.0</v>
      </c>
      <c r="D503" s="3">
        <v>3.0</v>
      </c>
      <c r="E503" s="5" t="s">
        <v>106</v>
      </c>
      <c r="F503" s="5" t="s">
        <v>1127</v>
      </c>
      <c r="G503" s="5" t="s">
        <v>1128</v>
      </c>
      <c r="H503" s="27">
        <v>0.444</v>
      </c>
      <c r="I503" s="27">
        <v>0.0</v>
      </c>
      <c r="J503" s="27">
        <v>0.0</v>
      </c>
      <c r="K503" s="27">
        <v>0.667</v>
      </c>
      <c r="L503" s="4" t="str">
        <f>IMAGE("https://drive.google.com/uc?export=view&amp;id=1eH0fE7w-5Jucww9xPf1pb0nBUqAdLuDy")</f>
        <v/>
      </c>
    </row>
    <row r="504" ht="22.5" customHeight="1">
      <c r="A504" s="4">
        <v>503.0</v>
      </c>
      <c r="B504" s="3" t="s">
        <v>8</v>
      </c>
      <c r="C504" s="3">
        <v>64.0</v>
      </c>
      <c r="D504" s="3">
        <v>3.0</v>
      </c>
      <c r="E504" s="5" t="s">
        <v>109</v>
      </c>
      <c r="F504" s="5" t="s">
        <v>1129</v>
      </c>
      <c r="G504" s="5" t="s">
        <v>1130</v>
      </c>
      <c r="H504" s="27">
        <v>0.467</v>
      </c>
      <c r="I504" s="27">
        <v>0.0</v>
      </c>
      <c r="J504" s="27">
        <v>1.0</v>
      </c>
      <c r="K504" s="27">
        <v>0.8</v>
      </c>
      <c r="L504" s="4" t="str">
        <f>IMAGE("https://drive.google.com/uc?export=view&amp;id=193xsr14xWG8iVl6l4e0n21_GomTSNEXx")</f>
        <v/>
      </c>
    </row>
    <row r="505" ht="22.5" customHeight="1">
      <c r="A505" s="4">
        <v>504.0</v>
      </c>
      <c r="B505" s="3" t="s">
        <v>8</v>
      </c>
      <c r="C505" s="3">
        <v>64.0</v>
      </c>
      <c r="D505" s="3">
        <v>3.0</v>
      </c>
      <c r="E505" s="5" t="s">
        <v>112</v>
      </c>
      <c r="F505" s="5" t="s">
        <v>1131</v>
      </c>
      <c r="G505" s="5" t="s">
        <v>1132</v>
      </c>
      <c r="H505" s="27">
        <v>0.667</v>
      </c>
      <c r="I505" s="27">
        <v>0.987</v>
      </c>
      <c r="J505" s="27">
        <v>1.0</v>
      </c>
      <c r="K505" s="27">
        <v>1.0</v>
      </c>
      <c r="L505" s="4" t="str">
        <f>IMAGE("https://drive.google.com/uc?export=view&amp;id=1eNBYkyhXxUZM2FFHP31gPQo_4BwB540x")</f>
        <v/>
      </c>
    </row>
    <row r="506" ht="22.5" customHeight="1">
      <c r="A506" s="4">
        <v>505.0</v>
      </c>
      <c r="B506" s="3" t="s">
        <v>8</v>
      </c>
      <c r="C506" s="3">
        <v>64.0</v>
      </c>
      <c r="D506" s="3">
        <v>3.0</v>
      </c>
      <c r="E506" s="5" t="s">
        <v>118</v>
      </c>
      <c r="F506" s="5" t="s">
        <v>1133</v>
      </c>
      <c r="G506" s="5" t="s">
        <v>1134</v>
      </c>
      <c r="H506" s="27">
        <v>0.75</v>
      </c>
      <c r="I506" s="27">
        <v>0.0</v>
      </c>
      <c r="J506" s="27">
        <v>0.0</v>
      </c>
      <c r="K506" s="27">
        <v>0.333</v>
      </c>
      <c r="L506" s="4" t="str">
        <f>IMAGE("https://drive.google.com/uc?export=view&amp;id=1RTSzKpQfGhCnOWPNWuq8U50kxs4uLEcB")</f>
        <v/>
      </c>
    </row>
    <row r="507" ht="22.5" customHeight="1">
      <c r="A507" s="4">
        <v>506.0</v>
      </c>
      <c r="B507" s="3" t="s">
        <v>8</v>
      </c>
      <c r="C507" s="3">
        <v>64.0</v>
      </c>
      <c r="D507" s="3">
        <v>3.0</v>
      </c>
      <c r="E507" s="5" t="s">
        <v>121</v>
      </c>
      <c r="F507" s="5" t="s">
        <v>1135</v>
      </c>
      <c r="G507" s="5" t="s">
        <v>1136</v>
      </c>
      <c r="H507" s="27">
        <v>0.25</v>
      </c>
      <c r="I507" s="27">
        <v>0.978</v>
      </c>
      <c r="J507" s="27">
        <v>0.333</v>
      </c>
      <c r="K507" s="27">
        <v>1.0</v>
      </c>
      <c r="L507" s="4" t="str">
        <f>IMAGE("https://drive.google.com/uc?export=view&amp;id=1rASatqW0Z7TKOp_t_4Gzk8xNExbe_sMS")</f>
        <v/>
      </c>
    </row>
    <row r="508" ht="22.5" customHeight="1">
      <c r="A508" s="4">
        <v>507.0</v>
      </c>
      <c r="B508" s="3" t="s">
        <v>8</v>
      </c>
      <c r="C508" s="3">
        <v>64.0</v>
      </c>
      <c r="D508" s="3">
        <v>3.0</v>
      </c>
      <c r="E508" s="5" t="s">
        <v>124</v>
      </c>
      <c r="F508" s="5" t="s">
        <v>1137</v>
      </c>
      <c r="G508" s="5" t="s">
        <v>1138</v>
      </c>
      <c r="H508" s="27">
        <v>0.833</v>
      </c>
      <c r="I508" s="27">
        <v>0.992</v>
      </c>
      <c r="J508" s="27">
        <v>1.0</v>
      </c>
      <c r="K508" s="27">
        <v>1.0</v>
      </c>
      <c r="L508" s="4" t="str">
        <f>IMAGE("https://drive.google.com/uc?export=view&amp;id=1v-KK0lqUP96CLq8QC5GXa8eCzJCPyVUO")</f>
        <v/>
      </c>
    </row>
    <row r="509" ht="22.5" customHeight="1">
      <c r="A509" s="4">
        <v>508.0</v>
      </c>
      <c r="B509" s="3" t="s">
        <v>8</v>
      </c>
      <c r="C509" s="3">
        <v>64.0</v>
      </c>
      <c r="D509" s="3">
        <v>3.0</v>
      </c>
      <c r="E509" s="5" t="s">
        <v>127</v>
      </c>
      <c r="F509" s="5" t="s">
        <v>1139</v>
      </c>
      <c r="G509" s="5" t="s">
        <v>1140</v>
      </c>
      <c r="H509" s="27">
        <v>0.889</v>
      </c>
      <c r="I509" s="27">
        <v>0.919</v>
      </c>
      <c r="J509" s="27">
        <v>0.833</v>
      </c>
      <c r="K509" s="27">
        <v>0.75</v>
      </c>
      <c r="L509" s="4" t="str">
        <f>IMAGE("https://drive.google.com/uc?export=view&amp;id=18t_oVmRMuh6SUwzHF6nBPEhTgheYDVD5")</f>
        <v/>
      </c>
    </row>
    <row r="510" ht="22.5" customHeight="1">
      <c r="A510" s="4">
        <v>509.0</v>
      </c>
      <c r="B510" s="3" t="s">
        <v>8</v>
      </c>
      <c r="C510" s="3">
        <v>64.0</v>
      </c>
      <c r="D510" s="3">
        <v>3.0</v>
      </c>
      <c r="E510" s="5" t="s">
        <v>130</v>
      </c>
      <c r="F510" s="5" t="s">
        <v>1141</v>
      </c>
      <c r="G510" s="5" t="s">
        <v>1142</v>
      </c>
      <c r="H510" s="27">
        <v>0.462</v>
      </c>
      <c r="I510" s="27">
        <v>0.798</v>
      </c>
      <c r="J510" s="27">
        <v>1.0</v>
      </c>
      <c r="K510" s="27">
        <v>0.667</v>
      </c>
      <c r="L510" s="4" t="str">
        <f>IMAGE("https://drive.google.com/uc?export=view&amp;id=1J8WpbbZm8o4qPFRRW64eHjn6MGlWS7-M")</f>
        <v/>
      </c>
    </row>
    <row r="511" ht="22.5" customHeight="1">
      <c r="A511" s="4">
        <v>510.0</v>
      </c>
      <c r="B511" s="3" t="s">
        <v>8</v>
      </c>
      <c r="C511" s="3">
        <v>64.0</v>
      </c>
      <c r="D511" s="3">
        <v>3.0</v>
      </c>
      <c r="E511" s="5" t="s">
        <v>133</v>
      </c>
      <c r="F511" s="5" t="s">
        <v>1143</v>
      </c>
      <c r="G511" s="5" t="s">
        <v>1144</v>
      </c>
      <c r="H511" s="27">
        <v>1.0</v>
      </c>
      <c r="I511" s="27">
        <v>0.973</v>
      </c>
      <c r="J511" s="27">
        <v>1.0</v>
      </c>
      <c r="K511" s="27">
        <v>0.375</v>
      </c>
      <c r="L511" s="4" t="str">
        <f>IMAGE("https://drive.google.com/uc?export=view&amp;id=1j9Z4y3FNSe9YeVlspAOWGLTmKHzzH0sK")</f>
        <v/>
      </c>
    </row>
    <row r="512" ht="22.5" customHeight="1">
      <c r="A512" s="4">
        <v>511.0</v>
      </c>
      <c r="B512" s="3" t="s">
        <v>8</v>
      </c>
      <c r="C512" s="3">
        <v>64.0</v>
      </c>
      <c r="D512" s="3">
        <v>3.0</v>
      </c>
      <c r="E512" s="5" t="s">
        <v>136</v>
      </c>
      <c r="F512" s="5" t="s">
        <v>1145</v>
      </c>
      <c r="G512" s="5" t="s">
        <v>1146</v>
      </c>
      <c r="H512" s="27">
        <v>0.667</v>
      </c>
      <c r="I512" s="27">
        <v>0.802</v>
      </c>
      <c r="J512" s="27">
        <v>1.0</v>
      </c>
      <c r="K512" s="27">
        <v>1.0</v>
      </c>
      <c r="L512" s="4" t="str">
        <f>IMAGE("https://drive.google.com/uc?export=view&amp;id=1YeC_OB6kQHxBgxgx8doeN5ZC2Lttm9YO")</f>
        <v/>
      </c>
    </row>
    <row r="513" ht="22.5" customHeight="1">
      <c r="A513" s="4">
        <v>512.0</v>
      </c>
      <c r="B513" s="3" t="s">
        <v>8</v>
      </c>
      <c r="C513" s="3">
        <v>64.0</v>
      </c>
      <c r="D513" s="3">
        <v>3.0</v>
      </c>
      <c r="E513" s="5" t="s">
        <v>139</v>
      </c>
      <c r="F513" s="5" t="s">
        <v>1147</v>
      </c>
      <c r="G513" s="5" t="s">
        <v>1148</v>
      </c>
      <c r="H513" s="27">
        <v>1.0</v>
      </c>
      <c r="I513" s="27">
        <v>1.0</v>
      </c>
      <c r="J513" s="27">
        <v>1.0</v>
      </c>
      <c r="K513" s="27">
        <v>0.75</v>
      </c>
      <c r="L513" s="4" t="str">
        <f>IMAGE("https://drive.google.com/uc?export=view&amp;id=1GQNNyfruRu2VCzOpDr1IvFJDtw4T9PHg")</f>
        <v/>
      </c>
    </row>
    <row r="514" ht="22.5" customHeight="1">
      <c r="A514" s="4">
        <v>513.0</v>
      </c>
      <c r="B514" s="3" t="s">
        <v>8</v>
      </c>
      <c r="C514" s="3">
        <v>64.0</v>
      </c>
      <c r="D514" s="3">
        <v>3.0</v>
      </c>
      <c r="E514" s="5" t="s">
        <v>142</v>
      </c>
      <c r="F514" s="5" t="s">
        <v>1149</v>
      </c>
      <c r="G514" s="5" t="s">
        <v>1150</v>
      </c>
      <c r="H514" s="27">
        <v>0.929</v>
      </c>
      <c r="I514" s="27">
        <v>0.8</v>
      </c>
      <c r="J514" s="27">
        <v>1.0</v>
      </c>
      <c r="K514" s="27">
        <v>0.8</v>
      </c>
      <c r="L514" s="4" t="str">
        <f>IMAGE("https://drive.google.com/uc?export=view&amp;id=1FL93PorbJE8H6Ybw-S-c8cP5SMxG92db")</f>
        <v/>
      </c>
    </row>
    <row r="515" ht="22.5" customHeight="1">
      <c r="A515" s="4">
        <v>514.0</v>
      </c>
      <c r="B515" s="3" t="s">
        <v>8</v>
      </c>
      <c r="C515" s="3">
        <v>64.0</v>
      </c>
      <c r="D515" s="3">
        <v>3.0</v>
      </c>
      <c r="E515" s="5" t="s">
        <v>145</v>
      </c>
      <c r="F515" s="5" t="s">
        <v>1151</v>
      </c>
      <c r="G515" s="5" t="s">
        <v>1152</v>
      </c>
      <c r="H515" s="27">
        <v>0.882</v>
      </c>
      <c r="I515" s="27">
        <v>0.998</v>
      </c>
      <c r="J515" s="27">
        <v>1.0</v>
      </c>
      <c r="K515" s="27">
        <v>0.75</v>
      </c>
      <c r="L515" s="4" t="str">
        <f>IMAGE("https://drive.google.com/uc?export=view&amp;id=1ZQgARpbK4F9qgVRHWgueetSGjOaO9IfI")</f>
        <v/>
      </c>
    </row>
    <row r="516" ht="22.5" customHeight="1">
      <c r="A516" s="4">
        <v>515.0</v>
      </c>
      <c r="B516" s="3" t="s">
        <v>8</v>
      </c>
      <c r="C516" s="3">
        <v>64.0</v>
      </c>
      <c r="D516" s="3">
        <v>3.0</v>
      </c>
      <c r="E516" s="5" t="s">
        <v>148</v>
      </c>
      <c r="F516" s="5" t="s">
        <v>1153</v>
      </c>
      <c r="G516" s="5" t="s">
        <v>1154</v>
      </c>
      <c r="H516" s="27">
        <v>0.75</v>
      </c>
      <c r="I516" s="27">
        <v>0.762</v>
      </c>
      <c r="J516" s="27">
        <v>1.0</v>
      </c>
      <c r="K516" s="27">
        <v>1.0</v>
      </c>
      <c r="L516" s="4" t="str">
        <f>IMAGE("https://drive.google.com/uc?export=view&amp;id=1NAjR022rVqMKHfQWJD7XSp1YwsgfiAzx")</f>
        <v/>
      </c>
    </row>
    <row r="517" ht="22.5" customHeight="1">
      <c r="A517" s="4">
        <v>516.0</v>
      </c>
      <c r="B517" s="3" t="s">
        <v>8</v>
      </c>
      <c r="C517" s="3">
        <v>64.0</v>
      </c>
      <c r="D517" s="3">
        <v>3.0</v>
      </c>
      <c r="E517" s="5" t="s">
        <v>151</v>
      </c>
      <c r="F517" s="5" t="s">
        <v>1155</v>
      </c>
      <c r="G517" s="5" t="s">
        <v>1156</v>
      </c>
      <c r="H517" s="27">
        <v>1.0</v>
      </c>
      <c r="I517" s="27">
        <v>0.914</v>
      </c>
      <c r="J517" s="27">
        <v>1.0</v>
      </c>
      <c r="K517" s="27">
        <v>0.833</v>
      </c>
      <c r="L517" s="4" t="str">
        <f>IMAGE("https://drive.google.com/uc?export=view&amp;id=1xmGB8gD4kawe5wnWxtrFMBRvhiLELzCr")</f>
        <v/>
      </c>
    </row>
    <row r="518" ht="22.5" customHeight="1">
      <c r="A518" s="4">
        <v>517.0</v>
      </c>
      <c r="B518" s="3" t="s">
        <v>8</v>
      </c>
      <c r="C518" s="3">
        <v>64.0</v>
      </c>
      <c r="D518" s="3">
        <v>3.0</v>
      </c>
      <c r="E518" s="5" t="s">
        <v>154</v>
      </c>
      <c r="F518" s="5" t="s">
        <v>1157</v>
      </c>
      <c r="G518" s="5" t="s">
        <v>1158</v>
      </c>
      <c r="H518" s="27">
        <v>1.0</v>
      </c>
      <c r="I518" s="27">
        <v>0.949</v>
      </c>
      <c r="J518" s="27">
        <v>1.0</v>
      </c>
      <c r="K518" s="27">
        <v>0.833</v>
      </c>
      <c r="L518" s="4" t="str">
        <f>IMAGE("https://drive.google.com/uc?export=view&amp;id=1qA4Femqi2sRBhMuwnyuK_TCqSsVRrTlZ")</f>
        <v/>
      </c>
    </row>
    <row r="519" ht="22.5" customHeight="1">
      <c r="A519" s="4">
        <v>518.0</v>
      </c>
      <c r="B519" s="3" t="s">
        <v>8</v>
      </c>
      <c r="C519" s="3">
        <v>64.0</v>
      </c>
      <c r="D519" s="3">
        <v>3.0</v>
      </c>
      <c r="E519" s="5" t="s">
        <v>157</v>
      </c>
      <c r="F519" s="5" t="s">
        <v>1159</v>
      </c>
      <c r="G519" s="5" t="s">
        <v>1160</v>
      </c>
      <c r="H519" s="27">
        <v>0.333</v>
      </c>
      <c r="I519" s="27">
        <v>0.654</v>
      </c>
      <c r="J519" s="27">
        <v>0.333</v>
      </c>
      <c r="K519" s="27">
        <v>0.5</v>
      </c>
      <c r="L519" s="4" t="str">
        <f>IMAGE("https://drive.google.com/uc?export=view&amp;id=1q1ti9ncOkHJXze6_Uv8NzeMHemBvPKgH")</f>
        <v/>
      </c>
    </row>
    <row r="520" ht="22.5" customHeight="1">
      <c r="A520" s="4">
        <v>519.0</v>
      </c>
      <c r="B520" s="3" t="s">
        <v>8</v>
      </c>
      <c r="C520" s="3">
        <v>64.0</v>
      </c>
      <c r="D520" s="3">
        <v>3.0</v>
      </c>
      <c r="E520" s="5" t="s">
        <v>160</v>
      </c>
      <c r="F520" s="5" t="s">
        <v>1161</v>
      </c>
      <c r="G520" s="5" t="s">
        <v>1162</v>
      </c>
      <c r="H520" s="27">
        <v>0.556</v>
      </c>
      <c r="I520" s="27">
        <v>0.795</v>
      </c>
      <c r="J520" s="27">
        <v>0.583</v>
      </c>
      <c r="K520" s="27">
        <v>0.75</v>
      </c>
      <c r="L520" s="4" t="str">
        <f>IMAGE("https://drive.google.com/uc?export=view&amp;id=1TlMutgO1U-gE4y5KrYAhu3SWCkSgGgJX")</f>
        <v/>
      </c>
    </row>
    <row r="521" ht="22.5" customHeight="1">
      <c r="A521" s="4">
        <v>520.0</v>
      </c>
      <c r="B521" s="3" t="s">
        <v>8</v>
      </c>
      <c r="C521" s="3">
        <v>64.0</v>
      </c>
      <c r="D521" s="3">
        <v>3.0</v>
      </c>
      <c r="E521" s="5" t="s">
        <v>163</v>
      </c>
      <c r="F521" s="5" t="s">
        <v>1163</v>
      </c>
      <c r="G521" s="5" t="s">
        <v>1164</v>
      </c>
      <c r="H521" s="27">
        <v>0.895</v>
      </c>
      <c r="I521" s="27">
        <v>0.665</v>
      </c>
      <c r="J521" s="27">
        <v>1.0</v>
      </c>
      <c r="K521" s="27">
        <v>0.8</v>
      </c>
      <c r="L521" s="4" t="str">
        <f>IMAGE("https://drive.google.com/uc?export=view&amp;id=1gpf5dZcntxXuQRmIGgJHZruffFJNcOZ8")</f>
        <v/>
      </c>
    </row>
    <row r="522" ht="22.5" customHeight="1">
      <c r="A522" s="4">
        <v>521.0</v>
      </c>
      <c r="B522" s="3" t="s">
        <v>8</v>
      </c>
      <c r="C522" s="3">
        <v>64.0</v>
      </c>
      <c r="D522" s="3">
        <v>3.0</v>
      </c>
      <c r="E522" s="5" t="s">
        <v>166</v>
      </c>
      <c r="F522" s="5" t="s">
        <v>1165</v>
      </c>
      <c r="G522" s="5" t="s">
        <v>1166</v>
      </c>
      <c r="H522" s="27">
        <v>0.154</v>
      </c>
      <c r="I522" s="27">
        <v>1.0</v>
      </c>
      <c r="J522" s="27">
        <v>1.0</v>
      </c>
      <c r="K522" s="27">
        <v>0.667</v>
      </c>
      <c r="L522" s="4" t="str">
        <f>IMAGE("https://drive.google.com/uc?export=view&amp;id=1h6PBG9q7iUSC8C3H001y4kWH3Vk3EhN6")</f>
        <v/>
      </c>
    </row>
    <row r="523" ht="22.5" customHeight="1">
      <c r="A523" s="4">
        <v>522.0</v>
      </c>
      <c r="B523" s="3" t="s">
        <v>8</v>
      </c>
      <c r="C523" s="3">
        <v>64.0</v>
      </c>
      <c r="D523" s="3">
        <v>3.0</v>
      </c>
      <c r="E523" s="5" t="s">
        <v>169</v>
      </c>
      <c r="F523" s="5" t="s">
        <v>1167</v>
      </c>
      <c r="G523" s="5" t="s">
        <v>1168</v>
      </c>
      <c r="H523" s="27">
        <v>0.55</v>
      </c>
      <c r="I523" s="27">
        <v>0.875</v>
      </c>
      <c r="J523" s="27">
        <v>0.333</v>
      </c>
      <c r="K523" s="27">
        <v>0.857</v>
      </c>
      <c r="L523" s="4" t="str">
        <f>IMAGE("https://drive.google.com/uc?export=view&amp;id=10PmKpYMi_Zu_b7d5domaaXZkPEfEu7J0")</f>
        <v/>
      </c>
    </row>
    <row r="524" ht="22.5" customHeight="1">
      <c r="A524" s="4">
        <v>523.0</v>
      </c>
      <c r="B524" s="3" t="s">
        <v>8</v>
      </c>
      <c r="C524" s="3">
        <v>64.0</v>
      </c>
      <c r="D524" s="3">
        <v>3.0</v>
      </c>
      <c r="E524" s="5" t="s">
        <v>172</v>
      </c>
      <c r="F524" s="5" t="s">
        <v>1169</v>
      </c>
      <c r="G524" s="5" t="s">
        <v>1170</v>
      </c>
      <c r="H524" s="27">
        <v>1.0</v>
      </c>
      <c r="I524" s="27">
        <v>0.976</v>
      </c>
      <c r="J524" s="27">
        <v>1.0</v>
      </c>
      <c r="K524" s="27">
        <v>0.0</v>
      </c>
      <c r="L524" s="4" t="str">
        <f>IMAGE("https://drive.google.com/uc?export=view&amp;id=1I6clpa8hdQ2memeoF5FUHO1wTy1fT_5D")</f>
        <v/>
      </c>
    </row>
    <row r="525" ht="22.5" customHeight="1">
      <c r="A525" s="4">
        <v>524.0</v>
      </c>
      <c r="B525" s="3" t="s">
        <v>8</v>
      </c>
      <c r="C525" s="3">
        <v>64.0</v>
      </c>
      <c r="D525" s="3">
        <v>3.0</v>
      </c>
      <c r="E525" s="5" t="s">
        <v>175</v>
      </c>
      <c r="F525" s="5" t="s">
        <v>1171</v>
      </c>
      <c r="G525" s="5" t="s">
        <v>1172</v>
      </c>
      <c r="H525" s="27">
        <v>0.333</v>
      </c>
      <c r="I525" s="27">
        <v>0.837</v>
      </c>
      <c r="J525" s="27">
        <v>0.833</v>
      </c>
      <c r="K525" s="27">
        <v>0.5</v>
      </c>
      <c r="L525" s="4" t="str">
        <f>IMAGE("https://drive.google.com/uc?export=view&amp;id=1YRen-uhDOxEDa78RJdU9xmOZ2YiOFNKo")</f>
        <v/>
      </c>
    </row>
    <row r="526" ht="22.5" customHeight="1">
      <c r="A526" s="4">
        <v>525.0</v>
      </c>
      <c r="B526" s="3" t="s">
        <v>8</v>
      </c>
      <c r="C526" s="3">
        <v>64.0</v>
      </c>
      <c r="D526" s="3">
        <v>3.0</v>
      </c>
      <c r="E526" s="5" t="s">
        <v>178</v>
      </c>
      <c r="F526" s="5" t="s">
        <v>1173</v>
      </c>
      <c r="G526" s="5" t="s">
        <v>1174</v>
      </c>
      <c r="H526" s="27">
        <v>0.636</v>
      </c>
      <c r="I526" s="27">
        <v>0.946</v>
      </c>
      <c r="J526" s="27">
        <v>0.833</v>
      </c>
      <c r="K526" s="27">
        <v>0.0</v>
      </c>
      <c r="L526" s="4" t="str">
        <f>IMAGE("https://drive.google.com/uc?export=view&amp;id=1DTZteJLPUzrZuSTBIVWkwN7COcvFX0fK")</f>
        <v/>
      </c>
    </row>
    <row r="527" ht="22.5" customHeight="1">
      <c r="A527" s="4">
        <v>526.0</v>
      </c>
      <c r="B527" s="3" t="s">
        <v>8</v>
      </c>
      <c r="C527" s="3">
        <v>64.0</v>
      </c>
      <c r="D527" s="3">
        <v>3.0</v>
      </c>
      <c r="E527" s="5" t="s">
        <v>181</v>
      </c>
      <c r="F527" s="5" t="s">
        <v>1175</v>
      </c>
      <c r="G527" s="5" t="s">
        <v>1176</v>
      </c>
      <c r="H527" s="27">
        <v>1.0</v>
      </c>
      <c r="I527" s="27">
        <v>0.818</v>
      </c>
      <c r="J527" s="27">
        <v>1.0</v>
      </c>
      <c r="K527" s="27">
        <v>1.0</v>
      </c>
      <c r="L527" s="4" t="str">
        <f>IMAGE("https://drive.google.com/uc?export=view&amp;id=1Fineull5tDAOQUMARWq9e8CKnv9aAbu8")</f>
        <v/>
      </c>
    </row>
    <row r="528" ht="22.5" customHeight="1">
      <c r="A528" s="4">
        <v>527.0</v>
      </c>
      <c r="B528" s="3" t="s">
        <v>8</v>
      </c>
      <c r="C528" s="3">
        <v>64.0</v>
      </c>
      <c r="D528" s="3">
        <v>3.0</v>
      </c>
      <c r="E528" s="5" t="s">
        <v>184</v>
      </c>
      <c r="F528" s="5" t="s">
        <v>1177</v>
      </c>
      <c r="G528" s="5" t="s">
        <v>1178</v>
      </c>
      <c r="H528" s="27">
        <v>0.3</v>
      </c>
      <c r="I528" s="27">
        <v>0.85</v>
      </c>
      <c r="J528" s="27">
        <v>1.0</v>
      </c>
      <c r="K528" s="27">
        <v>0.333</v>
      </c>
      <c r="L528" s="4" t="str">
        <f>IMAGE("https://drive.google.com/uc?export=view&amp;id=10MkwMfhucKytEH1dVlZ12DZql91x8LIR")</f>
        <v/>
      </c>
    </row>
    <row r="529" ht="22.5" customHeight="1">
      <c r="A529" s="4">
        <v>528.0</v>
      </c>
      <c r="B529" s="3" t="s">
        <v>8</v>
      </c>
      <c r="C529" s="3">
        <v>64.0</v>
      </c>
      <c r="D529" s="3">
        <v>3.0</v>
      </c>
      <c r="E529" s="5" t="s">
        <v>187</v>
      </c>
      <c r="F529" s="5" t="s">
        <v>1179</v>
      </c>
      <c r="G529" s="5" t="s">
        <v>1180</v>
      </c>
      <c r="H529" s="27">
        <v>1.0</v>
      </c>
      <c r="I529" s="27">
        <v>0.682</v>
      </c>
      <c r="J529" s="27">
        <v>1.0</v>
      </c>
      <c r="K529" s="27">
        <v>0.8</v>
      </c>
      <c r="L529" s="4" t="str">
        <f>IMAGE("https://drive.google.com/uc?export=view&amp;id=12wq8xGbtrwefNvEBIaNLWtsh80sUz2_K")</f>
        <v/>
      </c>
    </row>
    <row r="530" ht="22.5" customHeight="1">
      <c r="A530" s="4">
        <v>529.0</v>
      </c>
      <c r="B530" s="3" t="s">
        <v>8</v>
      </c>
      <c r="C530" s="3">
        <v>64.0</v>
      </c>
      <c r="D530" s="3">
        <v>3.0</v>
      </c>
      <c r="E530" s="5" t="s">
        <v>190</v>
      </c>
      <c r="F530" s="5" t="s">
        <v>1181</v>
      </c>
      <c r="G530" s="5" t="s">
        <v>1182</v>
      </c>
      <c r="H530" s="27">
        <v>0.545</v>
      </c>
      <c r="I530" s="27">
        <v>0.908</v>
      </c>
      <c r="J530" s="27">
        <v>1.0</v>
      </c>
      <c r="K530" s="27">
        <v>0.286</v>
      </c>
      <c r="L530" s="4" t="str">
        <f>IMAGE("https://drive.google.com/uc?export=view&amp;id=1Tqd7IhwEoSxyytT3w2jVu236Wxpp0Nn6")</f>
        <v/>
      </c>
    </row>
    <row r="531" ht="22.5" customHeight="1">
      <c r="A531" s="4">
        <v>530.0</v>
      </c>
      <c r="B531" s="3" t="s">
        <v>8</v>
      </c>
      <c r="C531" s="3">
        <v>64.0</v>
      </c>
      <c r="D531" s="3">
        <v>3.0</v>
      </c>
      <c r="E531" s="5" t="s">
        <v>193</v>
      </c>
      <c r="F531" s="5" t="s">
        <v>1183</v>
      </c>
      <c r="G531" s="5" t="s">
        <v>1184</v>
      </c>
      <c r="H531" s="27">
        <v>0.615</v>
      </c>
      <c r="I531" s="27">
        <v>0.892</v>
      </c>
      <c r="J531" s="27">
        <v>0.5</v>
      </c>
      <c r="K531" s="27">
        <v>0.0</v>
      </c>
      <c r="L531" s="4" t="str">
        <f>IMAGE("https://drive.google.com/uc?export=view&amp;id=1saIKZdwzMQwRWzW5wnlvCeKEn2qY1wyj")</f>
        <v/>
      </c>
    </row>
    <row r="532" ht="22.5" customHeight="1">
      <c r="A532" s="4">
        <v>531.0</v>
      </c>
      <c r="B532" s="3" t="s">
        <v>8</v>
      </c>
      <c r="C532" s="3">
        <v>64.0</v>
      </c>
      <c r="D532" s="3">
        <v>3.0</v>
      </c>
      <c r="E532" s="5" t="s">
        <v>196</v>
      </c>
      <c r="F532" s="5" t="s">
        <v>1185</v>
      </c>
      <c r="G532" s="5" t="s">
        <v>1186</v>
      </c>
      <c r="H532" s="27">
        <v>0.286</v>
      </c>
      <c r="I532" s="27">
        <v>0.842</v>
      </c>
      <c r="J532" s="27">
        <v>1.0</v>
      </c>
      <c r="K532" s="27">
        <v>1.0</v>
      </c>
      <c r="L532" s="4" t="str">
        <f>IMAGE("https://drive.google.com/uc?export=view&amp;id=1KFO1j3xXJKjvFXBySg4YmHUhioqj_79E")</f>
        <v/>
      </c>
    </row>
    <row r="533" ht="22.5" customHeight="1">
      <c r="A533" s="4">
        <v>532.0</v>
      </c>
      <c r="B533" s="3" t="s">
        <v>8</v>
      </c>
      <c r="C533" s="3">
        <v>64.0</v>
      </c>
      <c r="D533" s="3">
        <v>3.0</v>
      </c>
      <c r="E533" s="5" t="s">
        <v>199</v>
      </c>
      <c r="F533" s="5" t="s">
        <v>1187</v>
      </c>
      <c r="G533" s="5" t="s">
        <v>1188</v>
      </c>
      <c r="H533" s="27">
        <v>1.0</v>
      </c>
      <c r="I533" s="27">
        <v>0.987</v>
      </c>
      <c r="J533" s="27">
        <v>0.333</v>
      </c>
      <c r="K533" s="27">
        <v>0.833</v>
      </c>
      <c r="L533" s="4" t="str">
        <f>IMAGE("https://drive.google.com/uc?export=view&amp;id=1hwDNbmIwmc4JLJ8tSFviiDcVG_xJRac3")</f>
        <v/>
      </c>
    </row>
    <row r="534" ht="22.5" customHeight="1">
      <c r="A534" s="4">
        <v>533.0</v>
      </c>
      <c r="B534" s="3" t="s">
        <v>8</v>
      </c>
      <c r="C534" s="3">
        <v>64.0</v>
      </c>
      <c r="D534" s="3">
        <v>3.0</v>
      </c>
      <c r="E534" s="5" t="s">
        <v>202</v>
      </c>
      <c r="F534" s="5" t="s">
        <v>1189</v>
      </c>
      <c r="G534" s="5" t="s">
        <v>1190</v>
      </c>
      <c r="H534" s="27">
        <v>0.909</v>
      </c>
      <c r="I534" s="27">
        <v>0.865</v>
      </c>
      <c r="J534" s="27">
        <v>1.0</v>
      </c>
      <c r="K534" s="27">
        <v>1.0</v>
      </c>
      <c r="L534" s="4" t="str">
        <f>IMAGE("https://drive.google.com/uc?export=view&amp;id=1y1JdzNm6vs6_IElHFNnF-mmaxxTBcmV0")</f>
        <v/>
      </c>
    </row>
    <row r="535" ht="22.5" customHeight="1">
      <c r="A535" s="4">
        <v>534.0</v>
      </c>
      <c r="B535" s="3" t="s">
        <v>8</v>
      </c>
      <c r="C535" s="3">
        <v>64.0</v>
      </c>
      <c r="D535" s="3">
        <v>3.0</v>
      </c>
      <c r="E535" s="5" t="s">
        <v>205</v>
      </c>
      <c r="F535" s="5" t="s">
        <v>1191</v>
      </c>
      <c r="G535" s="5" t="s">
        <v>1192</v>
      </c>
      <c r="H535" s="27">
        <v>0.824</v>
      </c>
      <c r="I535" s="27">
        <v>1.0</v>
      </c>
      <c r="J535" s="27">
        <v>1.0</v>
      </c>
      <c r="K535" s="27">
        <v>1.0</v>
      </c>
      <c r="L535" s="4" t="str">
        <f>IMAGE("https://drive.google.com/uc?export=view&amp;id=1ZFJ6cRr-SW6NvgB-taRZ1-iM-CUnbhwD")</f>
        <v/>
      </c>
    </row>
    <row r="536" ht="22.5" customHeight="1">
      <c r="A536" s="4">
        <v>535.0</v>
      </c>
      <c r="B536" s="3" t="s">
        <v>8</v>
      </c>
      <c r="C536" s="3">
        <v>64.0</v>
      </c>
      <c r="D536" s="3">
        <v>3.0</v>
      </c>
      <c r="E536" s="5" t="s">
        <v>208</v>
      </c>
      <c r="F536" s="5" t="s">
        <v>1193</v>
      </c>
      <c r="G536" s="5" t="s">
        <v>1194</v>
      </c>
      <c r="H536" s="27">
        <v>0.933</v>
      </c>
      <c r="I536" s="27">
        <v>0.769</v>
      </c>
      <c r="J536" s="27">
        <v>1.0</v>
      </c>
      <c r="K536" s="27">
        <v>1.0</v>
      </c>
      <c r="L536" s="4" t="str">
        <f>IMAGE("https://drive.google.com/uc?export=view&amp;id=1Kj2MDpGUhXgaNHgERzu0jsFD-6rDKr2y")</f>
        <v/>
      </c>
    </row>
    <row r="537" ht="22.5" customHeight="1">
      <c r="A537" s="4">
        <v>536.0</v>
      </c>
      <c r="B537" s="3" t="s">
        <v>8</v>
      </c>
      <c r="C537" s="3">
        <v>64.0</v>
      </c>
      <c r="D537" s="3">
        <v>3.0</v>
      </c>
      <c r="E537" s="5" t="s">
        <v>211</v>
      </c>
      <c r="F537" s="5" t="s">
        <v>1195</v>
      </c>
      <c r="G537" s="5" t="s">
        <v>1196</v>
      </c>
      <c r="H537" s="27">
        <v>1.0</v>
      </c>
      <c r="I537" s="27">
        <v>0.973</v>
      </c>
      <c r="J537" s="27">
        <v>1.0</v>
      </c>
      <c r="K537" s="27">
        <v>1.0</v>
      </c>
      <c r="L537" s="4" t="str">
        <f>IMAGE("https://drive.google.com/uc?export=view&amp;id=1AhUvBXfM5KN7UWJtwYy4zb4buDTDAp-4")</f>
        <v/>
      </c>
    </row>
    <row r="538" ht="22.5" customHeight="1">
      <c r="A538" s="4">
        <v>537.0</v>
      </c>
      <c r="B538" s="3" t="s">
        <v>8</v>
      </c>
      <c r="C538" s="3">
        <v>64.0</v>
      </c>
      <c r="D538" s="3">
        <v>3.0</v>
      </c>
      <c r="E538" s="5" t="s">
        <v>214</v>
      </c>
      <c r="F538" s="5" t="s">
        <v>1197</v>
      </c>
      <c r="G538" s="5" t="s">
        <v>1198</v>
      </c>
      <c r="H538" s="27">
        <v>0.75</v>
      </c>
      <c r="I538" s="27">
        <v>0.901</v>
      </c>
      <c r="J538" s="27">
        <v>1.0</v>
      </c>
      <c r="K538" s="27">
        <v>1.0</v>
      </c>
      <c r="L538" s="4" t="str">
        <f>IMAGE("https://drive.google.com/uc?export=view&amp;id=13k8Pc7hlNreAMnF6B-29Etb7SFmTBWyj")</f>
        <v/>
      </c>
    </row>
    <row r="539" ht="22.5" customHeight="1">
      <c r="A539" s="4">
        <v>538.0</v>
      </c>
      <c r="B539" s="3" t="s">
        <v>8</v>
      </c>
      <c r="C539" s="3">
        <v>64.0</v>
      </c>
      <c r="D539" s="3">
        <v>3.0</v>
      </c>
      <c r="E539" s="5" t="s">
        <v>217</v>
      </c>
      <c r="F539" s="5" t="s">
        <v>1199</v>
      </c>
      <c r="G539" s="5" t="s">
        <v>1200</v>
      </c>
      <c r="H539" s="27">
        <v>0.0</v>
      </c>
      <c r="I539" s="27">
        <v>0.876</v>
      </c>
      <c r="J539" s="27">
        <v>0.0</v>
      </c>
      <c r="K539" s="27">
        <v>0.0</v>
      </c>
      <c r="L539" s="4" t="str">
        <f>IMAGE("https://drive.google.com/uc?export=view&amp;id=1OjUgQedpRNOSTUksdISOhGeWCF_i7EcW")</f>
        <v/>
      </c>
    </row>
    <row r="540" ht="22.5" customHeight="1">
      <c r="A540" s="4">
        <v>539.0</v>
      </c>
      <c r="B540" s="3" t="s">
        <v>8</v>
      </c>
      <c r="C540" s="3">
        <v>64.0</v>
      </c>
      <c r="D540" s="3">
        <v>3.0</v>
      </c>
      <c r="E540" s="5" t="s">
        <v>220</v>
      </c>
      <c r="F540" s="5" t="s">
        <v>1201</v>
      </c>
      <c r="G540" s="5" t="s">
        <v>1202</v>
      </c>
      <c r="H540" s="27">
        <v>0.9</v>
      </c>
      <c r="I540" s="27">
        <v>0.765</v>
      </c>
      <c r="J540" s="27">
        <v>1.0</v>
      </c>
      <c r="K540" s="27">
        <v>0.143</v>
      </c>
      <c r="L540" s="4" t="str">
        <f>IMAGE("https://drive.google.com/uc?export=view&amp;id=1o6dm_nphu0az6I_SuwwaVSahw08bijp1")</f>
        <v/>
      </c>
    </row>
    <row r="541" ht="22.5" customHeight="1">
      <c r="A541" s="4">
        <v>540.0</v>
      </c>
      <c r="B541" s="3" t="s">
        <v>8</v>
      </c>
      <c r="C541" s="3">
        <v>64.0</v>
      </c>
      <c r="D541" s="3">
        <v>3.0</v>
      </c>
      <c r="E541" s="5" t="s">
        <v>223</v>
      </c>
      <c r="F541" s="5" t="s">
        <v>1203</v>
      </c>
      <c r="G541" s="5" t="s">
        <v>1204</v>
      </c>
      <c r="H541" s="27">
        <v>0.667</v>
      </c>
      <c r="I541" s="27">
        <v>0.798</v>
      </c>
      <c r="J541" s="27">
        <v>1.0</v>
      </c>
      <c r="K541" s="27">
        <v>1.0</v>
      </c>
      <c r="L541" s="4" t="str">
        <f>IMAGE("https://drive.google.com/uc?export=view&amp;id=1hMcwpLoGduQ3Hf2woXVGPpeCz2EBCiwU")</f>
        <v/>
      </c>
    </row>
    <row r="542" ht="22.5" customHeight="1">
      <c r="A542" s="4">
        <v>541.0</v>
      </c>
      <c r="B542" s="3" t="s">
        <v>8</v>
      </c>
      <c r="C542" s="3">
        <v>64.0</v>
      </c>
      <c r="D542" s="3">
        <v>3.0</v>
      </c>
      <c r="E542" s="5" t="s">
        <v>229</v>
      </c>
      <c r="F542" s="5" t="s">
        <v>1205</v>
      </c>
      <c r="G542" s="5" t="s">
        <v>1206</v>
      </c>
      <c r="H542" s="27">
        <v>0.875</v>
      </c>
      <c r="I542" s="27">
        <v>0.0</v>
      </c>
      <c r="J542" s="27">
        <v>0.0</v>
      </c>
      <c r="K542" s="27">
        <v>1.0</v>
      </c>
      <c r="L542" s="4" t="str">
        <f>IMAGE("https://drive.google.com/uc?export=view&amp;id=1D7jirXqX4C64GH9XVlZx3u7azDbTVusm")</f>
        <v/>
      </c>
    </row>
    <row r="543" ht="22.5" customHeight="1">
      <c r="A543" s="4">
        <v>542.0</v>
      </c>
      <c r="B543" s="3" t="s">
        <v>8</v>
      </c>
      <c r="C543" s="3">
        <v>64.0</v>
      </c>
      <c r="D543" s="3">
        <v>3.0</v>
      </c>
      <c r="E543" s="5" t="s">
        <v>226</v>
      </c>
      <c r="F543" s="5" t="s">
        <v>1207</v>
      </c>
      <c r="G543" s="5" t="s">
        <v>1208</v>
      </c>
      <c r="H543" s="27">
        <v>0.727</v>
      </c>
      <c r="I543" s="27">
        <v>0.998</v>
      </c>
      <c r="J543" s="27">
        <v>1.0</v>
      </c>
      <c r="K543" s="27">
        <v>1.0</v>
      </c>
      <c r="L543" s="4" t="str">
        <f>IMAGE("https://drive.google.com/uc?export=view&amp;id=1YYZTBySOrjJ6Blfu6HC8xg-A677cKSKf")</f>
        <v/>
      </c>
    </row>
    <row r="544" ht="22.5" customHeight="1">
      <c r="A544" s="4">
        <v>543.0</v>
      </c>
      <c r="B544" s="3" t="s">
        <v>8</v>
      </c>
      <c r="C544" s="3">
        <v>64.0</v>
      </c>
      <c r="D544" s="3">
        <v>3.0</v>
      </c>
      <c r="E544" s="5" t="s">
        <v>232</v>
      </c>
      <c r="F544" s="5" t="s">
        <v>1209</v>
      </c>
      <c r="G544" s="5" t="s">
        <v>1210</v>
      </c>
      <c r="H544" s="27">
        <v>0.667</v>
      </c>
      <c r="I544" s="27">
        <v>0.996</v>
      </c>
      <c r="J544" s="27">
        <v>0.833</v>
      </c>
      <c r="K544" s="27">
        <v>1.0</v>
      </c>
      <c r="L544" s="4" t="str">
        <f>IMAGE("https://drive.google.com/uc?export=view&amp;id=1byv1WhFlZVY-IrW3p91D_sLwmK5J-xKR")</f>
        <v/>
      </c>
    </row>
    <row r="545" ht="22.5" customHeight="1">
      <c r="A545" s="4">
        <v>544.0</v>
      </c>
      <c r="B545" s="3" t="s">
        <v>8</v>
      </c>
      <c r="C545" s="3">
        <v>64.0</v>
      </c>
      <c r="D545" s="3">
        <v>3.0</v>
      </c>
      <c r="E545" s="5" t="s">
        <v>235</v>
      </c>
      <c r="F545" s="5" t="s">
        <v>1211</v>
      </c>
      <c r="G545" s="5" t="s">
        <v>1212</v>
      </c>
      <c r="H545" s="27">
        <v>1.0</v>
      </c>
      <c r="I545" s="27">
        <v>0.993</v>
      </c>
      <c r="J545" s="27">
        <v>1.0</v>
      </c>
      <c r="K545" s="27">
        <v>0.8</v>
      </c>
      <c r="L545" s="4" t="str">
        <f>IMAGE("https://drive.google.com/uc?export=view&amp;id=1meo5LhFVMahNAyV_gClt02RYVaeaF6Rn")</f>
        <v/>
      </c>
    </row>
    <row r="546" ht="22.5" customHeight="1">
      <c r="A546" s="4">
        <v>545.0</v>
      </c>
      <c r="B546" s="3" t="s">
        <v>8</v>
      </c>
      <c r="C546" s="3">
        <v>64.0</v>
      </c>
      <c r="D546" s="3">
        <v>3.0</v>
      </c>
      <c r="E546" s="5" t="s">
        <v>238</v>
      </c>
      <c r="F546" s="5" t="s">
        <v>1213</v>
      </c>
      <c r="G546" s="5" t="s">
        <v>1214</v>
      </c>
      <c r="H546" s="27">
        <v>0.5</v>
      </c>
      <c r="I546" s="27">
        <v>0.794</v>
      </c>
      <c r="J546" s="27">
        <v>1.0</v>
      </c>
      <c r="K546" s="27">
        <v>1.0</v>
      </c>
      <c r="L546" s="4" t="str">
        <f>IMAGE("https://drive.google.com/uc?export=view&amp;id=1_1v3zAh5tTwQGrqFtt087DsZfktvKNAm")</f>
        <v/>
      </c>
    </row>
    <row r="547" ht="22.5" customHeight="1">
      <c r="A547" s="4">
        <v>546.0</v>
      </c>
      <c r="B547" s="3" t="s">
        <v>8</v>
      </c>
      <c r="C547" s="3">
        <v>64.0</v>
      </c>
      <c r="D547" s="3">
        <v>3.0</v>
      </c>
      <c r="E547" s="5" t="s">
        <v>241</v>
      </c>
      <c r="F547" s="5" t="s">
        <v>1215</v>
      </c>
      <c r="G547" s="5" t="s">
        <v>1216</v>
      </c>
      <c r="H547" s="27">
        <v>1.0</v>
      </c>
      <c r="I547" s="27">
        <v>0.0</v>
      </c>
      <c r="J547" s="27">
        <v>0.0</v>
      </c>
      <c r="K547" s="27">
        <v>0.833</v>
      </c>
      <c r="L547" s="4" t="str">
        <f>IMAGE("https://drive.google.com/uc?export=view&amp;id=1UmgWThcmM2JQC_g0hFT62bXDFx-VHI0v")</f>
        <v/>
      </c>
    </row>
    <row r="548" ht="22.5" customHeight="1">
      <c r="A548" s="4">
        <v>547.0</v>
      </c>
      <c r="B548" s="3" t="s">
        <v>8</v>
      </c>
      <c r="C548" s="3">
        <v>64.0</v>
      </c>
      <c r="D548" s="3">
        <v>3.0</v>
      </c>
      <c r="E548" s="5" t="s">
        <v>244</v>
      </c>
      <c r="F548" s="5" t="s">
        <v>1217</v>
      </c>
      <c r="G548" s="5" t="s">
        <v>1218</v>
      </c>
      <c r="H548" s="27">
        <v>0.714</v>
      </c>
      <c r="I548" s="27">
        <v>0.999</v>
      </c>
      <c r="J548" s="27">
        <v>0.583</v>
      </c>
      <c r="K548" s="27">
        <v>1.0</v>
      </c>
      <c r="L548" s="4" t="str">
        <f>IMAGE("https://drive.google.com/uc?export=view&amp;id=1uFqKyN9ggY__ZH8DG4DXWarQZZlHg_RZ")</f>
        <v/>
      </c>
    </row>
    <row r="549" ht="22.5" customHeight="1">
      <c r="A549" s="4">
        <v>548.0</v>
      </c>
      <c r="B549" s="3" t="s">
        <v>8</v>
      </c>
      <c r="C549" s="3">
        <v>64.0</v>
      </c>
      <c r="D549" s="3">
        <v>3.0</v>
      </c>
      <c r="E549" s="5" t="s">
        <v>247</v>
      </c>
      <c r="F549" s="5" t="s">
        <v>1219</v>
      </c>
      <c r="G549" s="5" t="s">
        <v>1220</v>
      </c>
      <c r="H549" s="27">
        <v>0.75</v>
      </c>
      <c r="I549" s="27">
        <v>0.0</v>
      </c>
      <c r="J549" s="27">
        <v>0.0</v>
      </c>
      <c r="K549" s="27">
        <v>0.333</v>
      </c>
      <c r="L549" s="4" t="str">
        <f>IMAGE("https://drive.google.com/uc?export=view&amp;id=1vqPGgT9p2QQW4vIebI6EH154mLNOe4bK")</f>
        <v/>
      </c>
    </row>
    <row r="550" ht="22.5" customHeight="1">
      <c r="A550" s="4">
        <v>549.0</v>
      </c>
      <c r="B550" s="3" t="s">
        <v>8</v>
      </c>
      <c r="C550" s="3">
        <v>64.0</v>
      </c>
      <c r="D550" s="3">
        <v>3.0</v>
      </c>
      <c r="E550" s="5" t="s">
        <v>250</v>
      </c>
      <c r="F550" s="5" t="s">
        <v>1221</v>
      </c>
      <c r="G550" s="5" t="s">
        <v>1222</v>
      </c>
      <c r="H550" s="27">
        <v>0.545</v>
      </c>
      <c r="I550" s="27">
        <v>0.862</v>
      </c>
      <c r="J550" s="27">
        <v>0.583</v>
      </c>
      <c r="K550" s="27">
        <v>1.0</v>
      </c>
      <c r="L550" s="4" t="str">
        <f>IMAGE("https://drive.google.com/uc?export=view&amp;id=18A9mB_NSl98PEXTR3ABtPlVUv27pFAmF")</f>
        <v/>
      </c>
    </row>
    <row r="551" ht="22.5" customHeight="1">
      <c r="A551" s="4">
        <v>550.0</v>
      </c>
      <c r="B551" s="3" t="s">
        <v>8</v>
      </c>
      <c r="C551" s="3">
        <v>64.0</v>
      </c>
      <c r="D551" s="3">
        <v>3.0</v>
      </c>
      <c r="E551" s="5" t="s">
        <v>253</v>
      </c>
      <c r="F551" s="5" t="s">
        <v>1223</v>
      </c>
      <c r="G551" s="5" t="s">
        <v>1224</v>
      </c>
      <c r="H551" s="27">
        <v>0.75</v>
      </c>
      <c r="I551" s="27">
        <v>0.932</v>
      </c>
      <c r="J551" s="27">
        <v>1.0</v>
      </c>
      <c r="K551" s="27">
        <v>1.0</v>
      </c>
      <c r="L551" s="4" t="str">
        <f>IMAGE("https://drive.google.com/uc?export=view&amp;id=1HjXMhIFT9Y_PEz1GsyHmOkDRY4IykypX")</f>
        <v/>
      </c>
    </row>
    <row r="552" ht="22.5" customHeight="1">
      <c r="A552" s="4">
        <v>551.0</v>
      </c>
      <c r="B552" s="3" t="s">
        <v>8</v>
      </c>
      <c r="C552" s="3">
        <v>64.0</v>
      </c>
      <c r="D552" s="3">
        <v>3.0</v>
      </c>
      <c r="E552" s="5" t="s">
        <v>256</v>
      </c>
      <c r="F552" s="5" t="s">
        <v>1225</v>
      </c>
      <c r="G552" s="5" t="s">
        <v>1226</v>
      </c>
      <c r="H552" s="27">
        <v>1.0</v>
      </c>
      <c r="I552" s="27">
        <v>1.0</v>
      </c>
      <c r="J552" s="27">
        <v>0.583</v>
      </c>
      <c r="K552" s="27">
        <v>1.0</v>
      </c>
      <c r="L552" s="4" t="str">
        <f>IMAGE("https://drive.google.com/uc?export=view&amp;id=1fPC2SS8DkFDMB_pNdlK7FhPENhzeEdxB")</f>
        <v/>
      </c>
    </row>
    <row r="553" ht="22.5" customHeight="1">
      <c r="A553" s="4">
        <v>552.0</v>
      </c>
      <c r="B553" s="3" t="s">
        <v>8</v>
      </c>
      <c r="C553" s="3">
        <v>64.0</v>
      </c>
      <c r="D553" s="3">
        <v>3.0</v>
      </c>
      <c r="E553" s="5" t="s">
        <v>259</v>
      </c>
      <c r="F553" s="5" t="s">
        <v>1227</v>
      </c>
      <c r="G553" s="5" t="s">
        <v>1228</v>
      </c>
      <c r="H553" s="27">
        <v>1.0</v>
      </c>
      <c r="I553" s="27">
        <v>0.996</v>
      </c>
      <c r="J553" s="27">
        <v>1.0</v>
      </c>
      <c r="K553" s="27">
        <v>1.0</v>
      </c>
      <c r="L553" s="4" t="str">
        <f>IMAGE("https://drive.google.com/uc?export=view&amp;id=100GhVUDslwTnLK51jkkGwLGumg2-0Iid")</f>
        <v/>
      </c>
    </row>
    <row r="554" ht="22.5" customHeight="1">
      <c r="A554" s="4">
        <v>553.0</v>
      </c>
      <c r="B554" s="3" t="s">
        <v>8</v>
      </c>
      <c r="C554" s="3">
        <v>64.0</v>
      </c>
      <c r="D554" s="3">
        <v>3.0</v>
      </c>
      <c r="E554" s="5" t="s">
        <v>262</v>
      </c>
      <c r="F554" s="5" t="s">
        <v>1229</v>
      </c>
      <c r="G554" s="5" t="s">
        <v>1230</v>
      </c>
      <c r="H554" s="27">
        <v>0.3</v>
      </c>
      <c r="I554" s="27">
        <v>0.942</v>
      </c>
      <c r="J554" s="27">
        <v>1.0</v>
      </c>
      <c r="K554" s="27">
        <v>1.0</v>
      </c>
      <c r="L554" s="4" t="str">
        <f>IMAGE("https://drive.google.com/uc?export=view&amp;id=1NtsutbsgsIWbs1UUsxHZNYbtLYP37AYh")</f>
        <v/>
      </c>
    </row>
    <row r="555" ht="22.5" customHeight="1">
      <c r="A555" s="4">
        <v>554.0</v>
      </c>
      <c r="B555" s="3" t="s">
        <v>8</v>
      </c>
      <c r="C555" s="3">
        <v>64.0</v>
      </c>
      <c r="D555" s="3">
        <v>3.0</v>
      </c>
      <c r="E555" s="5" t="s">
        <v>265</v>
      </c>
      <c r="F555" s="5" t="s">
        <v>1231</v>
      </c>
      <c r="G555" s="5" t="s">
        <v>1232</v>
      </c>
      <c r="H555" s="27">
        <v>0.375</v>
      </c>
      <c r="I555" s="27">
        <v>0.892</v>
      </c>
      <c r="J555" s="27">
        <v>1.0</v>
      </c>
      <c r="K555" s="27">
        <v>0.125</v>
      </c>
      <c r="L555" s="4" t="str">
        <f>IMAGE("https://drive.google.com/uc?export=view&amp;id=13ZbN1Na0swMrAc0n-55NzD4JTRazej2x")</f>
        <v/>
      </c>
    </row>
    <row r="556" ht="22.5" customHeight="1">
      <c r="A556" s="4">
        <v>555.0</v>
      </c>
      <c r="B556" s="3" t="s">
        <v>8</v>
      </c>
      <c r="C556" s="3">
        <v>64.0</v>
      </c>
      <c r="D556" s="3">
        <v>3.0</v>
      </c>
      <c r="E556" s="5" t="s">
        <v>268</v>
      </c>
      <c r="F556" s="5" t="s">
        <v>1233</v>
      </c>
      <c r="G556" s="5" t="s">
        <v>1234</v>
      </c>
      <c r="H556" s="27">
        <v>1.0</v>
      </c>
      <c r="I556" s="27">
        <v>0.759</v>
      </c>
      <c r="J556" s="27">
        <v>1.0</v>
      </c>
      <c r="K556" s="27">
        <v>1.0</v>
      </c>
      <c r="L556" s="4" t="str">
        <f>IMAGE("https://drive.google.com/uc?export=view&amp;id=1U7XpiQVeOnQABh_nKmoa2xYZqh490W3j")</f>
        <v/>
      </c>
    </row>
    <row r="557" ht="22.5" customHeight="1">
      <c r="A557" s="4">
        <v>556.0</v>
      </c>
      <c r="B557" s="3" t="s">
        <v>8</v>
      </c>
      <c r="C557" s="3">
        <v>64.0</v>
      </c>
      <c r="D557" s="3">
        <v>3.0</v>
      </c>
      <c r="E557" s="5" t="s">
        <v>271</v>
      </c>
      <c r="F557" s="5" t="s">
        <v>1235</v>
      </c>
      <c r="G557" s="5" t="s">
        <v>1236</v>
      </c>
      <c r="H557" s="27">
        <v>0.778</v>
      </c>
      <c r="I557" s="27">
        <v>0.906</v>
      </c>
      <c r="J557" s="27">
        <v>1.0</v>
      </c>
      <c r="K557" s="27">
        <v>0.0</v>
      </c>
      <c r="L557" s="4" t="str">
        <f>IMAGE("https://drive.google.com/uc?export=view&amp;id=1oFayl393D96kD1KPxbF6Woc7rA-zM9kT")</f>
        <v/>
      </c>
    </row>
    <row r="558" ht="22.5" customHeight="1">
      <c r="A558" s="4">
        <v>557.0</v>
      </c>
      <c r="B558" s="3" t="s">
        <v>8</v>
      </c>
      <c r="C558" s="3">
        <v>64.0</v>
      </c>
      <c r="D558" s="3">
        <v>3.0</v>
      </c>
      <c r="E558" s="5" t="s">
        <v>274</v>
      </c>
      <c r="F558" s="5" t="s">
        <v>1237</v>
      </c>
      <c r="G558" s="5" t="s">
        <v>1238</v>
      </c>
      <c r="H558" s="27">
        <v>0.769</v>
      </c>
      <c r="I558" s="27">
        <v>0.675</v>
      </c>
      <c r="J558" s="27">
        <v>0.833</v>
      </c>
      <c r="K558" s="27">
        <v>0.8</v>
      </c>
      <c r="L558" s="4" t="str">
        <f>IMAGE("https://drive.google.com/uc?export=view&amp;id=1zgCtvbPXcjO6QqYEIJnbaRDFCiYe2dxJ")</f>
        <v/>
      </c>
    </row>
    <row r="559" ht="22.5" customHeight="1">
      <c r="A559" s="4">
        <v>558.0</v>
      </c>
      <c r="B559" s="3" t="s">
        <v>8</v>
      </c>
      <c r="C559" s="3">
        <v>64.0</v>
      </c>
      <c r="D559" s="3">
        <v>3.0</v>
      </c>
      <c r="E559" s="5" t="s">
        <v>277</v>
      </c>
      <c r="F559" s="5" t="s">
        <v>1239</v>
      </c>
      <c r="G559" s="5" t="s">
        <v>1240</v>
      </c>
      <c r="H559" s="27">
        <v>1.0</v>
      </c>
      <c r="I559" s="27">
        <v>0.951</v>
      </c>
      <c r="J559" s="27">
        <v>0.833</v>
      </c>
      <c r="K559" s="27">
        <v>0.8</v>
      </c>
      <c r="L559" s="4" t="str">
        <f>IMAGE("https://drive.google.com/uc?export=view&amp;id=1EBXD1qcjLYCt8QBhSB6OZjKk6xKLvoDW")</f>
        <v/>
      </c>
    </row>
    <row r="560" ht="22.5" customHeight="1">
      <c r="A560" s="4">
        <v>559.0</v>
      </c>
      <c r="B560" s="3" t="s">
        <v>8</v>
      </c>
      <c r="C560" s="3">
        <v>64.0</v>
      </c>
      <c r="D560" s="3">
        <v>3.0</v>
      </c>
      <c r="E560" s="5" t="s">
        <v>280</v>
      </c>
      <c r="F560" s="5" t="s">
        <v>1241</v>
      </c>
      <c r="G560" s="5" t="s">
        <v>1242</v>
      </c>
      <c r="H560" s="27">
        <v>0.222</v>
      </c>
      <c r="I560" s="27">
        <v>0.882</v>
      </c>
      <c r="J560" s="27">
        <v>1.0</v>
      </c>
      <c r="K560" s="27">
        <v>1.0</v>
      </c>
      <c r="L560" s="4" t="str">
        <f>IMAGE("https://drive.google.com/uc?export=view&amp;id=1-A7HyU-YYEjw7tqUzxnqpiscYqnaIbCY")</f>
        <v/>
      </c>
    </row>
    <row r="561" ht="22.5" customHeight="1">
      <c r="A561" s="4">
        <v>560.0</v>
      </c>
      <c r="B561" s="3" t="s">
        <v>8</v>
      </c>
      <c r="C561" s="3">
        <v>64.0</v>
      </c>
      <c r="D561" s="3">
        <v>3.0</v>
      </c>
      <c r="E561" s="5" t="s">
        <v>283</v>
      </c>
      <c r="F561" s="5" t="s">
        <v>1243</v>
      </c>
      <c r="G561" s="5" t="s">
        <v>1244</v>
      </c>
      <c r="H561" s="27">
        <v>0.143</v>
      </c>
      <c r="I561" s="27">
        <v>0.768</v>
      </c>
      <c r="J561" s="27">
        <v>0.333</v>
      </c>
      <c r="K561" s="27">
        <v>1.0</v>
      </c>
      <c r="L561" s="4" t="str">
        <f>IMAGE("https://drive.google.com/uc?export=view&amp;id=1BMMLbt8aKypqU4MKLKnrNgTmuDfaZ8cy")</f>
        <v/>
      </c>
    </row>
    <row r="562" ht="22.5" customHeight="1">
      <c r="A562" s="4">
        <v>561.0</v>
      </c>
      <c r="B562" s="3" t="s">
        <v>8</v>
      </c>
      <c r="C562" s="3">
        <v>64.0</v>
      </c>
      <c r="D562" s="3">
        <v>5.0</v>
      </c>
      <c r="E562" s="5" t="s">
        <v>46</v>
      </c>
      <c r="F562" s="5" t="s">
        <v>1245</v>
      </c>
      <c r="G562" s="5" t="s">
        <v>1246</v>
      </c>
      <c r="H562" s="27">
        <v>1.0</v>
      </c>
      <c r="I562" s="27">
        <v>0.987</v>
      </c>
      <c r="J562" s="27">
        <v>1.0</v>
      </c>
      <c r="K562" s="27">
        <v>1.0</v>
      </c>
      <c r="L562" s="4" t="str">
        <f>IMAGE("https://drive.google.com/uc?export=view&amp;id=1oecwbxky2xyQM2dMmuClumTfeRskuPO_")</f>
        <v/>
      </c>
    </row>
    <row r="563" ht="22.5" customHeight="1">
      <c r="A563" s="4">
        <v>562.0</v>
      </c>
      <c r="B563" s="3" t="s">
        <v>8</v>
      </c>
      <c r="C563" s="3">
        <v>64.0</v>
      </c>
      <c r="D563" s="3">
        <v>5.0</v>
      </c>
      <c r="E563" s="5" t="s">
        <v>49</v>
      </c>
      <c r="F563" s="5" t="s">
        <v>1247</v>
      </c>
      <c r="G563" s="5" t="s">
        <v>1248</v>
      </c>
      <c r="H563" s="27">
        <v>0.364</v>
      </c>
      <c r="I563" s="27">
        <v>0.941</v>
      </c>
      <c r="J563" s="27">
        <v>0.5</v>
      </c>
      <c r="K563" s="27">
        <v>1.0</v>
      </c>
      <c r="L563" s="4" t="str">
        <f>IMAGE("https://drive.google.com/uc?export=view&amp;id=1y9BlsoztE3Krb0HX3YxUI0X9zk6-nK17")</f>
        <v/>
      </c>
    </row>
    <row r="564" ht="22.5" customHeight="1">
      <c r="A564" s="4">
        <v>563.0</v>
      </c>
      <c r="B564" s="3" t="s">
        <v>8</v>
      </c>
      <c r="C564" s="3">
        <v>64.0</v>
      </c>
      <c r="D564" s="3">
        <v>5.0</v>
      </c>
      <c r="E564" s="5" t="s">
        <v>52</v>
      </c>
      <c r="F564" s="5" t="s">
        <v>1249</v>
      </c>
      <c r="G564" s="5" t="s">
        <v>1250</v>
      </c>
      <c r="H564" s="27">
        <v>0.25</v>
      </c>
      <c r="I564" s="27">
        <v>0.968</v>
      </c>
      <c r="J564" s="27">
        <v>1.0</v>
      </c>
      <c r="K564" s="27">
        <v>1.0</v>
      </c>
      <c r="L564" s="4" t="str">
        <f>IMAGE("https://drive.google.com/uc?export=view&amp;id=1RMKZ6zx45ojeXVohOhSK6ztp3lc7VRAL")</f>
        <v/>
      </c>
    </row>
    <row r="565" ht="22.5" customHeight="1">
      <c r="A565" s="4">
        <v>564.0</v>
      </c>
      <c r="B565" s="3" t="s">
        <v>8</v>
      </c>
      <c r="C565" s="3">
        <v>64.0</v>
      </c>
      <c r="D565" s="3">
        <v>5.0</v>
      </c>
      <c r="E565" s="5" t="s">
        <v>55</v>
      </c>
      <c r="F565" s="5" t="s">
        <v>1251</v>
      </c>
      <c r="G565" s="5" t="s">
        <v>1252</v>
      </c>
      <c r="H565" s="27">
        <v>0.294</v>
      </c>
      <c r="I565" s="27">
        <v>1.0</v>
      </c>
      <c r="J565" s="27">
        <v>1.0</v>
      </c>
      <c r="K565" s="27">
        <v>1.0</v>
      </c>
      <c r="L565" s="4" t="str">
        <f>IMAGE("https://drive.google.com/uc?export=view&amp;id=1rgkaWkwaUd6EdGUgapUFq8J9856pr8xY")</f>
        <v/>
      </c>
    </row>
    <row r="566" ht="22.5" customHeight="1">
      <c r="A566" s="4">
        <v>565.0</v>
      </c>
      <c r="B566" s="3" t="s">
        <v>8</v>
      </c>
      <c r="C566" s="3">
        <v>64.0</v>
      </c>
      <c r="D566" s="3">
        <v>5.0</v>
      </c>
      <c r="E566" s="5" t="s">
        <v>58</v>
      </c>
      <c r="F566" s="5" t="s">
        <v>1253</v>
      </c>
      <c r="G566" s="5" t="s">
        <v>1254</v>
      </c>
      <c r="H566" s="27">
        <v>1.0</v>
      </c>
      <c r="I566" s="27">
        <v>0.978</v>
      </c>
      <c r="J566" s="27">
        <v>1.0</v>
      </c>
      <c r="K566" s="27">
        <v>1.0</v>
      </c>
      <c r="L566" s="4" t="str">
        <f>IMAGE("https://drive.google.com/uc?export=view&amp;id=1ZVEPXnfe4dDv6ISvka6YRn6CRve5qTfH")</f>
        <v/>
      </c>
    </row>
    <row r="567" ht="22.5" customHeight="1">
      <c r="A567" s="4">
        <v>566.0</v>
      </c>
      <c r="B567" s="3" t="s">
        <v>8</v>
      </c>
      <c r="C567" s="3">
        <v>64.0</v>
      </c>
      <c r="D567" s="3">
        <v>5.0</v>
      </c>
      <c r="E567" s="5" t="s">
        <v>61</v>
      </c>
      <c r="F567" s="5" t="s">
        <v>1255</v>
      </c>
      <c r="G567" s="5" t="s">
        <v>1256</v>
      </c>
      <c r="H567" s="27">
        <v>1.0</v>
      </c>
      <c r="I567" s="27">
        <v>0.989</v>
      </c>
      <c r="J567" s="27">
        <v>1.0</v>
      </c>
      <c r="K567" s="27">
        <v>0.833</v>
      </c>
      <c r="L567" s="4" t="str">
        <f>IMAGE("https://drive.google.com/uc?export=view&amp;id=1iOlFZmv0C-FczaA08Sa8Xdm88495_fo_")</f>
        <v/>
      </c>
    </row>
    <row r="568" ht="22.5" customHeight="1">
      <c r="A568" s="4">
        <v>567.0</v>
      </c>
      <c r="B568" s="3" t="s">
        <v>8</v>
      </c>
      <c r="C568" s="3">
        <v>64.0</v>
      </c>
      <c r="D568" s="3">
        <v>5.0</v>
      </c>
      <c r="E568" s="5" t="s">
        <v>64</v>
      </c>
      <c r="F568" s="5" t="s">
        <v>1257</v>
      </c>
      <c r="G568" s="5" t="s">
        <v>1258</v>
      </c>
      <c r="H568" s="27">
        <v>1.0</v>
      </c>
      <c r="I568" s="27">
        <v>0.84</v>
      </c>
      <c r="J568" s="27">
        <v>0.5</v>
      </c>
      <c r="K568" s="27">
        <v>1.0</v>
      </c>
      <c r="L568" s="4" t="str">
        <f>IMAGE("https://drive.google.com/uc?export=view&amp;id=1U3XDaWfFqnOfLod__T8OSGx49WcJGVmI")</f>
        <v/>
      </c>
    </row>
    <row r="569" ht="22.5" customHeight="1">
      <c r="A569" s="4">
        <v>568.0</v>
      </c>
      <c r="B569" s="3" t="s">
        <v>8</v>
      </c>
      <c r="C569" s="3">
        <v>64.0</v>
      </c>
      <c r="D569" s="3">
        <v>5.0</v>
      </c>
      <c r="E569" s="5" t="s">
        <v>67</v>
      </c>
      <c r="F569" s="5" t="s">
        <v>1259</v>
      </c>
      <c r="G569" s="5" t="s">
        <v>1260</v>
      </c>
      <c r="H569" s="27">
        <v>0.684</v>
      </c>
      <c r="I569" s="27">
        <v>0.89</v>
      </c>
      <c r="J569" s="27">
        <v>1.0</v>
      </c>
      <c r="K569" s="27">
        <v>1.0</v>
      </c>
      <c r="L569" s="4" t="str">
        <f>IMAGE("https://drive.google.com/uc?export=view&amp;id=10u7VwwVhMPGrkd8DZMpoAYnQV-hc0pEi")</f>
        <v/>
      </c>
    </row>
    <row r="570" ht="22.5" customHeight="1">
      <c r="A570" s="4">
        <v>569.0</v>
      </c>
      <c r="B570" s="3" t="s">
        <v>8</v>
      </c>
      <c r="C570" s="3">
        <v>64.0</v>
      </c>
      <c r="D570" s="3">
        <v>5.0</v>
      </c>
      <c r="E570" s="5" t="s">
        <v>70</v>
      </c>
      <c r="F570" s="5" t="s">
        <v>1261</v>
      </c>
      <c r="G570" s="5" t="s">
        <v>1262</v>
      </c>
      <c r="H570" s="27">
        <v>0.667</v>
      </c>
      <c r="I570" s="27">
        <v>0.494</v>
      </c>
      <c r="J570" s="27">
        <v>1.0</v>
      </c>
      <c r="K570" s="27">
        <v>1.0</v>
      </c>
      <c r="L570" s="4" t="str">
        <f>IMAGE("https://drive.google.com/uc?export=view&amp;id=1dZSqzxCzCGcjFiUcR5v0dR7mp2Xm5nV5")</f>
        <v/>
      </c>
    </row>
    <row r="571" ht="22.5" customHeight="1">
      <c r="A571" s="4">
        <v>570.0</v>
      </c>
      <c r="B571" s="3" t="s">
        <v>8</v>
      </c>
      <c r="C571" s="3">
        <v>64.0</v>
      </c>
      <c r="D571" s="3">
        <v>5.0</v>
      </c>
      <c r="E571" s="5" t="s">
        <v>73</v>
      </c>
      <c r="F571" s="5" t="s">
        <v>1263</v>
      </c>
      <c r="G571" s="5" t="s">
        <v>1264</v>
      </c>
      <c r="H571" s="27">
        <v>0.545</v>
      </c>
      <c r="I571" s="27">
        <v>0.876</v>
      </c>
      <c r="J571" s="27">
        <v>0.679</v>
      </c>
      <c r="K571" s="27">
        <v>1.0</v>
      </c>
      <c r="L571" s="4" t="str">
        <f>IMAGE("https://drive.google.com/uc?export=view&amp;id=12fbycJ6qEfGdQkZegf4uZDtQg_BLpaSh")</f>
        <v/>
      </c>
    </row>
    <row r="572" ht="22.5" customHeight="1">
      <c r="A572" s="4">
        <v>571.0</v>
      </c>
      <c r="B572" s="3" t="s">
        <v>8</v>
      </c>
      <c r="C572" s="3">
        <v>64.0</v>
      </c>
      <c r="D572" s="3">
        <v>5.0</v>
      </c>
      <c r="E572" s="5" t="s">
        <v>76</v>
      </c>
      <c r="F572" s="5" t="s">
        <v>1265</v>
      </c>
      <c r="G572" s="5" t="s">
        <v>1266</v>
      </c>
      <c r="H572" s="27">
        <v>0.667</v>
      </c>
      <c r="I572" s="27">
        <v>0.649</v>
      </c>
      <c r="J572" s="27">
        <v>1.0</v>
      </c>
      <c r="K572" s="27">
        <v>0.833</v>
      </c>
      <c r="L572" s="4" t="str">
        <f>IMAGE("https://drive.google.com/uc?export=view&amp;id=1A7puzQtTNx6HNCH5ZwgLY7GKJ8SEn6yk")</f>
        <v/>
      </c>
    </row>
    <row r="573" ht="22.5" customHeight="1">
      <c r="A573" s="4">
        <v>572.0</v>
      </c>
      <c r="B573" s="3" t="s">
        <v>8</v>
      </c>
      <c r="C573" s="3">
        <v>64.0</v>
      </c>
      <c r="D573" s="3">
        <v>5.0</v>
      </c>
      <c r="E573" s="5" t="s">
        <v>79</v>
      </c>
      <c r="F573" s="5" t="s">
        <v>1267</v>
      </c>
      <c r="G573" s="5" t="s">
        <v>1268</v>
      </c>
      <c r="H573" s="27">
        <v>0.167</v>
      </c>
      <c r="I573" s="27">
        <v>0.909</v>
      </c>
      <c r="J573" s="27">
        <v>1.0</v>
      </c>
      <c r="K573" s="27">
        <v>1.0</v>
      </c>
      <c r="L573" s="4" t="str">
        <f>IMAGE("https://drive.google.com/uc?export=view&amp;id=1-G4CS2thNgG67zqt-Smr59J3rIOxmlEG")</f>
        <v/>
      </c>
    </row>
    <row r="574" ht="22.5" customHeight="1">
      <c r="A574" s="4">
        <v>573.0</v>
      </c>
      <c r="B574" s="3" t="s">
        <v>8</v>
      </c>
      <c r="C574" s="3">
        <v>64.0</v>
      </c>
      <c r="D574" s="3">
        <v>5.0</v>
      </c>
      <c r="E574" s="5" t="s">
        <v>82</v>
      </c>
      <c r="F574" s="5" t="s">
        <v>1269</v>
      </c>
      <c r="G574" s="5" t="s">
        <v>1270</v>
      </c>
      <c r="H574" s="27">
        <v>1.0</v>
      </c>
      <c r="I574" s="27">
        <v>0.642</v>
      </c>
      <c r="J574" s="27">
        <v>1.0</v>
      </c>
      <c r="K574" s="27">
        <v>1.0</v>
      </c>
      <c r="L574" s="4" t="str">
        <f>IMAGE("https://drive.google.com/uc?export=view&amp;id=1RIqFC_In0wWSzrKnXi7CVhBEuIAwtE7s")</f>
        <v/>
      </c>
    </row>
    <row r="575" ht="22.5" customHeight="1">
      <c r="A575" s="4">
        <v>574.0</v>
      </c>
      <c r="B575" s="3" t="s">
        <v>8</v>
      </c>
      <c r="C575" s="3">
        <v>64.0</v>
      </c>
      <c r="D575" s="3">
        <v>5.0</v>
      </c>
      <c r="E575" s="5" t="s">
        <v>85</v>
      </c>
      <c r="F575" s="5" t="s">
        <v>1271</v>
      </c>
      <c r="G575" s="5" t="s">
        <v>1272</v>
      </c>
      <c r="H575" s="27">
        <v>0.7</v>
      </c>
      <c r="I575" s="27">
        <v>0.987</v>
      </c>
      <c r="J575" s="27">
        <v>0.804</v>
      </c>
      <c r="K575" s="27">
        <v>1.0</v>
      </c>
      <c r="L575" s="4" t="str">
        <f>IMAGE("https://drive.google.com/uc?export=view&amp;id=19Qz5vBOQBODYkq7talnwrR3YtMs8Fgtw")</f>
        <v/>
      </c>
    </row>
    <row r="576" ht="22.5" customHeight="1">
      <c r="A576" s="4">
        <v>575.0</v>
      </c>
      <c r="B576" s="3" t="s">
        <v>8</v>
      </c>
      <c r="C576" s="3">
        <v>64.0</v>
      </c>
      <c r="D576" s="3">
        <v>5.0</v>
      </c>
      <c r="E576" s="5" t="s">
        <v>88</v>
      </c>
      <c r="F576" s="5" t="s">
        <v>1273</v>
      </c>
      <c r="G576" s="5" t="s">
        <v>1274</v>
      </c>
      <c r="H576" s="27">
        <v>0.619</v>
      </c>
      <c r="I576" s="27">
        <v>0.877</v>
      </c>
      <c r="J576" s="27">
        <v>1.0</v>
      </c>
      <c r="K576" s="27">
        <v>1.0</v>
      </c>
      <c r="L576" s="4" t="str">
        <f>IMAGE("https://drive.google.com/uc?export=view&amp;id=1F1H5a2uT42hjNwVm7K3VZnscgEj6zinh")</f>
        <v/>
      </c>
    </row>
    <row r="577" ht="22.5" customHeight="1">
      <c r="A577" s="4">
        <v>576.0</v>
      </c>
      <c r="B577" s="3" t="s">
        <v>8</v>
      </c>
      <c r="C577" s="3">
        <v>64.0</v>
      </c>
      <c r="D577" s="3">
        <v>5.0</v>
      </c>
      <c r="E577" s="5" t="s">
        <v>91</v>
      </c>
      <c r="F577" s="5" t="s">
        <v>1275</v>
      </c>
      <c r="G577" s="5" t="s">
        <v>1276</v>
      </c>
      <c r="H577" s="27">
        <v>0.4</v>
      </c>
      <c r="I577" s="27">
        <v>0.997</v>
      </c>
      <c r="J577" s="27">
        <v>0.887</v>
      </c>
      <c r="K577" s="27">
        <v>1.0</v>
      </c>
      <c r="L577" s="4" t="str">
        <f>IMAGE("https://drive.google.com/uc?export=view&amp;id=1uNx0MK9j4lGrVnD3GdUeSlyLr4ulAaTY")</f>
        <v/>
      </c>
    </row>
    <row r="578" ht="22.5" customHeight="1">
      <c r="A578" s="4">
        <v>577.0</v>
      </c>
      <c r="B578" s="3" t="s">
        <v>8</v>
      </c>
      <c r="C578" s="3">
        <v>64.0</v>
      </c>
      <c r="D578" s="3">
        <v>5.0</v>
      </c>
      <c r="E578" s="5" t="s">
        <v>94</v>
      </c>
      <c r="F578" s="5" t="s">
        <v>1277</v>
      </c>
      <c r="G578" s="5" t="s">
        <v>1278</v>
      </c>
      <c r="H578" s="27">
        <v>1.0</v>
      </c>
      <c r="I578" s="27">
        <v>0.845</v>
      </c>
      <c r="J578" s="27">
        <v>0.806</v>
      </c>
      <c r="K578" s="27">
        <v>0.8</v>
      </c>
      <c r="L578" s="4" t="str">
        <f>IMAGE("https://drive.google.com/uc?export=view&amp;id=15SFT_t85Ey5LLkjNTGsXUQzMkMy2ioSR")</f>
        <v/>
      </c>
    </row>
    <row r="579" ht="22.5" customHeight="1">
      <c r="A579" s="4">
        <v>578.0</v>
      </c>
      <c r="B579" s="3" t="s">
        <v>8</v>
      </c>
      <c r="C579" s="3">
        <v>64.0</v>
      </c>
      <c r="D579" s="3">
        <v>5.0</v>
      </c>
      <c r="E579" s="5" t="s">
        <v>97</v>
      </c>
      <c r="F579" s="5" t="s">
        <v>1279</v>
      </c>
      <c r="G579" s="5" t="s">
        <v>1280</v>
      </c>
      <c r="H579" s="27">
        <v>0.0</v>
      </c>
      <c r="I579" s="27">
        <v>0.844</v>
      </c>
      <c r="J579" s="27">
        <v>0.0</v>
      </c>
      <c r="K579" s="27">
        <v>0.333</v>
      </c>
      <c r="L579" s="4" t="str">
        <f>IMAGE("https://drive.google.com/uc?export=view&amp;id=1sM15VPFCnImoeQjsAdOTBa-MNDL7X8MS")</f>
        <v/>
      </c>
    </row>
    <row r="580" ht="22.5" customHeight="1">
      <c r="A580" s="4">
        <v>579.0</v>
      </c>
      <c r="B580" s="3" t="s">
        <v>8</v>
      </c>
      <c r="C580" s="3">
        <v>64.0</v>
      </c>
      <c r="D580" s="3">
        <v>5.0</v>
      </c>
      <c r="E580" s="5" t="s">
        <v>100</v>
      </c>
      <c r="F580" s="5" t="s">
        <v>1281</v>
      </c>
      <c r="G580" s="5" t="s">
        <v>1282</v>
      </c>
      <c r="H580" s="27">
        <v>0.733</v>
      </c>
      <c r="I580" s="27">
        <v>0.915</v>
      </c>
      <c r="J580" s="27">
        <v>1.0</v>
      </c>
      <c r="K580" s="27">
        <v>1.0</v>
      </c>
      <c r="L580" s="4" t="str">
        <f>IMAGE("https://drive.google.com/uc?export=view&amp;id=1AAlbT5s75VtBglvaUq4mn-IueO4lT2Ct")</f>
        <v/>
      </c>
    </row>
    <row r="581" ht="22.5" customHeight="1">
      <c r="A581" s="4">
        <v>580.0</v>
      </c>
      <c r="B581" s="3" t="s">
        <v>8</v>
      </c>
      <c r="C581" s="3">
        <v>64.0</v>
      </c>
      <c r="D581" s="3">
        <v>5.0</v>
      </c>
      <c r="E581" s="5" t="s">
        <v>115</v>
      </c>
      <c r="F581" s="5" t="s">
        <v>1283</v>
      </c>
      <c r="G581" s="5" t="s">
        <v>1284</v>
      </c>
      <c r="H581" s="27">
        <v>0.923</v>
      </c>
      <c r="I581" s="27">
        <v>0.979</v>
      </c>
      <c r="J581" s="27">
        <v>1.0</v>
      </c>
      <c r="K581" s="27">
        <v>1.0</v>
      </c>
      <c r="L581" s="4" t="str">
        <f>IMAGE("https://drive.google.com/uc?export=view&amp;id=18jgohjZ7wUibQ47sx8tkgCFQ-bW16_Wc")</f>
        <v/>
      </c>
    </row>
    <row r="582" ht="22.5" customHeight="1">
      <c r="A582" s="4">
        <v>581.0</v>
      </c>
      <c r="B582" s="3" t="s">
        <v>8</v>
      </c>
      <c r="C582" s="3">
        <v>64.0</v>
      </c>
      <c r="D582" s="3">
        <v>5.0</v>
      </c>
      <c r="E582" s="5" t="s">
        <v>103</v>
      </c>
      <c r="F582" s="5" t="s">
        <v>1285</v>
      </c>
      <c r="G582" s="5" t="s">
        <v>1286</v>
      </c>
      <c r="H582" s="27">
        <v>1.0</v>
      </c>
      <c r="I582" s="27">
        <v>0.818</v>
      </c>
      <c r="J582" s="27">
        <v>1.0</v>
      </c>
      <c r="K582" s="27">
        <v>1.0</v>
      </c>
      <c r="L582" s="4" t="str">
        <f>IMAGE("https://drive.google.com/uc?export=view&amp;id=1QHQIxjywzSgHqbR3igHHZBp_-EYSDeIO")</f>
        <v/>
      </c>
    </row>
    <row r="583" ht="22.5" customHeight="1">
      <c r="A583" s="4">
        <v>582.0</v>
      </c>
      <c r="B583" s="3" t="s">
        <v>8</v>
      </c>
      <c r="C583" s="3">
        <v>64.0</v>
      </c>
      <c r="D583" s="3">
        <v>5.0</v>
      </c>
      <c r="E583" s="5" t="s">
        <v>106</v>
      </c>
      <c r="F583" s="5" t="s">
        <v>1287</v>
      </c>
      <c r="G583" s="5" t="s">
        <v>1288</v>
      </c>
      <c r="H583" s="27">
        <v>0.889</v>
      </c>
      <c r="I583" s="27">
        <v>0.0</v>
      </c>
      <c r="J583" s="27">
        <v>0.0</v>
      </c>
      <c r="K583" s="27">
        <v>0.667</v>
      </c>
      <c r="L583" s="4" t="str">
        <f>IMAGE("https://drive.google.com/uc?export=view&amp;id=1E-gkl9Jl8qRypr4NdgH48NM-5Xdqlzhm")</f>
        <v/>
      </c>
    </row>
    <row r="584" ht="22.5" customHeight="1">
      <c r="A584" s="4">
        <v>583.0</v>
      </c>
      <c r="B584" s="3" t="s">
        <v>8</v>
      </c>
      <c r="C584" s="3">
        <v>64.0</v>
      </c>
      <c r="D584" s="3">
        <v>5.0</v>
      </c>
      <c r="E584" s="5" t="s">
        <v>109</v>
      </c>
      <c r="F584" s="5" t="s">
        <v>1289</v>
      </c>
      <c r="G584" s="5" t="s">
        <v>1290</v>
      </c>
      <c r="H584" s="27">
        <v>0.667</v>
      </c>
      <c r="I584" s="27">
        <v>1.0</v>
      </c>
      <c r="J584" s="27">
        <v>0.917</v>
      </c>
      <c r="K584" s="27">
        <v>0.444</v>
      </c>
      <c r="L584" s="4" t="str">
        <f>IMAGE("https://drive.google.com/uc?export=view&amp;id=11GO_a5i2o_9bazC55y5GYfiXZTQuEiEn")</f>
        <v/>
      </c>
    </row>
    <row r="585" ht="22.5" customHeight="1">
      <c r="A585" s="4">
        <v>584.0</v>
      </c>
      <c r="B585" s="3" t="s">
        <v>8</v>
      </c>
      <c r="C585" s="3">
        <v>64.0</v>
      </c>
      <c r="D585" s="3">
        <v>5.0</v>
      </c>
      <c r="E585" s="5" t="s">
        <v>112</v>
      </c>
      <c r="F585" s="5" t="s">
        <v>1291</v>
      </c>
      <c r="G585" s="5" t="s">
        <v>1292</v>
      </c>
      <c r="H585" s="27">
        <v>1.0</v>
      </c>
      <c r="I585" s="27">
        <v>0.987</v>
      </c>
      <c r="J585" s="27">
        <v>1.0</v>
      </c>
      <c r="K585" s="27">
        <v>0.8</v>
      </c>
      <c r="L585" s="4" t="str">
        <f>IMAGE("https://drive.google.com/uc?export=view&amp;id=1YUrJB4XUPdR_6gOskvialo3otMZReaMm")</f>
        <v/>
      </c>
    </row>
    <row r="586" ht="22.5" customHeight="1">
      <c r="A586" s="4">
        <v>585.0</v>
      </c>
      <c r="B586" s="3" t="s">
        <v>8</v>
      </c>
      <c r="C586" s="3">
        <v>64.0</v>
      </c>
      <c r="D586" s="3">
        <v>5.0</v>
      </c>
      <c r="E586" s="5" t="s">
        <v>118</v>
      </c>
      <c r="F586" s="5" t="s">
        <v>1293</v>
      </c>
      <c r="G586" s="5" t="s">
        <v>1294</v>
      </c>
      <c r="H586" s="27">
        <v>0.727</v>
      </c>
      <c r="I586" s="27">
        <v>0.591</v>
      </c>
      <c r="J586" s="27">
        <v>0.887</v>
      </c>
      <c r="K586" s="27">
        <v>0.857</v>
      </c>
      <c r="L586" s="4" t="str">
        <f>IMAGE("https://drive.google.com/uc?export=view&amp;id=18JO3aK9-iwL6G1xbLNgAurmu6lDbPSFT")</f>
        <v/>
      </c>
    </row>
    <row r="587" ht="22.5" customHeight="1">
      <c r="A587" s="4">
        <v>586.0</v>
      </c>
      <c r="B587" s="3" t="s">
        <v>8</v>
      </c>
      <c r="C587" s="3">
        <v>64.0</v>
      </c>
      <c r="D587" s="3">
        <v>5.0</v>
      </c>
      <c r="E587" s="5" t="s">
        <v>121</v>
      </c>
      <c r="F587" s="5" t="s">
        <v>1295</v>
      </c>
      <c r="G587" s="5" t="s">
        <v>1296</v>
      </c>
      <c r="H587" s="27">
        <v>0.6</v>
      </c>
      <c r="I587" s="27">
        <v>0.963</v>
      </c>
      <c r="J587" s="27">
        <v>0.833</v>
      </c>
      <c r="K587" s="27">
        <v>1.0</v>
      </c>
      <c r="L587" s="4" t="str">
        <f>IMAGE("https://drive.google.com/uc?export=view&amp;id=1SN1F0bnFM9hOAsrn6PcEU0O_EFdkX1Fa")</f>
        <v/>
      </c>
    </row>
    <row r="588" ht="22.5" customHeight="1">
      <c r="A588" s="4">
        <v>587.0</v>
      </c>
      <c r="B588" s="3" t="s">
        <v>8</v>
      </c>
      <c r="C588" s="3">
        <v>64.0</v>
      </c>
      <c r="D588" s="3">
        <v>5.0</v>
      </c>
      <c r="E588" s="5" t="s">
        <v>124</v>
      </c>
      <c r="F588" s="5" t="s">
        <v>1297</v>
      </c>
      <c r="G588" s="5" t="s">
        <v>1298</v>
      </c>
      <c r="H588" s="27">
        <v>1.0</v>
      </c>
      <c r="I588" s="27">
        <v>0.996</v>
      </c>
      <c r="J588" s="27">
        <v>1.0</v>
      </c>
      <c r="K588" s="27">
        <v>0.8</v>
      </c>
      <c r="L588" s="4" t="str">
        <f>IMAGE("https://drive.google.com/uc?export=view&amp;id=1PRnxMX5RIj_JbKHU6xHPh8UbiZIQ3xZJ")</f>
        <v/>
      </c>
    </row>
    <row r="589" ht="22.5" customHeight="1">
      <c r="A589" s="4">
        <v>588.0</v>
      </c>
      <c r="B589" s="3" t="s">
        <v>8</v>
      </c>
      <c r="C589" s="3">
        <v>64.0</v>
      </c>
      <c r="D589" s="3">
        <v>5.0</v>
      </c>
      <c r="E589" s="5" t="s">
        <v>127</v>
      </c>
      <c r="F589" s="5" t="s">
        <v>1299</v>
      </c>
      <c r="G589" s="5" t="s">
        <v>1300</v>
      </c>
      <c r="H589" s="27">
        <v>0.857</v>
      </c>
      <c r="I589" s="27">
        <v>0.756</v>
      </c>
      <c r="J589" s="27">
        <v>1.0</v>
      </c>
      <c r="K589" s="27">
        <v>1.0</v>
      </c>
      <c r="L589" s="4" t="str">
        <f>IMAGE("https://drive.google.com/uc?export=view&amp;id=1tzI9t1Y_meFPvgMDfIeZN-8WwnSxXWn-")</f>
        <v/>
      </c>
    </row>
    <row r="590" ht="22.5" customHeight="1">
      <c r="A590" s="4">
        <v>589.0</v>
      </c>
      <c r="B590" s="3" t="s">
        <v>8</v>
      </c>
      <c r="C590" s="3">
        <v>64.0</v>
      </c>
      <c r="D590" s="3">
        <v>5.0</v>
      </c>
      <c r="E590" s="5" t="s">
        <v>130</v>
      </c>
      <c r="F590" s="5" t="s">
        <v>1301</v>
      </c>
      <c r="G590" s="5" t="s">
        <v>1302</v>
      </c>
      <c r="H590" s="27">
        <v>0.667</v>
      </c>
      <c r="I590" s="27">
        <v>0.848</v>
      </c>
      <c r="J590" s="27">
        <v>1.0</v>
      </c>
      <c r="K590" s="27">
        <v>0.556</v>
      </c>
      <c r="L590" s="4" t="str">
        <f>IMAGE("https://drive.google.com/uc?export=view&amp;id=1KNbMhQ7n8NsdZBd6egWA-rATJEZLGFkA")</f>
        <v/>
      </c>
    </row>
    <row r="591" ht="22.5" customHeight="1">
      <c r="A591" s="4">
        <v>590.0</v>
      </c>
      <c r="B591" s="3" t="s">
        <v>8</v>
      </c>
      <c r="C591" s="3">
        <v>64.0</v>
      </c>
      <c r="D591" s="3">
        <v>5.0</v>
      </c>
      <c r="E591" s="5" t="s">
        <v>136</v>
      </c>
      <c r="F591" s="5" t="s">
        <v>1303</v>
      </c>
      <c r="G591" s="5" t="s">
        <v>1304</v>
      </c>
      <c r="H591" s="27">
        <v>1.0</v>
      </c>
      <c r="I591" s="27">
        <v>0.748</v>
      </c>
      <c r="J591" s="27">
        <v>1.0</v>
      </c>
      <c r="K591" s="27">
        <v>1.0</v>
      </c>
      <c r="L591" s="5" t="s">
        <v>1305</v>
      </c>
    </row>
    <row r="592" ht="22.5" customHeight="1">
      <c r="A592" s="4">
        <v>591.0</v>
      </c>
      <c r="B592" s="3" t="s">
        <v>8</v>
      </c>
      <c r="C592" s="3">
        <v>64.0</v>
      </c>
      <c r="D592" s="3">
        <v>5.0</v>
      </c>
      <c r="E592" s="5" t="s">
        <v>139</v>
      </c>
      <c r="F592" s="5" t="s">
        <v>1306</v>
      </c>
      <c r="G592" s="5" t="s">
        <v>1307</v>
      </c>
      <c r="H592" s="27">
        <v>1.0</v>
      </c>
      <c r="I592" s="27">
        <v>1.0</v>
      </c>
      <c r="J592" s="27">
        <v>0.887</v>
      </c>
      <c r="K592" s="27">
        <v>0.4</v>
      </c>
      <c r="L592" s="4" t="str">
        <f>IMAGE("https://drive.google.com/uc?export=view&amp;id=19v5duyW3C4a9YgFJzkExXub1DOkqsG4l")</f>
        <v/>
      </c>
    </row>
    <row r="593" ht="22.5" customHeight="1">
      <c r="A593" s="4">
        <v>592.0</v>
      </c>
      <c r="B593" s="3" t="s">
        <v>8</v>
      </c>
      <c r="C593" s="3">
        <v>64.0</v>
      </c>
      <c r="D593" s="3">
        <v>5.0</v>
      </c>
      <c r="E593" s="5" t="s">
        <v>133</v>
      </c>
      <c r="F593" s="5" t="s">
        <v>1308</v>
      </c>
      <c r="G593" s="5" t="s">
        <v>1309</v>
      </c>
      <c r="H593" s="27">
        <v>0.714</v>
      </c>
      <c r="I593" s="27">
        <v>0.873</v>
      </c>
      <c r="J593" s="27">
        <v>1.0</v>
      </c>
      <c r="K593" s="27">
        <v>1.0</v>
      </c>
      <c r="L593" s="4" t="str">
        <f>IMAGE("https://drive.google.com/uc?export=view&amp;id=1m4HxoIsw7lEbUoKeHEuY52mBsdjRreR2")</f>
        <v/>
      </c>
    </row>
    <row r="594" ht="22.5" customHeight="1">
      <c r="A594" s="4">
        <v>593.0</v>
      </c>
      <c r="B594" s="3" t="s">
        <v>8</v>
      </c>
      <c r="C594" s="3">
        <v>64.0</v>
      </c>
      <c r="D594" s="3">
        <v>5.0</v>
      </c>
      <c r="E594" s="5" t="s">
        <v>142</v>
      </c>
      <c r="F594" s="5" t="s">
        <v>1310</v>
      </c>
      <c r="G594" s="5" t="s">
        <v>1311</v>
      </c>
      <c r="H594" s="27">
        <v>0.957</v>
      </c>
      <c r="I594" s="27">
        <v>0.589</v>
      </c>
      <c r="J594" s="27">
        <v>1.0</v>
      </c>
      <c r="K594" s="27">
        <v>1.0</v>
      </c>
      <c r="L594" s="4" t="str">
        <f>IMAGE("https://drive.google.com/uc?export=view&amp;id=1mcxnIj0hNZBwhmPqyVm1exRojWVgXSLk")</f>
        <v/>
      </c>
    </row>
    <row r="595" ht="22.5" customHeight="1">
      <c r="A595" s="4">
        <v>594.0</v>
      </c>
      <c r="B595" s="3" t="s">
        <v>8</v>
      </c>
      <c r="C595" s="3">
        <v>64.0</v>
      </c>
      <c r="D595" s="3">
        <v>5.0</v>
      </c>
      <c r="E595" s="5" t="s">
        <v>145</v>
      </c>
      <c r="F595" s="5" t="s">
        <v>1312</v>
      </c>
      <c r="G595" s="5" t="s">
        <v>1313</v>
      </c>
      <c r="H595" s="27">
        <v>1.0</v>
      </c>
      <c r="I595" s="27">
        <v>0.998</v>
      </c>
      <c r="J595" s="27">
        <v>1.0</v>
      </c>
      <c r="K595" s="27">
        <v>1.0</v>
      </c>
      <c r="L595" s="4" t="str">
        <f>IMAGE("https://drive.google.com/uc?export=view&amp;id=1bB0m-UM2VKepRyTWtMXYgJaBVtR8D69a")</f>
        <v/>
      </c>
    </row>
    <row r="596" ht="22.5" customHeight="1">
      <c r="A596" s="4">
        <v>595.0</v>
      </c>
      <c r="B596" s="3" t="s">
        <v>8</v>
      </c>
      <c r="C596" s="3">
        <v>64.0</v>
      </c>
      <c r="D596" s="3">
        <v>5.0</v>
      </c>
      <c r="E596" s="5" t="s">
        <v>148</v>
      </c>
      <c r="F596" s="5" t="s">
        <v>1314</v>
      </c>
      <c r="G596" s="5" t="s">
        <v>1315</v>
      </c>
      <c r="H596" s="27">
        <v>0.3</v>
      </c>
      <c r="I596" s="27">
        <v>0.992</v>
      </c>
      <c r="J596" s="27">
        <v>1.0</v>
      </c>
      <c r="K596" s="27">
        <v>0.833</v>
      </c>
      <c r="L596" s="4" t="str">
        <f>IMAGE("https://drive.google.com/uc?export=view&amp;id=1olfP43i-u_bEk45yQxcxnjQ0SZc1K8DQ")</f>
        <v/>
      </c>
    </row>
    <row r="597" ht="22.5" customHeight="1">
      <c r="A597" s="4">
        <v>596.0</v>
      </c>
      <c r="B597" s="3" t="s">
        <v>8</v>
      </c>
      <c r="C597" s="3">
        <v>64.0</v>
      </c>
      <c r="D597" s="3">
        <v>5.0</v>
      </c>
      <c r="E597" s="5" t="s">
        <v>151</v>
      </c>
      <c r="F597" s="5" t="s">
        <v>1316</v>
      </c>
      <c r="G597" s="5" t="s">
        <v>1317</v>
      </c>
      <c r="H597" s="27">
        <v>0.455</v>
      </c>
      <c r="I597" s="27">
        <v>0.989</v>
      </c>
      <c r="J597" s="27">
        <v>1.0</v>
      </c>
      <c r="K597" s="27">
        <v>1.0</v>
      </c>
      <c r="L597" s="4" t="str">
        <f>IMAGE("https://drive.google.com/uc?export=view&amp;id=1Tvaw8hrgt7KtAQUtLkO4SSOoYx3noAew")</f>
        <v/>
      </c>
    </row>
    <row r="598" ht="22.5" customHeight="1">
      <c r="A598" s="4">
        <v>597.0</v>
      </c>
      <c r="B598" s="3" t="s">
        <v>8</v>
      </c>
      <c r="C598" s="3">
        <v>64.0</v>
      </c>
      <c r="D598" s="3">
        <v>5.0</v>
      </c>
      <c r="E598" s="5" t="s">
        <v>154</v>
      </c>
      <c r="F598" s="5" t="s">
        <v>1318</v>
      </c>
      <c r="G598" s="5" t="s">
        <v>1319</v>
      </c>
      <c r="H598" s="27">
        <v>0.909</v>
      </c>
      <c r="I598" s="27">
        <v>0.68</v>
      </c>
      <c r="J598" s="27">
        <v>1.0</v>
      </c>
      <c r="K598" s="27">
        <v>1.0</v>
      </c>
      <c r="L598" s="4" t="str">
        <f>IMAGE("https://drive.google.com/uc?export=view&amp;id=1sEB3ACNpCgvcZ6gUf--kK1aAqL2Xv8Xp")</f>
        <v/>
      </c>
    </row>
    <row r="599" ht="22.5" customHeight="1">
      <c r="A599" s="4">
        <v>598.0</v>
      </c>
      <c r="B599" s="3" t="s">
        <v>8</v>
      </c>
      <c r="C599" s="3">
        <v>64.0</v>
      </c>
      <c r="D599" s="3">
        <v>5.0</v>
      </c>
      <c r="E599" s="5" t="s">
        <v>157</v>
      </c>
      <c r="F599" s="5" t="s">
        <v>1320</v>
      </c>
      <c r="G599" s="5" t="s">
        <v>1321</v>
      </c>
      <c r="H599" s="27">
        <v>0.455</v>
      </c>
      <c r="I599" s="27">
        <v>0.998</v>
      </c>
      <c r="J599" s="27">
        <v>0.806</v>
      </c>
      <c r="K599" s="27">
        <v>0.429</v>
      </c>
      <c r="L599" s="4" t="str">
        <f>IMAGE("https://drive.google.com/uc?export=view&amp;id=18eoquw7yRi0KnWf5OKWO632CzErdPx5q")</f>
        <v/>
      </c>
    </row>
    <row r="600" ht="22.5" customHeight="1">
      <c r="A600" s="4">
        <v>599.0</v>
      </c>
      <c r="B600" s="3" t="s">
        <v>8</v>
      </c>
      <c r="C600" s="3">
        <v>64.0</v>
      </c>
      <c r="D600" s="3">
        <v>5.0</v>
      </c>
      <c r="E600" s="5" t="s">
        <v>160</v>
      </c>
      <c r="F600" s="5" t="s">
        <v>1322</v>
      </c>
      <c r="G600" s="5" t="s">
        <v>1323</v>
      </c>
      <c r="H600" s="27">
        <v>1.0</v>
      </c>
      <c r="I600" s="27">
        <v>0.973</v>
      </c>
      <c r="J600" s="27">
        <v>1.0</v>
      </c>
      <c r="K600" s="27">
        <v>0.75</v>
      </c>
      <c r="L600" s="4" t="str">
        <f>IMAGE("https://drive.google.com/uc?export=view&amp;id=1lhHrOy4Q5KepHUh4ASj-_TvjrxG5Z7Iw")</f>
        <v/>
      </c>
    </row>
    <row r="601" ht="22.5" customHeight="1">
      <c r="A601" s="4">
        <v>600.0</v>
      </c>
      <c r="B601" s="3" t="s">
        <v>8</v>
      </c>
      <c r="C601" s="3">
        <v>64.0</v>
      </c>
      <c r="D601" s="3">
        <v>5.0</v>
      </c>
      <c r="E601" s="5" t="s">
        <v>163</v>
      </c>
      <c r="F601" s="5" t="s">
        <v>1324</v>
      </c>
      <c r="G601" s="5" t="s">
        <v>1325</v>
      </c>
      <c r="H601" s="27">
        <v>0.92</v>
      </c>
      <c r="I601" s="27">
        <v>0.629</v>
      </c>
      <c r="J601" s="27">
        <v>0.95</v>
      </c>
      <c r="K601" s="27">
        <v>1.0</v>
      </c>
      <c r="L601" s="4" t="str">
        <f>IMAGE("https://drive.google.com/uc?export=view&amp;id=1aoK5gETYeEq_r3vRV4AS7DrPKi3sRsib")</f>
        <v/>
      </c>
    </row>
    <row r="602" ht="22.5" customHeight="1">
      <c r="A602" s="4">
        <v>601.0</v>
      </c>
      <c r="B602" s="3" t="s">
        <v>8</v>
      </c>
      <c r="C602" s="3">
        <v>64.0</v>
      </c>
      <c r="D602" s="3">
        <v>5.0</v>
      </c>
      <c r="E602" s="5" t="s">
        <v>166</v>
      </c>
      <c r="F602" s="5" t="s">
        <v>1326</v>
      </c>
      <c r="G602" s="5" t="s">
        <v>1327</v>
      </c>
      <c r="H602" s="27">
        <v>0.667</v>
      </c>
      <c r="I602" s="27">
        <v>0.986</v>
      </c>
      <c r="J602" s="27">
        <v>1.0</v>
      </c>
      <c r="K602" s="27">
        <v>0.667</v>
      </c>
      <c r="L602" s="4" t="str">
        <f>IMAGE("https://drive.google.com/uc?export=view&amp;id=1QixMFa2jPcY_hYkpUiAYU5zXpyyuz99H")</f>
        <v/>
      </c>
    </row>
    <row r="603" ht="22.5" customHeight="1">
      <c r="A603" s="4">
        <v>602.0</v>
      </c>
      <c r="B603" s="3" t="s">
        <v>8</v>
      </c>
      <c r="C603" s="3">
        <v>64.0</v>
      </c>
      <c r="D603" s="3">
        <v>5.0</v>
      </c>
      <c r="E603" s="5" t="s">
        <v>169</v>
      </c>
      <c r="F603" s="5" t="s">
        <v>1328</v>
      </c>
      <c r="G603" s="5" t="s">
        <v>1329</v>
      </c>
      <c r="H603" s="27">
        <v>0.727</v>
      </c>
      <c r="I603" s="27">
        <v>0.9</v>
      </c>
      <c r="J603" s="27">
        <v>0.756</v>
      </c>
      <c r="K603" s="27">
        <v>1.0</v>
      </c>
      <c r="L603" s="4" t="str">
        <f>IMAGE("https://drive.google.com/uc?export=view&amp;id=1GPO-Bp6lBmjqJmNEn3GWwq7jZuhgM6uA")</f>
        <v/>
      </c>
    </row>
    <row r="604" ht="22.5" customHeight="1">
      <c r="A604" s="4">
        <v>603.0</v>
      </c>
      <c r="B604" s="3" t="s">
        <v>8</v>
      </c>
      <c r="C604" s="3">
        <v>64.0</v>
      </c>
      <c r="D604" s="3">
        <v>5.0</v>
      </c>
      <c r="E604" s="5" t="s">
        <v>172</v>
      </c>
      <c r="F604" s="5" t="s">
        <v>1330</v>
      </c>
      <c r="G604" s="5" t="s">
        <v>1331</v>
      </c>
      <c r="H604" s="27">
        <v>1.0</v>
      </c>
      <c r="I604" s="27">
        <v>0.97</v>
      </c>
      <c r="J604" s="27">
        <v>1.0</v>
      </c>
      <c r="K604" s="27">
        <v>1.0</v>
      </c>
      <c r="L604" s="4" t="str">
        <f>IMAGE("https://drive.google.com/uc?export=view&amp;id=16Wz2tyFMhBPr36pxeafMqzoeAwcEuHHt")</f>
        <v/>
      </c>
    </row>
    <row r="605" ht="22.5" customHeight="1">
      <c r="A605" s="4">
        <v>604.0</v>
      </c>
      <c r="B605" s="3" t="s">
        <v>8</v>
      </c>
      <c r="C605" s="3">
        <v>64.0</v>
      </c>
      <c r="D605" s="3">
        <v>5.0</v>
      </c>
      <c r="E605" s="5" t="s">
        <v>175</v>
      </c>
      <c r="F605" s="5" t="s">
        <v>1332</v>
      </c>
      <c r="G605" s="5" t="s">
        <v>1333</v>
      </c>
      <c r="H605" s="27">
        <v>1.0</v>
      </c>
      <c r="I605" s="27">
        <v>0.888</v>
      </c>
      <c r="J605" s="27">
        <v>0.833</v>
      </c>
      <c r="K605" s="27">
        <v>0.1</v>
      </c>
      <c r="L605" s="4" t="str">
        <f>IMAGE("https://drive.google.com/uc?export=view&amp;id=1oH97pxPs9t5m-X4FOr-m_-uGjLL4CrNK")</f>
        <v/>
      </c>
    </row>
    <row r="606" ht="22.5" customHeight="1">
      <c r="A606" s="4">
        <v>605.0</v>
      </c>
      <c r="B606" s="3" t="s">
        <v>8</v>
      </c>
      <c r="C606" s="3">
        <v>64.0</v>
      </c>
      <c r="D606" s="3">
        <v>5.0</v>
      </c>
      <c r="E606" s="5" t="s">
        <v>178</v>
      </c>
      <c r="F606" s="5" t="s">
        <v>1334</v>
      </c>
      <c r="G606" s="5" t="s">
        <v>1335</v>
      </c>
      <c r="H606" s="27">
        <v>0.727</v>
      </c>
      <c r="I606" s="27">
        <v>0.947</v>
      </c>
      <c r="J606" s="27">
        <v>1.0</v>
      </c>
      <c r="K606" s="27">
        <v>0.0</v>
      </c>
      <c r="L606" s="4" t="str">
        <f>IMAGE("https://drive.google.com/uc?export=view&amp;id=1duRZnrmw7PZXPyiDG9-9jqhV3MPGe4Gv")</f>
        <v/>
      </c>
    </row>
    <row r="607" ht="22.5" customHeight="1">
      <c r="A607" s="4">
        <v>606.0</v>
      </c>
      <c r="B607" s="3" t="s">
        <v>8</v>
      </c>
      <c r="C607" s="3">
        <v>64.0</v>
      </c>
      <c r="D607" s="3">
        <v>5.0</v>
      </c>
      <c r="E607" s="5" t="s">
        <v>856</v>
      </c>
      <c r="F607" s="5" t="s">
        <v>1336</v>
      </c>
      <c r="G607" s="5" t="s">
        <v>1337</v>
      </c>
      <c r="H607" s="27">
        <v>0.7</v>
      </c>
      <c r="I607" s="27">
        <v>0.942</v>
      </c>
      <c r="J607" s="27">
        <v>1.0</v>
      </c>
      <c r="K607" s="27">
        <v>1.0</v>
      </c>
      <c r="L607" s="4" t="str">
        <f>IMAGE("https://drive.google.com/uc?export=view&amp;id=16SG6Kzeh-EXt3LjhB5hqOFMNXbxzhNuR")</f>
        <v/>
      </c>
    </row>
    <row r="608" ht="22.5" customHeight="1">
      <c r="A608" s="4">
        <v>607.0</v>
      </c>
      <c r="B608" s="3" t="s">
        <v>8</v>
      </c>
      <c r="C608" s="3">
        <v>64.0</v>
      </c>
      <c r="D608" s="3">
        <v>5.0</v>
      </c>
      <c r="E608" s="5" t="s">
        <v>184</v>
      </c>
      <c r="F608" s="5" t="s">
        <v>1338</v>
      </c>
      <c r="G608" s="5" t="s">
        <v>1339</v>
      </c>
      <c r="H608" s="27">
        <v>0.444</v>
      </c>
      <c r="I608" s="27">
        <v>0.85</v>
      </c>
      <c r="J608" s="27">
        <v>1.0</v>
      </c>
      <c r="K608" s="27">
        <v>1.0</v>
      </c>
      <c r="L608" s="4" t="str">
        <f>IMAGE("https://drive.google.com/uc?export=view&amp;id=1WC3ptt0IDZevWFFMcj8l8WYxynazrwS6")</f>
        <v/>
      </c>
    </row>
    <row r="609" ht="22.5" customHeight="1">
      <c r="A609" s="4">
        <v>608.0</v>
      </c>
      <c r="B609" s="3" t="s">
        <v>8</v>
      </c>
      <c r="C609" s="3">
        <v>64.0</v>
      </c>
      <c r="D609" s="3">
        <v>5.0</v>
      </c>
      <c r="E609" s="5" t="s">
        <v>187</v>
      </c>
      <c r="F609" s="5" t="s">
        <v>1340</v>
      </c>
      <c r="G609" s="5" t="s">
        <v>1341</v>
      </c>
      <c r="H609" s="27">
        <v>0.7</v>
      </c>
      <c r="I609" s="27">
        <v>0.942</v>
      </c>
      <c r="J609" s="27">
        <v>0.679</v>
      </c>
      <c r="K609" s="27">
        <v>1.0</v>
      </c>
      <c r="L609" s="4" t="str">
        <f>IMAGE("https://drive.google.com/uc?export=view&amp;id=1bbQqgoPT3uaZ2-e4Q_I0JuZonuxCSLkd")</f>
        <v/>
      </c>
    </row>
    <row r="610" ht="22.5" customHeight="1">
      <c r="A610" s="4">
        <v>609.0</v>
      </c>
      <c r="B610" s="3" t="s">
        <v>8</v>
      </c>
      <c r="C610" s="3">
        <v>64.0</v>
      </c>
      <c r="D610" s="3">
        <v>5.0</v>
      </c>
      <c r="E610" s="5" t="s">
        <v>193</v>
      </c>
      <c r="F610" s="5" t="s">
        <v>1342</v>
      </c>
      <c r="G610" s="5" t="s">
        <v>1343</v>
      </c>
      <c r="H610" s="27">
        <v>0.143</v>
      </c>
      <c r="I610" s="27">
        <v>0.873</v>
      </c>
      <c r="J610" s="27">
        <v>1.0</v>
      </c>
      <c r="K610" s="27">
        <v>0.0</v>
      </c>
      <c r="L610" s="4" t="str">
        <f>IMAGE("https://drive.google.com/uc?export=view&amp;id=1UQByIBuysccoqSbwFIksvq9S4-9hZxa7")</f>
        <v/>
      </c>
    </row>
    <row r="611" ht="22.5" customHeight="1">
      <c r="A611" s="4">
        <v>610.0</v>
      </c>
      <c r="B611" s="3" t="s">
        <v>8</v>
      </c>
      <c r="C611" s="3">
        <v>64.0</v>
      </c>
      <c r="D611" s="3">
        <v>5.0</v>
      </c>
      <c r="E611" s="5" t="s">
        <v>190</v>
      </c>
      <c r="F611" s="5" t="s">
        <v>1344</v>
      </c>
      <c r="G611" s="5" t="s">
        <v>1345</v>
      </c>
      <c r="H611" s="27">
        <v>0.0</v>
      </c>
      <c r="I611" s="27">
        <v>0.892</v>
      </c>
      <c r="J611" s="27">
        <v>0.95</v>
      </c>
      <c r="K611" s="27">
        <v>1.0</v>
      </c>
      <c r="L611" s="4" t="str">
        <f>IMAGE("https://drive.google.com/uc?export=view&amp;id=1NLDwQtX5cdxryBwwM3CTYC4QFcdZ9V_x")</f>
        <v/>
      </c>
    </row>
    <row r="612" ht="22.5" customHeight="1">
      <c r="A612" s="4">
        <v>611.0</v>
      </c>
      <c r="B612" s="3" t="s">
        <v>8</v>
      </c>
      <c r="C612" s="3">
        <v>64.0</v>
      </c>
      <c r="D612" s="3">
        <v>5.0</v>
      </c>
      <c r="E612" s="5" t="s">
        <v>196</v>
      </c>
      <c r="F612" s="5" t="s">
        <v>1346</v>
      </c>
      <c r="G612" s="5" t="s">
        <v>1347</v>
      </c>
      <c r="H612" s="27">
        <v>0.8</v>
      </c>
      <c r="I612" s="27">
        <v>0.765</v>
      </c>
      <c r="J612" s="27">
        <v>1.0</v>
      </c>
      <c r="K612" s="27">
        <v>1.0</v>
      </c>
      <c r="L612" s="4" t="str">
        <f>IMAGE("https://drive.google.com/uc?export=view&amp;id=1FXQz0xgu_18ZKBg3OieK6WkuGlkJTNbS")</f>
        <v/>
      </c>
    </row>
    <row r="613" ht="22.5" customHeight="1">
      <c r="A613" s="4">
        <v>612.0</v>
      </c>
      <c r="B613" s="3" t="s">
        <v>8</v>
      </c>
      <c r="C613" s="3">
        <v>64.0</v>
      </c>
      <c r="D613" s="3">
        <v>5.0</v>
      </c>
      <c r="E613" s="5" t="s">
        <v>199</v>
      </c>
      <c r="F613" s="5" t="s">
        <v>1348</v>
      </c>
      <c r="G613" s="5" t="s">
        <v>1349</v>
      </c>
      <c r="H613" s="27">
        <v>0.652</v>
      </c>
      <c r="I613" s="27">
        <v>0.929</v>
      </c>
      <c r="J613" s="27">
        <v>1.0</v>
      </c>
      <c r="K613" s="27">
        <v>1.0</v>
      </c>
      <c r="L613" s="4" t="str">
        <f>IMAGE("https://drive.google.com/uc?export=view&amp;id=11bj0TpFb4uaVE03XnDmBebrf2ry-232Z")</f>
        <v/>
      </c>
    </row>
    <row r="614" ht="22.5" customHeight="1">
      <c r="A614" s="4">
        <v>613.0</v>
      </c>
      <c r="B614" s="3" t="s">
        <v>8</v>
      </c>
      <c r="C614" s="3">
        <v>64.0</v>
      </c>
      <c r="D614" s="3">
        <v>5.0</v>
      </c>
      <c r="E614" s="5" t="s">
        <v>205</v>
      </c>
      <c r="F614" s="5" t="s">
        <v>1350</v>
      </c>
      <c r="G614" s="5" t="s">
        <v>1351</v>
      </c>
      <c r="H614" s="27">
        <v>0.0</v>
      </c>
      <c r="I614" s="27">
        <v>1.0</v>
      </c>
      <c r="J614" s="27">
        <v>1.0</v>
      </c>
      <c r="K614" s="27">
        <v>1.0</v>
      </c>
      <c r="L614" s="4" t="str">
        <f>IMAGE("https://drive.google.com/uc?export=view&amp;id=1lMl-CJN840wmZlV1waGSPw7qCZT243tn")</f>
        <v/>
      </c>
    </row>
    <row r="615" ht="22.5" customHeight="1">
      <c r="A615" s="4">
        <v>614.0</v>
      </c>
      <c r="B615" s="3" t="s">
        <v>8</v>
      </c>
      <c r="C615" s="3">
        <v>64.0</v>
      </c>
      <c r="D615" s="3">
        <v>5.0</v>
      </c>
      <c r="E615" s="5" t="s">
        <v>202</v>
      </c>
      <c r="F615" s="5" t="s">
        <v>1352</v>
      </c>
      <c r="G615" s="5" t="s">
        <v>1353</v>
      </c>
      <c r="H615" s="27">
        <v>1.0</v>
      </c>
      <c r="I615" s="27">
        <v>0.878</v>
      </c>
      <c r="J615" s="27">
        <v>1.0</v>
      </c>
      <c r="K615" s="27">
        <v>1.0</v>
      </c>
      <c r="L615" s="4" t="str">
        <f>IMAGE("https://drive.google.com/uc?export=view&amp;id=1ANsuDncMU9bQ--16Ui7uiWvISwyA3Q0L")</f>
        <v/>
      </c>
    </row>
    <row r="616" ht="22.5" customHeight="1">
      <c r="A616" s="4">
        <v>615.0</v>
      </c>
      <c r="B616" s="3" t="s">
        <v>8</v>
      </c>
      <c r="C616" s="3">
        <v>64.0</v>
      </c>
      <c r="D616" s="3">
        <v>5.0</v>
      </c>
      <c r="E616" s="5" t="s">
        <v>208</v>
      </c>
      <c r="F616" s="5" t="s">
        <v>1354</v>
      </c>
      <c r="G616" s="5" t="s">
        <v>1355</v>
      </c>
      <c r="H616" s="27">
        <v>0.762</v>
      </c>
      <c r="I616" s="27">
        <v>0.734</v>
      </c>
      <c r="J616" s="27">
        <v>0.95</v>
      </c>
      <c r="K616" s="27">
        <v>1.0</v>
      </c>
      <c r="L616" s="4" t="str">
        <f>IMAGE("https://drive.google.com/uc?export=view&amp;id=1cpnIqyDpu03bBPOcfM_wGKbc5tks_28q")</f>
        <v/>
      </c>
    </row>
    <row r="617" ht="22.5" customHeight="1">
      <c r="A617" s="4">
        <v>616.0</v>
      </c>
      <c r="B617" s="3" t="s">
        <v>8</v>
      </c>
      <c r="C617" s="3">
        <v>64.0</v>
      </c>
      <c r="D617" s="3">
        <v>5.0</v>
      </c>
      <c r="E617" s="5" t="s">
        <v>211</v>
      </c>
      <c r="F617" s="5" t="s">
        <v>1356</v>
      </c>
      <c r="G617" s="5" t="s">
        <v>1357</v>
      </c>
      <c r="H617" s="27">
        <v>1.0</v>
      </c>
      <c r="I617" s="27">
        <v>0.9</v>
      </c>
      <c r="J617" s="27">
        <v>0.756</v>
      </c>
      <c r="K617" s="27">
        <v>1.0</v>
      </c>
      <c r="L617" s="4" t="str">
        <f>IMAGE("https://drive.google.com/uc?export=view&amp;id=1EkslpVZmPL7_Gm2RCXb0nXGS3zEwAhpw")</f>
        <v/>
      </c>
    </row>
    <row r="618" ht="22.5" customHeight="1">
      <c r="A618" s="4">
        <v>617.0</v>
      </c>
      <c r="B618" s="3" t="s">
        <v>8</v>
      </c>
      <c r="C618" s="3">
        <v>64.0</v>
      </c>
      <c r="D618" s="3">
        <v>5.0</v>
      </c>
      <c r="E618" s="5" t="s">
        <v>214</v>
      </c>
      <c r="F618" s="5" t="s">
        <v>1358</v>
      </c>
      <c r="G618" s="5" t="s">
        <v>1359</v>
      </c>
      <c r="H618" s="27">
        <v>0.917</v>
      </c>
      <c r="I618" s="27">
        <v>0.946</v>
      </c>
      <c r="J618" s="27">
        <v>1.0</v>
      </c>
      <c r="K618" s="27">
        <v>1.0</v>
      </c>
      <c r="L618" s="4" t="str">
        <f>IMAGE("https://drive.google.com/uc?export=view&amp;id=1VMDsiDPyDGh1EhVDmvWHtwIDzkCRHNCF")</f>
        <v/>
      </c>
    </row>
    <row r="619" ht="22.5" customHeight="1">
      <c r="A619" s="4">
        <v>618.0</v>
      </c>
      <c r="B619" s="3" t="s">
        <v>8</v>
      </c>
      <c r="C619" s="3">
        <v>64.0</v>
      </c>
      <c r="D619" s="3">
        <v>5.0</v>
      </c>
      <c r="E619" s="5" t="s">
        <v>217</v>
      </c>
      <c r="F619" s="5" t="s">
        <v>1360</v>
      </c>
      <c r="G619" s="5" t="s">
        <v>1361</v>
      </c>
      <c r="H619" s="27">
        <v>0.933</v>
      </c>
      <c r="I619" s="27">
        <v>0.989</v>
      </c>
      <c r="J619" s="27">
        <v>0.25</v>
      </c>
      <c r="K619" s="27">
        <v>0.0</v>
      </c>
      <c r="L619" s="4" t="str">
        <f>IMAGE("https://drive.google.com/uc?export=view&amp;id=1Eur0a82kicMWAHjIGHtqzzDNGLfBNqrm")</f>
        <v/>
      </c>
    </row>
    <row r="620" ht="22.5" customHeight="1">
      <c r="A620" s="4">
        <v>619.0</v>
      </c>
      <c r="B620" s="3" t="s">
        <v>8</v>
      </c>
      <c r="C620" s="3">
        <v>64.0</v>
      </c>
      <c r="D620" s="3">
        <v>5.0</v>
      </c>
      <c r="E620" s="5" t="s">
        <v>220</v>
      </c>
      <c r="F620" s="5" t="s">
        <v>1362</v>
      </c>
      <c r="G620" s="5" t="s">
        <v>1363</v>
      </c>
      <c r="H620" s="27">
        <v>0.588</v>
      </c>
      <c r="I620" s="27">
        <v>0.624</v>
      </c>
      <c r="J620" s="27">
        <v>0.917</v>
      </c>
      <c r="K620" s="27">
        <v>1.0</v>
      </c>
      <c r="L620" s="4" t="str">
        <f>IMAGE("https://drive.google.com/uc?export=view&amp;id=1JzQofGOHNp5YH77LWAg6rPHPOkurvsPp")</f>
        <v/>
      </c>
    </row>
    <row r="621" ht="22.5" customHeight="1">
      <c r="A621" s="4">
        <v>620.0</v>
      </c>
      <c r="B621" s="3" t="s">
        <v>8</v>
      </c>
      <c r="C621" s="3">
        <v>64.0</v>
      </c>
      <c r="D621" s="3">
        <v>5.0</v>
      </c>
      <c r="E621" s="5" t="s">
        <v>223</v>
      </c>
      <c r="F621" s="5" t="s">
        <v>1364</v>
      </c>
      <c r="G621" s="5" t="s">
        <v>1365</v>
      </c>
      <c r="H621" s="27">
        <v>0.722</v>
      </c>
      <c r="I621" s="27">
        <v>0.812</v>
      </c>
      <c r="J621" s="27">
        <v>1.0</v>
      </c>
      <c r="K621" s="27">
        <v>1.0</v>
      </c>
      <c r="L621" s="4" t="str">
        <f>IMAGE("https://drive.google.com/uc?export=view&amp;id=1c5FhTPKwTK-dEhr4qZ8q8K7hiatPJb-4")</f>
        <v/>
      </c>
    </row>
    <row r="622" ht="22.5" customHeight="1">
      <c r="A622" s="4">
        <v>621.0</v>
      </c>
      <c r="B622" s="3" t="s">
        <v>8</v>
      </c>
      <c r="C622" s="3">
        <v>64.0</v>
      </c>
      <c r="D622" s="3">
        <v>5.0</v>
      </c>
      <c r="E622" s="5" t="s">
        <v>226</v>
      </c>
      <c r="F622" s="5" t="s">
        <v>1366</v>
      </c>
      <c r="G622" s="5" t="s">
        <v>1367</v>
      </c>
      <c r="H622" s="27">
        <v>0.667</v>
      </c>
      <c r="I622" s="27">
        <v>0.991</v>
      </c>
      <c r="J622" s="27">
        <v>1.0</v>
      </c>
      <c r="K622" s="27">
        <v>0.0</v>
      </c>
      <c r="L622" s="4" t="str">
        <f>IMAGE("https://drive.google.com/uc?export=view&amp;id=15v_Jv02trVmBgq42Wp78dkP21QSdgKjM")</f>
        <v/>
      </c>
    </row>
    <row r="623" ht="22.5" customHeight="1">
      <c r="A623" s="4">
        <v>622.0</v>
      </c>
      <c r="B623" s="3" t="s">
        <v>8</v>
      </c>
      <c r="C623" s="3">
        <v>64.0</v>
      </c>
      <c r="D623" s="3">
        <v>5.0</v>
      </c>
      <c r="E623" s="5" t="s">
        <v>229</v>
      </c>
      <c r="F623" s="5" t="s">
        <v>1368</v>
      </c>
      <c r="G623" s="5" t="s">
        <v>1369</v>
      </c>
      <c r="H623" s="27">
        <v>0.75</v>
      </c>
      <c r="I623" s="27">
        <v>0.0</v>
      </c>
      <c r="J623" s="27">
        <v>0.0</v>
      </c>
      <c r="K623" s="27">
        <v>1.0</v>
      </c>
      <c r="L623" s="4" t="str">
        <f>IMAGE("https://drive.google.com/uc?export=view&amp;id=19WvOdsFZtMEPBX2AH0_aEzgou8bH3sOL")</f>
        <v/>
      </c>
    </row>
    <row r="624" ht="22.5" customHeight="1">
      <c r="A624" s="4">
        <v>623.0</v>
      </c>
      <c r="B624" s="3" t="s">
        <v>8</v>
      </c>
      <c r="C624" s="3">
        <v>64.0</v>
      </c>
      <c r="D624" s="3">
        <v>5.0</v>
      </c>
      <c r="E624" s="5" t="s">
        <v>232</v>
      </c>
      <c r="F624" s="5" t="s">
        <v>1370</v>
      </c>
      <c r="G624" s="5" t="s">
        <v>1371</v>
      </c>
      <c r="H624" s="27">
        <v>1.0</v>
      </c>
      <c r="I624" s="27">
        <v>0.992</v>
      </c>
      <c r="J624" s="27">
        <v>1.0</v>
      </c>
      <c r="K624" s="27">
        <v>0.167</v>
      </c>
      <c r="L624" s="4" t="str">
        <f>IMAGE("https://drive.google.com/uc?export=view&amp;id=1nKcFw0ic67npFLF3_LF73XMQhOQ6VLRE")</f>
        <v/>
      </c>
    </row>
    <row r="625" ht="22.5" customHeight="1">
      <c r="A625" s="4">
        <v>624.0</v>
      </c>
      <c r="B625" s="3" t="s">
        <v>8</v>
      </c>
      <c r="C625" s="3">
        <v>64.0</v>
      </c>
      <c r="D625" s="3">
        <v>5.0</v>
      </c>
      <c r="E625" s="5" t="s">
        <v>235</v>
      </c>
      <c r="F625" s="5" t="s">
        <v>1372</v>
      </c>
      <c r="G625" s="5" t="s">
        <v>1373</v>
      </c>
      <c r="H625" s="27">
        <v>1.0</v>
      </c>
      <c r="I625" s="27">
        <v>1.0</v>
      </c>
      <c r="J625" s="27">
        <v>1.0</v>
      </c>
      <c r="K625" s="27">
        <v>0.833</v>
      </c>
      <c r="L625" s="4" t="str">
        <f>IMAGE("https://drive.google.com/uc?export=view&amp;id=1Gcc9rn4mO_jLz7e1pBpYasNAn0G6XVVQ")</f>
        <v/>
      </c>
    </row>
    <row r="626" ht="22.5" customHeight="1">
      <c r="A626" s="4">
        <v>625.0</v>
      </c>
      <c r="B626" s="3" t="s">
        <v>8</v>
      </c>
      <c r="C626" s="3">
        <v>64.0</v>
      </c>
      <c r="D626" s="3">
        <v>5.0</v>
      </c>
      <c r="E626" s="5" t="s">
        <v>238</v>
      </c>
      <c r="F626" s="5" t="s">
        <v>1374</v>
      </c>
      <c r="G626" s="5" t="s">
        <v>1375</v>
      </c>
      <c r="H626" s="27">
        <v>0.5</v>
      </c>
      <c r="I626" s="27">
        <v>0.85</v>
      </c>
      <c r="J626" s="27">
        <v>1.0</v>
      </c>
      <c r="K626" s="27">
        <v>0.8</v>
      </c>
      <c r="L626" s="4" t="str">
        <f>IMAGE("https://drive.google.com/uc?export=view&amp;id=1dg0UG4si6_1yA-iu2OE6WykfVb3zi8u1")</f>
        <v/>
      </c>
    </row>
    <row r="627" ht="22.5" customHeight="1">
      <c r="A627" s="4">
        <v>626.0</v>
      </c>
      <c r="B627" s="3" t="s">
        <v>8</v>
      </c>
      <c r="C627" s="3">
        <v>64.0</v>
      </c>
      <c r="D627" s="3">
        <v>5.0</v>
      </c>
      <c r="E627" s="5" t="s">
        <v>241</v>
      </c>
      <c r="F627" s="5" t="s">
        <v>1376</v>
      </c>
      <c r="G627" s="5" t="s">
        <v>1377</v>
      </c>
      <c r="H627" s="27">
        <v>0.5</v>
      </c>
      <c r="I627" s="27">
        <v>0.0</v>
      </c>
      <c r="J627" s="27">
        <v>0.0</v>
      </c>
      <c r="K627" s="27">
        <v>0.727</v>
      </c>
      <c r="L627" s="4" t="str">
        <f>IMAGE("https://drive.google.com/uc?export=view&amp;id=1QQm_oSN9Sm23XRf8Q_TpaPaEInVB5PHi")</f>
        <v/>
      </c>
    </row>
    <row r="628" ht="22.5" customHeight="1">
      <c r="A628" s="4">
        <v>627.0</v>
      </c>
      <c r="B628" s="3" t="s">
        <v>8</v>
      </c>
      <c r="C628" s="3">
        <v>64.0</v>
      </c>
      <c r="D628" s="3">
        <v>5.0</v>
      </c>
      <c r="E628" s="5" t="s">
        <v>244</v>
      </c>
      <c r="F628" s="5" t="s">
        <v>1378</v>
      </c>
      <c r="G628" s="5" t="s">
        <v>1379</v>
      </c>
      <c r="H628" s="27">
        <v>1.0</v>
      </c>
      <c r="I628" s="27">
        <v>0.999</v>
      </c>
      <c r="J628" s="27">
        <v>0.333</v>
      </c>
      <c r="K628" s="27">
        <v>1.0</v>
      </c>
      <c r="L628" s="4" t="str">
        <f>IMAGE("https://drive.google.com/uc?export=view&amp;id=12hUCE_s3xfHAP_VXENARsFvGYkR9CDIW")</f>
        <v/>
      </c>
    </row>
    <row r="629" ht="22.5" customHeight="1">
      <c r="A629" s="4">
        <v>628.0</v>
      </c>
      <c r="B629" s="3" t="s">
        <v>8</v>
      </c>
      <c r="C629" s="3">
        <v>64.0</v>
      </c>
      <c r="D629" s="3">
        <v>5.0</v>
      </c>
      <c r="E629" s="5" t="s">
        <v>247</v>
      </c>
      <c r="F629" s="5" t="s">
        <v>1380</v>
      </c>
      <c r="G629" s="5" t="s">
        <v>1381</v>
      </c>
      <c r="H629" s="27">
        <v>0.811</v>
      </c>
      <c r="I629" s="27">
        <v>0.99</v>
      </c>
      <c r="J629" s="27">
        <v>0.804</v>
      </c>
      <c r="K629" s="27">
        <v>1.0</v>
      </c>
      <c r="L629" s="4" t="str">
        <f>IMAGE("https://drive.google.com/uc?export=view&amp;id=1rP--0CZ673bewQIoL_VpWKGdF65gVFyR")</f>
        <v/>
      </c>
    </row>
    <row r="630" ht="22.5" customHeight="1">
      <c r="A630" s="4">
        <v>629.0</v>
      </c>
      <c r="B630" s="3" t="s">
        <v>8</v>
      </c>
      <c r="C630" s="3">
        <v>64.0</v>
      </c>
      <c r="D630" s="3">
        <v>5.0</v>
      </c>
      <c r="E630" s="5" t="s">
        <v>250</v>
      </c>
      <c r="F630" s="5" t="s">
        <v>1382</v>
      </c>
      <c r="G630" s="5" t="s">
        <v>1383</v>
      </c>
      <c r="H630" s="27">
        <v>0.714</v>
      </c>
      <c r="I630" s="27">
        <v>1.0</v>
      </c>
      <c r="J630" s="27">
        <v>0.45</v>
      </c>
      <c r="K630" s="27">
        <v>0.8</v>
      </c>
      <c r="L630" s="4" t="str">
        <f>IMAGE("https://drive.google.com/uc?export=view&amp;id=1vfybwVUrFi_NB52tS5xKwFRDi06inuV9")</f>
        <v/>
      </c>
    </row>
    <row r="631" ht="22.5" customHeight="1">
      <c r="A631" s="4">
        <v>630.0</v>
      </c>
      <c r="B631" s="3" t="s">
        <v>8</v>
      </c>
      <c r="C631" s="3">
        <v>64.0</v>
      </c>
      <c r="D631" s="3">
        <v>5.0</v>
      </c>
      <c r="E631" s="5" t="s">
        <v>253</v>
      </c>
      <c r="F631" s="5" t="s">
        <v>1384</v>
      </c>
      <c r="G631" s="5" t="s">
        <v>1385</v>
      </c>
      <c r="H631" s="27">
        <v>0.923</v>
      </c>
      <c r="I631" s="27">
        <v>0.975</v>
      </c>
      <c r="J631" s="27">
        <v>0.25</v>
      </c>
      <c r="K631" s="27">
        <v>0.571</v>
      </c>
      <c r="L631" s="4" t="str">
        <f>IMAGE("https://drive.google.com/uc?export=view&amp;id=1VC88GDCuYHDv1sH0OYkF9fxKb95EWcN6")</f>
        <v/>
      </c>
    </row>
    <row r="632" ht="22.5" customHeight="1">
      <c r="A632" s="4">
        <v>631.0</v>
      </c>
      <c r="B632" s="3" t="s">
        <v>8</v>
      </c>
      <c r="C632" s="3">
        <v>64.0</v>
      </c>
      <c r="D632" s="3">
        <v>5.0</v>
      </c>
      <c r="E632" s="5" t="s">
        <v>256</v>
      </c>
      <c r="F632" s="5" t="s">
        <v>1386</v>
      </c>
      <c r="G632" s="5" t="s">
        <v>1387</v>
      </c>
      <c r="H632" s="27">
        <v>1.0</v>
      </c>
      <c r="I632" s="27">
        <v>0.746</v>
      </c>
      <c r="J632" s="27">
        <v>0.533</v>
      </c>
      <c r="K632" s="27">
        <v>0.222</v>
      </c>
      <c r="L632" s="4" t="str">
        <f>IMAGE("https://drive.google.com/uc?export=view&amp;id=1jhXD3ZjPuNdn-mzEm2hnSGmk_inM9jhz")</f>
        <v/>
      </c>
    </row>
    <row r="633" ht="22.5" customHeight="1">
      <c r="A633" s="4">
        <v>632.0</v>
      </c>
      <c r="B633" s="3" t="s">
        <v>8</v>
      </c>
      <c r="C633" s="3">
        <v>64.0</v>
      </c>
      <c r="D633" s="3">
        <v>5.0</v>
      </c>
      <c r="E633" s="5" t="s">
        <v>259</v>
      </c>
      <c r="F633" s="5" t="s">
        <v>1388</v>
      </c>
      <c r="G633" s="5" t="s">
        <v>1389</v>
      </c>
      <c r="H633" s="27">
        <v>0.933</v>
      </c>
      <c r="I633" s="27">
        <v>0.996</v>
      </c>
      <c r="J633" s="27">
        <v>1.0</v>
      </c>
      <c r="K633" s="27">
        <v>0.833</v>
      </c>
      <c r="L633" s="4" t="str">
        <f>IMAGE("https://drive.google.com/uc?export=view&amp;id=1CZC0nd018e8MDONBjEqyl6HBcMj0a67R")</f>
        <v/>
      </c>
    </row>
    <row r="634" ht="22.5" customHeight="1">
      <c r="A634" s="4">
        <v>633.0</v>
      </c>
      <c r="B634" s="3" t="s">
        <v>8</v>
      </c>
      <c r="C634" s="3">
        <v>64.0</v>
      </c>
      <c r="D634" s="3">
        <v>5.0</v>
      </c>
      <c r="E634" s="5" t="s">
        <v>262</v>
      </c>
      <c r="F634" s="5" t="s">
        <v>1390</v>
      </c>
      <c r="G634" s="5" t="s">
        <v>1391</v>
      </c>
      <c r="H634" s="27">
        <v>0.182</v>
      </c>
      <c r="I634" s="27">
        <v>0.945</v>
      </c>
      <c r="J634" s="27">
        <v>0.804</v>
      </c>
      <c r="K634" s="27">
        <v>0.25</v>
      </c>
      <c r="L634" s="4" t="str">
        <f>IMAGE("https://drive.google.com/uc?export=view&amp;id=1Ouh55qWWBQUhAo9Cz4WorK6vWSSx2Z4c")</f>
        <v/>
      </c>
    </row>
    <row r="635" ht="22.5" customHeight="1">
      <c r="A635" s="4">
        <v>634.0</v>
      </c>
      <c r="B635" s="3" t="s">
        <v>8</v>
      </c>
      <c r="C635" s="3">
        <v>64.0</v>
      </c>
      <c r="D635" s="3">
        <v>5.0</v>
      </c>
      <c r="E635" s="5" t="s">
        <v>265</v>
      </c>
      <c r="F635" s="5" t="s">
        <v>1392</v>
      </c>
      <c r="G635" s="5" t="s">
        <v>1393</v>
      </c>
      <c r="H635" s="27">
        <v>1.0</v>
      </c>
      <c r="I635" s="27">
        <v>0.857</v>
      </c>
      <c r="J635" s="27">
        <v>1.0</v>
      </c>
      <c r="K635" s="27">
        <v>1.0</v>
      </c>
      <c r="L635" s="4" t="str">
        <f>IMAGE("https://drive.google.com/uc?export=view&amp;id=10zmaU3kF6t1Sg2-rUjN2FDF8UnJn42vN")</f>
        <v/>
      </c>
    </row>
    <row r="636" ht="22.5" customHeight="1">
      <c r="A636" s="4">
        <v>635.0</v>
      </c>
      <c r="B636" s="3" t="s">
        <v>8</v>
      </c>
      <c r="C636" s="3">
        <v>64.0</v>
      </c>
      <c r="D636" s="3">
        <v>5.0</v>
      </c>
      <c r="E636" s="5" t="s">
        <v>268</v>
      </c>
      <c r="F636" s="5" t="s">
        <v>1394</v>
      </c>
      <c r="G636" s="5" t="s">
        <v>1395</v>
      </c>
      <c r="H636" s="27">
        <v>1.0</v>
      </c>
      <c r="I636" s="27">
        <v>1.0</v>
      </c>
      <c r="J636" s="27">
        <v>0.95</v>
      </c>
      <c r="K636" s="27">
        <v>0.875</v>
      </c>
      <c r="L636" s="4" t="str">
        <f>IMAGE("https://drive.google.com/uc?export=view&amp;id=1Pz619TqEUM5vnkeC0ebOjeBKgfCtDL6h")</f>
        <v/>
      </c>
    </row>
    <row r="637" ht="22.5" customHeight="1">
      <c r="A637" s="4">
        <v>636.0</v>
      </c>
      <c r="B637" s="3" t="s">
        <v>8</v>
      </c>
      <c r="C637" s="3">
        <v>64.0</v>
      </c>
      <c r="D637" s="3">
        <v>5.0</v>
      </c>
      <c r="E637" s="5" t="s">
        <v>271</v>
      </c>
      <c r="F637" s="5" t="s">
        <v>1396</v>
      </c>
      <c r="G637" s="5" t="s">
        <v>1397</v>
      </c>
      <c r="H637" s="27">
        <v>0.75</v>
      </c>
      <c r="I637" s="27">
        <v>0.906</v>
      </c>
      <c r="J637" s="27">
        <v>1.0</v>
      </c>
      <c r="K637" s="27">
        <v>0.875</v>
      </c>
      <c r="L637" s="4" t="str">
        <f>IMAGE("https://drive.google.com/uc?export=view&amp;id=1JQjW-SgA2qYTS4JZfntkXgemNR79d8YV")</f>
        <v/>
      </c>
    </row>
    <row r="638" ht="22.5" customHeight="1">
      <c r="A638" s="4">
        <v>637.0</v>
      </c>
      <c r="B638" s="3" t="s">
        <v>8</v>
      </c>
      <c r="C638" s="3">
        <v>64.0</v>
      </c>
      <c r="D638" s="3">
        <v>5.0</v>
      </c>
      <c r="E638" s="5" t="s">
        <v>274</v>
      </c>
      <c r="F638" s="5" t="s">
        <v>1398</v>
      </c>
      <c r="G638" s="5" t="s">
        <v>1399</v>
      </c>
      <c r="H638" s="27">
        <v>0.5</v>
      </c>
      <c r="I638" s="27">
        <v>0.878</v>
      </c>
      <c r="J638" s="27">
        <v>1.0</v>
      </c>
      <c r="K638" s="27">
        <v>1.0</v>
      </c>
      <c r="L638" s="4" t="str">
        <f>IMAGE("https://drive.google.com/uc?export=view&amp;id=1CzA_KNvSVRf7cK6agcBvUodSGDj0fSIa")</f>
        <v/>
      </c>
    </row>
    <row r="639" ht="22.5" customHeight="1">
      <c r="A639" s="4">
        <v>638.0</v>
      </c>
      <c r="B639" s="3" t="s">
        <v>8</v>
      </c>
      <c r="C639" s="3">
        <v>64.0</v>
      </c>
      <c r="D639" s="3">
        <v>5.0</v>
      </c>
      <c r="E639" s="5" t="s">
        <v>277</v>
      </c>
      <c r="F639" s="5" t="s">
        <v>1400</v>
      </c>
      <c r="G639" s="5" t="s">
        <v>1401</v>
      </c>
      <c r="H639" s="27">
        <v>1.0</v>
      </c>
      <c r="I639" s="27">
        <v>0.951</v>
      </c>
      <c r="J639" s="27">
        <v>1.0</v>
      </c>
      <c r="K639" s="27">
        <v>1.0</v>
      </c>
      <c r="L639" s="4" t="str">
        <f>IMAGE("https://drive.google.com/uc?export=view&amp;id=1tad17aX3jQXQPlkmIyb_oV7popGcT3Q3")</f>
        <v/>
      </c>
    </row>
    <row r="640" ht="22.5" customHeight="1">
      <c r="A640" s="4">
        <v>639.0</v>
      </c>
      <c r="B640" s="3" t="s">
        <v>8</v>
      </c>
      <c r="C640" s="3">
        <v>64.0</v>
      </c>
      <c r="D640" s="3">
        <v>5.0</v>
      </c>
      <c r="E640" s="5" t="s">
        <v>283</v>
      </c>
      <c r="F640" s="5" t="s">
        <v>1402</v>
      </c>
      <c r="G640" s="5" t="s">
        <v>1403</v>
      </c>
      <c r="H640" s="27">
        <v>0.214</v>
      </c>
      <c r="I640" s="27">
        <v>0.0</v>
      </c>
      <c r="J640" s="27">
        <v>0.806</v>
      </c>
      <c r="K640" s="27">
        <v>0.0</v>
      </c>
      <c r="L640" s="4" t="str">
        <f>IMAGE("https://drive.google.com/uc?export=view&amp;id=1R347I0qw0QWBlJ2zvVKXFfT1JkSh5qwn")</f>
        <v/>
      </c>
    </row>
    <row r="641" ht="22.5" customHeight="1">
      <c r="A641" s="4">
        <v>640.0</v>
      </c>
      <c r="B641" s="3" t="s">
        <v>8</v>
      </c>
      <c r="C641" s="3">
        <v>64.0</v>
      </c>
      <c r="D641" s="3">
        <v>5.0</v>
      </c>
      <c r="E641" s="5" t="s">
        <v>280</v>
      </c>
      <c r="F641" s="5" t="s">
        <v>1404</v>
      </c>
      <c r="G641" s="5" t="s">
        <v>1405</v>
      </c>
      <c r="H641" s="27">
        <v>0.733</v>
      </c>
      <c r="I641" s="27">
        <v>0.791</v>
      </c>
      <c r="J641" s="27">
        <v>1.0</v>
      </c>
      <c r="K641" s="27">
        <v>1.0</v>
      </c>
      <c r="L641" s="4" t="str">
        <f>IMAGE("https://drive.google.com/uc?export=view&amp;id=1FrdXO2TZo46VfzLkR_xwvwOMXBAkA-pX")</f>
        <v/>
      </c>
    </row>
  </sheetData>
  <dataValidations>
    <dataValidation type="list" allowBlank="1" showErrorMessage="1" sqref="C2:C641">
      <formula1>"32,64"</formula1>
    </dataValidation>
    <dataValidation type="list" allowBlank="1" showErrorMessage="1" sqref="B2:B641">
      <formula1>"LaBSE,BGE-M3"</formula1>
    </dataValidation>
    <dataValidation type="list" allowBlank="1" showErrorMessage="1" sqref="D2:D641">
      <formula1>"3,5"</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5"/>
    <col customWidth="1" min="2" max="2" width="18.25"/>
    <col customWidth="1" min="3" max="3" width="61.63"/>
    <col customWidth="1" min="4" max="4" width="35.5"/>
    <col customWidth="1" min="5" max="8" width="15.25"/>
    <col customWidth="1" min="10" max="10" width="34.5"/>
  </cols>
  <sheetData>
    <row r="1">
      <c r="A1" s="32" t="s">
        <v>41</v>
      </c>
      <c r="B1" s="32" t="s">
        <v>42</v>
      </c>
      <c r="C1" s="32" t="s">
        <v>43</v>
      </c>
      <c r="D1" s="32" t="s">
        <v>44</v>
      </c>
      <c r="E1" s="32" t="s">
        <v>3</v>
      </c>
      <c r="F1" s="32" t="s">
        <v>4</v>
      </c>
      <c r="G1" s="32" t="s">
        <v>5</v>
      </c>
      <c r="H1" s="32" t="s">
        <v>6</v>
      </c>
      <c r="I1" s="32" t="s">
        <v>45</v>
      </c>
      <c r="J1" s="33" t="s">
        <v>1406</v>
      </c>
      <c r="K1" s="33" t="s">
        <v>0</v>
      </c>
      <c r="L1" s="33" t="s">
        <v>1</v>
      </c>
      <c r="M1" s="33" t="s">
        <v>2</v>
      </c>
    </row>
    <row r="2">
      <c r="A2" s="34">
        <v>1.0</v>
      </c>
      <c r="B2" s="34" t="s">
        <v>49</v>
      </c>
      <c r="C2" s="34" t="s">
        <v>50</v>
      </c>
      <c r="D2" s="34" t="s">
        <v>51</v>
      </c>
      <c r="E2" s="35">
        <v>0.429</v>
      </c>
      <c r="F2" s="35">
        <v>1.0</v>
      </c>
      <c r="G2" s="35">
        <v>0.333</v>
      </c>
      <c r="H2" s="35">
        <v>1.0</v>
      </c>
      <c r="I2" s="36" t="str">
        <f>IMAGE("https://drive.google.com/uc?export=view&amp;id=1FxO3OeVVwVfdbWaVF-TiLUcIeXutQ-6f")</f>
        <v/>
      </c>
      <c r="J2" s="37" t="s">
        <v>14</v>
      </c>
      <c r="K2" s="38" t="s">
        <v>7</v>
      </c>
      <c r="L2" s="37">
        <v>32.0</v>
      </c>
      <c r="M2" s="37">
        <v>3.0</v>
      </c>
    </row>
    <row r="3">
      <c r="A3" s="34">
        <v>2.0</v>
      </c>
      <c r="B3" s="34" t="s">
        <v>64</v>
      </c>
      <c r="C3" s="34" t="s">
        <v>65</v>
      </c>
      <c r="D3" s="34" t="s">
        <v>66</v>
      </c>
      <c r="E3" s="35">
        <v>0.0</v>
      </c>
      <c r="F3" s="35">
        <v>0.81</v>
      </c>
      <c r="G3" s="35">
        <v>0.0</v>
      </c>
      <c r="H3" s="35">
        <v>0.2</v>
      </c>
      <c r="I3" s="36" t="str">
        <f>IMAGE("https://drive.google.com/uc?export=view&amp;id=19w73J71Q6HnNGTwLM0fZ8hw84ev8h03Y")</f>
        <v/>
      </c>
      <c r="J3" s="37" t="s">
        <v>14</v>
      </c>
      <c r="K3" s="38" t="s">
        <v>7</v>
      </c>
      <c r="L3" s="37">
        <v>32.0</v>
      </c>
      <c r="M3" s="37">
        <v>3.0</v>
      </c>
    </row>
    <row r="4">
      <c r="A4" s="34">
        <v>3.0</v>
      </c>
      <c r="B4" s="34" t="s">
        <v>73</v>
      </c>
      <c r="C4" s="34" t="s">
        <v>74</v>
      </c>
      <c r="D4" s="34" t="s">
        <v>75</v>
      </c>
      <c r="E4" s="35">
        <v>0.286</v>
      </c>
      <c r="F4" s="35">
        <v>0.849</v>
      </c>
      <c r="G4" s="35">
        <v>0.333</v>
      </c>
      <c r="H4" s="35">
        <v>0.75</v>
      </c>
      <c r="I4" s="36" t="str">
        <f>IMAGE("https://drive.google.com/uc?export=view&amp;id=16_CTN-aJL1gxlASC-0unn2FOlybBzKC-")</f>
        <v/>
      </c>
      <c r="J4" s="37" t="s">
        <v>14</v>
      </c>
      <c r="K4" s="38" t="s">
        <v>7</v>
      </c>
      <c r="L4" s="37">
        <v>32.0</v>
      </c>
      <c r="M4" s="37">
        <v>3.0</v>
      </c>
    </row>
    <row r="5">
      <c r="A5" s="34">
        <v>4.0</v>
      </c>
      <c r="B5" s="34" t="s">
        <v>76</v>
      </c>
      <c r="C5" s="34" t="s">
        <v>77</v>
      </c>
      <c r="D5" s="34" t="s">
        <v>78</v>
      </c>
      <c r="E5" s="35">
        <v>0.444</v>
      </c>
      <c r="F5" s="35">
        <v>0.597</v>
      </c>
      <c r="G5" s="35">
        <v>1.0</v>
      </c>
      <c r="H5" s="35">
        <v>1.0</v>
      </c>
      <c r="I5" s="36" t="str">
        <f>IMAGE("https://drive.google.com/uc?export=view&amp;id=1jYSdCJkyV8nELiXcu9pwlF1VWnGLMdsh")</f>
        <v/>
      </c>
      <c r="J5" s="37" t="s">
        <v>14</v>
      </c>
      <c r="K5" s="38" t="s">
        <v>7</v>
      </c>
      <c r="L5" s="37">
        <v>32.0</v>
      </c>
      <c r="M5" s="37">
        <v>3.0</v>
      </c>
    </row>
    <row r="6">
      <c r="A6" s="34">
        <v>5.0</v>
      </c>
      <c r="B6" s="34" t="s">
        <v>94</v>
      </c>
      <c r="C6" s="34" t="s">
        <v>95</v>
      </c>
      <c r="D6" s="34" t="s">
        <v>96</v>
      </c>
      <c r="E6" s="35">
        <v>0.0</v>
      </c>
      <c r="F6" s="35">
        <v>0.568</v>
      </c>
      <c r="G6" s="35">
        <v>0.333</v>
      </c>
      <c r="H6" s="35">
        <v>0.429</v>
      </c>
      <c r="I6" s="36" t="str">
        <f>IMAGE("https://drive.google.com/uc?export=view&amp;id=1OA_pJZ8kpxJXMw4q_oGuZcXkRXPpTPSR")</f>
        <v/>
      </c>
      <c r="J6" s="37" t="s">
        <v>14</v>
      </c>
      <c r="K6" s="38" t="s">
        <v>7</v>
      </c>
      <c r="L6" s="37">
        <v>32.0</v>
      </c>
      <c r="M6" s="37">
        <v>3.0</v>
      </c>
    </row>
    <row r="7">
      <c r="A7" s="34">
        <v>6.0</v>
      </c>
      <c r="B7" s="34" t="s">
        <v>97</v>
      </c>
      <c r="C7" s="34" t="s">
        <v>98</v>
      </c>
      <c r="D7" s="34" t="s">
        <v>99</v>
      </c>
      <c r="E7" s="35">
        <v>0.45</v>
      </c>
      <c r="F7" s="35">
        <v>0.782</v>
      </c>
      <c r="G7" s="35">
        <v>1.0</v>
      </c>
      <c r="H7" s="35">
        <v>1.0</v>
      </c>
      <c r="I7" s="36" t="str">
        <f>IMAGE("https://drive.google.com/uc?export=view&amp;id=1zglQx8AVt2aHHh6tJlSuxjHqo_wczlqU")</f>
        <v/>
      </c>
      <c r="J7" s="37" t="s">
        <v>14</v>
      </c>
      <c r="K7" s="38" t="s">
        <v>7</v>
      </c>
      <c r="L7" s="37">
        <v>32.0</v>
      </c>
      <c r="M7" s="37">
        <v>3.0</v>
      </c>
    </row>
    <row r="8">
      <c r="A8" s="34">
        <v>7.0</v>
      </c>
      <c r="B8" s="34" t="s">
        <v>100</v>
      </c>
      <c r="C8" s="34" t="s">
        <v>101</v>
      </c>
      <c r="D8" s="34" t="s">
        <v>102</v>
      </c>
      <c r="E8" s="35">
        <v>0.231</v>
      </c>
      <c r="F8" s="35">
        <v>0.933</v>
      </c>
      <c r="G8" s="35">
        <v>0.5</v>
      </c>
      <c r="H8" s="35">
        <v>1.0</v>
      </c>
      <c r="I8" s="36" t="str">
        <f>IMAGE("https://drive.google.com/uc?export=view&amp;id=1uHbhg6sQyqSpA-Wec4Oom2cnx6TehU9S")</f>
        <v/>
      </c>
      <c r="J8" s="37" t="s">
        <v>14</v>
      </c>
      <c r="K8" s="38" t="s">
        <v>7</v>
      </c>
      <c r="L8" s="37">
        <v>32.0</v>
      </c>
      <c r="M8" s="37">
        <v>3.0</v>
      </c>
    </row>
    <row r="9">
      <c r="A9" s="34">
        <v>8.0</v>
      </c>
      <c r="B9" s="34" t="s">
        <v>109</v>
      </c>
      <c r="C9" s="34" t="s">
        <v>110</v>
      </c>
      <c r="D9" s="34" t="s">
        <v>111</v>
      </c>
      <c r="E9" s="35">
        <v>0.333</v>
      </c>
      <c r="F9" s="35">
        <v>0.907</v>
      </c>
      <c r="G9" s="35">
        <v>1.0</v>
      </c>
      <c r="H9" s="35">
        <v>0.833</v>
      </c>
      <c r="I9" s="36" t="str">
        <f>IMAGE("https://drive.google.com/uc?export=view&amp;id=1AERoGmVzEqVr3eJlh62Fo8Pejewyr1xK")</f>
        <v/>
      </c>
      <c r="J9" s="37" t="s">
        <v>15</v>
      </c>
      <c r="K9" s="38" t="s">
        <v>7</v>
      </c>
      <c r="L9" s="37">
        <v>32.0</v>
      </c>
      <c r="M9" s="37">
        <v>3.0</v>
      </c>
    </row>
    <row r="10">
      <c r="A10" s="34">
        <v>9.0</v>
      </c>
      <c r="B10" s="34" t="s">
        <v>118</v>
      </c>
      <c r="C10" s="34" t="s">
        <v>119</v>
      </c>
      <c r="D10" s="34" t="s">
        <v>120</v>
      </c>
      <c r="E10" s="35">
        <v>0.417</v>
      </c>
      <c r="F10" s="35">
        <v>1.0</v>
      </c>
      <c r="G10" s="35">
        <v>0.0</v>
      </c>
      <c r="H10" s="35">
        <v>0.833</v>
      </c>
      <c r="I10" s="36" t="str">
        <f>IMAGE("https://drive.google.com/uc?export=view&amp;id=1twjvGs92Q9SZf2CFWlAOaWC0jBL954NB")</f>
        <v/>
      </c>
      <c r="J10" s="37" t="s">
        <v>15</v>
      </c>
      <c r="K10" s="38" t="s">
        <v>7</v>
      </c>
      <c r="L10" s="37">
        <v>32.0</v>
      </c>
      <c r="M10" s="37">
        <v>3.0</v>
      </c>
    </row>
    <row r="11">
      <c r="A11" s="34">
        <v>10.0</v>
      </c>
      <c r="B11" s="34" t="s">
        <v>124</v>
      </c>
      <c r="C11" s="34" t="s">
        <v>125</v>
      </c>
      <c r="D11" s="34" t="s">
        <v>126</v>
      </c>
      <c r="E11" s="35">
        <v>0.0</v>
      </c>
      <c r="F11" s="35">
        <v>0.91</v>
      </c>
      <c r="G11" s="35">
        <v>0.833</v>
      </c>
      <c r="H11" s="35">
        <v>0.0</v>
      </c>
      <c r="I11" s="36" t="str">
        <f>IMAGE("https://drive.google.com/uc?export=view&amp;id=1U28eMG8BNVltWp7pEiNNWYgTqYsnAR3t")</f>
        <v/>
      </c>
      <c r="J11" s="37" t="s">
        <v>15</v>
      </c>
      <c r="K11" s="38" t="s">
        <v>7</v>
      </c>
      <c r="L11" s="37">
        <v>32.0</v>
      </c>
      <c r="M11" s="37">
        <v>3.0</v>
      </c>
    </row>
    <row r="12">
      <c r="A12" s="34">
        <v>11.0</v>
      </c>
      <c r="B12" s="34" t="s">
        <v>148</v>
      </c>
      <c r="C12" s="34" t="s">
        <v>149</v>
      </c>
      <c r="D12" s="34" t="s">
        <v>150</v>
      </c>
      <c r="E12" s="35">
        <v>0.167</v>
      </c>
      <c r="F12" s="35">
        <v>0.633</v>
      </c>
      <c r="G12" s="35">
        <v>0.333</v>
      </c>
      <c r="H12" s="35">
        <v>0.75</v>
      </c>
      <c r="I12" s="36" t="str">
        <f>IMAGE("https://drive.google.com/uc?export=view&amp;id=1g9J73cfCWCbyNuXCrjNt522MTfFsAYX8")</f>
        <v/>
      </c>
      <c r="J12" s="37" t="s">
        <v>15</v>
      </c>
      <c r="K12" s="38" t="s">
        <v>7</v>
      </c>
      <c r="L12" s="37">
        <v>32.0</v>
      </c>
      <c r="M12" s="37">
        <v>3.0</v>
      </c>
    </row>
    <row r="13">
      <c r="A13" s="34">
        <v>12.0</v>
      </c>
      <c r="B13" s="34" t="s">
        <v>151</v>
      </c>
      <c r="C13" s="34" t="s">
        <v>152</v>
      </c>
      <c r="D13" s="34" t="s">
        <v>153</v>
      </c>
      <c r="E13" s="35">
        <v>0.421</v>
      </c>
      <c r="F13" s="35">
        <v>0.888</v>
      </c>
      <c r="G13" s="35">
        <v>1.0</v>
      </c>
      <c r="H13" s="35">
        <v>0.375</v>
      </c>
      <c r="I13" s="36" t="str">
        <f>IMAGE("https://drive.google.com/uc?export=view&amp;id=1hTT1B6gIhiEZlrQEkr0HlX3oyXdMTj1B")</f>
        <v/>
      </c>
      <c r="J13" s="37" t="s">
        <v>15</v>
      </c>
      <c r="K13" s="38" t="s">
        <v>7</v>
      </c>
      <c r="L13" s="37">
        <v>32.0</v>
      </c>
      <c r="M13" s="37">
        <v>3.0</v>
      </c>
    </row>
    <row r="14">
      <c r="A14" s="34">
        <v>13.0</v>
      </c>
      <c r="B14" s="34" t="s">
        <v>163</v>
      </c>
      <c r="C14" s="34" t="s">
        <v>164</v>
      </c>
      <c r="D14" s="34" t="s">
        <v>165</v>
      </c>
      <c r="E14" s="35">
        <v>0.381</v>
      </c>
      <c r="F14" s="35">
        <v>0.617</v>
      </c>
      <c r="G14" s="35">
        <v>1.0</v>
      </c>
      <c r="H14" s="35">
        <v>0.333</v>
      </c>
      <c r="I14" s="36" t="str">
        <f>IMAGE("https://drive.google.com/uc?export=view&amp;id=1mubrba--d0x7zjdfChjJQBSlxlI1xslI")</f>
        <v/>
      </c>
      <c r="J14" s="37" t="s">
        <v>15</v>
      </c>
      <c r="K14" s="38" t="s">
        <v>7</v>
      </c>
      <c r="L14" s="37">
        <v>32.0</v>
      </c>
      <c r="M14" s="37">
        <v>3.0</v>
      </c>
    </row>
    <row r="15">
      <c r="A15" s="34">
        <v>14.0</v>
      </c>
      <c r="B15" s="34" t="s">
        <v>166</v>
      </c>
      <c r="C15" s="34" t="s">
        <v>167</v>
      </c>
      <c r="D15" s="34" t="s">
        <v>168</v>
      </c>
      <c r="E15" s="35">
        <v>0.308</v>
      </c>
      <c r="F15" s="35">
        <v>0.935</v>
      </c>
      <c r="G15" s="35">
        <v>0.833</v>
      </c>
      <c r="H15" s="35">
        <v>0.0</v>
      </c>
      <c r="I15" s="36" t="str">
        <f>IMAGE("https://drive.google.com/uc?export=view&amp;id=1W4xIx8yezp7_U-WJLwsUbgFbErv_kfhQ")</f>
        <v/>
      </c>
      <c r="J15" s="37" t="s">
        <v>16</v>
      </c>
      <c r="K15" s="38" t="s">
        <v>7</v>
      </c>
      <c r="L15" s="37">
        <v>32.0</v>
      </c>
      <c r="M15" s="37">
        <v>3.0</v>
      </c>
    </row>
    <row r="16">
      <c r="A16" s="34">
        <v>15.0</v>
      </c>
      <c r="B16" s="34" t="s">
        <v>178</v>
      </c>
      <c r="C16" s="34" t="s">
        <v>179</v>
      </c>
      <c r="D16" s="34" t="s">
        <v>180</v>
      </c>
      <c r="E16" s="35">
        <v>0.111</v>
      </c>
      <c r="F16" s="35">
        <v>0.863</v>
      </c>
      <c r="G16" s="35">
        <v>0.0</v>
      </c>
      <c r="H16" s="35">
        <v>0.0</v>
      </c>
      <c r="I16" s="36" t="str">
        <f>IMAGE("https://drive.google.com/uc?export=view&amp;id=1yPmKAELlL9sBrFvofBw-OVm1mQaxVPwR")</f>
        <v/>
      </c>
      <c r="J16" s="37" t="s">
        <v>16</v>
      </c>
      <c r="K16" s="38" t="s">
        <v>7</v>
      </c>
      <c r="L16" s="37">
        <v>32.0</v>
      </c>
      <c r="M16" s="37">
        <v>3.0</v>
      </c>
    </row>
    <row r="17">
      <c r="A17" s="34">
        <v>16.0</v>
      </c>
      <c r="B17" s="34" t="s">
        <v>187</v>
      </c>
      <c r="C17" s="34" t="s">
        <v>188</v>
      </c>
      <c r="D17" s="34" t="s">
        <v>189</v>
      </c>
      <c r="E17" s="35">
        <v>0.4</v>
      </c>
      <c r="F17" s="35">
        <v>0.995</v>
      </c>
      <c r="G17" s="35">
        <v>1.0</v>
      </c>
      <c r="H17" s="35">
        <v>0.0</v>
      </c>
      <c r="I17" s="36" t="str">
        <f>IMAGE("https://drive.google.com/uc?export=view&amp;id=1lF4BBMER-oKPQT-ArVcPLKZI6AYJrP0v")</f>
        <v/>
      </c>
      <c r="J17" s="37" t="s">
        <v>16</v>
      </c>
      <c r="K17" s="38" t="s">
        <v>7</v>
      </c>
      <c r="L17" s="37">
        <v>32.0</v>
      </c>
      <c r="M17" s="37">
        <v>3.0</v>
      </c>
    </row>
    <row r="18">
      <c r="A18" s="34">
        <v>17.0</v>
      </c>
      <c r="B18" s="34" t="s">
        <v>190</v>
      </c>
      <c r="C18" s="34" t="s">
        <v>191</v>
      </c>
      <c r="D18" s="34" t="s">
        <v>192</v>
      </c>
      <c r="E18" s="35">
        <v>0.0</v>
      </c>
      <c r="F18" s="35">
        <v>0.764</v>
      </c>
      <c r="G18" s="35">
        <v>1.0</v>
      </c>
      <c r="H18" s="35">
        <v>1.0</v>
      </c>
      <c r="I18" s="36" t="str">
        <f>IMAGE("https://drive.google.com/uc?export=view&amp;id=1JQPWoOeZZZPErLDL25Fd3tI_Kci-3ycf")</f>
        <v/>
      </c>
      <c r="J18" s="37" t="s">
        <v>16</v>
      </c>
      <c r="K18" s="38" t="s">
        <v>7</v>
      </c>
      <c r="L18" s="37">
        <v>32.0</v>
      </c>
      <c r="M18" s="37">
        <v>3.0</v>
      </c>
    </row>
    <row r="19">
      <c r="A19" s="34">
        <v>18.0</v>
      </c>
      <c r="B19" s="34" t="s">
        <v>193</v>
      </c>
      <c r="C19" s="34" t="s">
        <v>194</v>
      </c>
      <c r="D19" s="34" t="s">
        <v>195</v>
      </c>
      <c r="E19" s="35">
        <v>0.222</v>
      </c>
      <c r="F19" s="35">
        <v>0.389</v>
      </c>
      <c r="G19" s="35">
        <v>0.333</v>
      </c>
      <c r="H19" s="35">
        <v>0.0</v>
      </c>
      <c r="I19" s="36" t="str">
        <f>IMAGE("https://drive.google.com/uc?export=view&amp;id=1F0M_5Bgc1foHunLrgY4xgC33q47AMySd")</f>
        <v/>
      </c>
      <c r="J19" s="37" t="s">
        <v>16</v>
      </c>
      <c r="K19" s="38" t="s">
        <v>7</v>
      </c>
      <c r="L19" s="37">
        <v>32.0</v>
      </c>
      <c r="M19" s="37">
        <v>3.0</v>
      </c>
    </row>
    <row r="20">
      <c r="A20" s="34">
        <v>19.0</v>
      </c>
      <c r="B20" s="34" t="s">
        <v>199</v>
      </c>
      <c r="C20" s="34" t="s">
        <v>200</v>
      </c>
      <c r="D20" s="34" t="s">
        <v>201</v>
      </c>
      <c r="E20" s="35">
        <v>0.25</v>
      </c>
      <c r="F20" s="35">
        <v>0.862</v>
      </c>
      <c r="G20" s="35">
        <v>0.5</v>
      </c>
      <c r="H20" s="35">
        <v>0.857</v>
      </c>
      <c r="I20" s="36" t="str">
        <f>IMAGE("https://drive.google.com/uc?export=view&amp;id=1KutkJ5-U0ZD_Jli1HXn7GZrZJXLyz6YJ")</f>
        <v/>
      </c>
      <c r="J20" s="37" t="s">
        <v>16</v>
      </c>
      <c r="K20" s="38" t="s">
        <v>7</v>
      </c>
      <c r="L20" s="37">
        <v>32.0</v>
      </c>
      <c r="M20" s="37">
        <v>3.0</v>
      </c>
    </row>
    <row r="21">
      <c r="A21" s="34">
        <v>20.0</v>
      </c>
      <c r="B21" s="34" t="s">
        <v>202</v>
      </c>
      <c r="C21" s="34" t="s">
        <v>203</v>
      </c>
      <c r="D21" s="34" t="s">
        <v>204</v>
      </c>
      <c r="E21" s="35">
        <v>0.462</v>
      </c>
      <c r="F21" s="35">
        <v>0.605</v>
      </c>
      <c r="G21" s="35">
        <v>0.0</v>
      </c>
      <c r="H21" s="35">
        <v>1.0</v>
      </c>
      <c r="I21" s="36" t="str">
        <f>IMAGE("https://drive.google.com/uc?export=view&amp;id=1BjIT34BE5CT_6n7GJnrYjIuv9NDs9gft")</f>
        <v/>
      </c>
      <c r="J21" s="37" t="s">
        <v>16</v>
      </c>
      <c r="K21" s="38" t="s">
        <v>7</v>
      </c>
      <c r="L21" s="37">
        <v>32.0</v>
      </c>
      <c r="M21" s="37">
        <v>3.0</v>
      </c>
    </row>
    <row r="22">
      <c r="A22" s="34">
        <v>21.0</v>
      </c>
      <c r="B22" s="34" t="s">
        <v>205</v>
      </c>
      <c r="C22" s="34" t="s">
        <v>206</v>
      </c>
      <c r="D22" s="34" t="s">
        <v>207</v>
      </c>
      <c r="E22" s="35">
        <v>0.0</v>
      </c>
      <c r="F22" s="35">
        <v>1.0</v>
      </c>
      <c r="G22" s="35">
        <v>0.5</v>
      </c>
      <c r="H22" s="35">
        <v>0.0</v>
      </c>
      <c r="I22" s="36" t="str">
        <f>IMAGE("https://drive.google.com/uc?export=view&amp;id=1BnknDk_7LOEv8jrFLoPv7Fm6YJTa_p_9")</f>
        <v/>
      </c>
      <c r="J22" s="37" t="s">
        <v>16</v>
      </c>
      <c r="K22" s="38" t="s">
        <v>7</v>
      </c>
      <c r="L22" s="37">
        <v>32.0</v>
      </c>
      <c r="M22" s="37">
        <v>3.0</v>
      </c>
    </row>
    <row r="23">
      <c r="A23" s="34">
        <v>22.0</v>
      </c>
      <c r="B23" s="34" t="s">
        <v>232</v>
      </c>
      <c r="C23" s="34" t="s">
        <v>233</v>
      </c>
      <c r="D23" s="34" t="s">
        <v>234</v>
      </c>
      <c r="E23" s="35">
        <v>0.111</v>
      </c>
      <c r="F23" s="35">
        <v>0.797</v>
      </c>
      <c r="G23" s="35">
        <v>1.0</v>
      </c>
      <c r="H23" s="35">
        <v>0.333</v>
      </c>
      <c r="I23" s="36" t="str">
        <f>IMAGE("https://drive.google.com/uc?export=view&amp;id=1Q87fs95bOFxqxf9wOwmuAQdzNnPainK4")</f>
        <v/>
      </c>
      <c r="J23" s="37" t="s">
        <v>17</v>
      </c>
      <c r="K23" s="38" t="s">
        <v>7</v>
      </c>
      <c r="L23" s="37">
        <v>32.0</v>
      </c>
      <c r="M23" s="37">
        <v>3.0</v>
      </c>
    </row>
    <row r="24">
      <c r="A24" s="34">
        <v>23.0</v>
      </c>
      <c r="B24" s="34" t="s">
        <v>235</v>
      </c>
      <c r="C24" s="34" t="s">
        <v>236</v>
      </c>
      <c r="D24" s="34" t="s">
        <v>237</v>
      </c>
      <c r="E24" s="35">
        <v>0.25</v>
      </c>
      <c r="F24" s="35">
        <v>0.827</v>
      </c>
      <c r="G24" s="35">
        <v>1.0</v>
      </c>
      <c r="H24" s="35">
        <v>0.333</v>
      </c>
      <c r="I24" s="36" t="str">
        <f>IMAGE("https://drive.google.com/uc?export=view&amp;id=1NThe3I-LCoRfm3TOHGIylS_UNmX61uVI")</f>
        <v/>
      </c>
      <c r="J24" s="37" t="s">
        <v>17</v>
      </c>
      <c r="K24" s="38" t="s">
        <v>7</v>
      </c>
      <c r="L24" s="37">
        <v>32.0</v>
      </c>
      <c r="M24" s="37">
        <v>3.0</v>
      </c>
    </row>
    <row r="25">
      <c r="A25" s="34">
        <v>24.0</v>
      </c>
      <c r="B25" s="34" t="s">
        <v>256</v>
      </c>
      <c r="C25" s="34" t="s">
        <v>257</v>
      </c>
      <c r="D25" s="34" t="s">
        <v>258</v>
      </c>
      <c r="E25" s="35">
        <v>0.0</v>
      </c>
      <c r="F25" s="35">
        <v>0.589</v>
      </c>
      <c r="G25" s="35">
        <v>0.833</v>
      </c>
      <c r="H25" s="35">
        <v>0.167</v>
      </c>
      <c r="I25" s="36" t="str">
        <f>IMAGE("https://drive.google.com/uc?export=view&amp;id=1hwjFnzCD5e9TpQDxCWyAeTrHKdpwr4mT")</f>
        <v/>
      </c>
      <c r="J25" s="37" t="s">
        <v>17</v>
      </c>
      <c r="K25" s="38" t="s">
        <v>7</v>
      </c>
      <c r="L25" s="37">
        <v>32.0</v>
      </c>
      <c r="M25" s="37">
        <v>3.0</v>
      </c>
    </row>
    <row r="26">
      <c r="A26" s="34">
        <v>25.0</v>
      </c>
      <c r="B26" s="34" t="s">
        <v>262</v>
      </c>
      <c r="C26" s="34" t="s">
        <v>263</v>
      </c>
      <c r="D26" s="34" t="s">
        <v>264</v>
      </c>
      <c r="E26" s="35">
        <v>0.0</v>
      </c>
      <c r="F26" s="35">
        <v>1.0</v>
      </c>
      <c r="G26" s="35">
        <v>0.0</v>
      </c>
      <c r="H26" s="35">
        <v>1.0</v>
      </c>
      <c r="I26" s="36" t="str">
        <f>IMAGE("https://drive.google.com/uc?export=view&amp;id=1qTEbfOgyDguepKtBYIfHvcbse6P_Z3ZG")</f>
        <v/>
      </c>
      <c r="J26" s="37" t="s">
        <v>17</v>
      </c>
      <c r="K26" s="38" t="s">
        <v>7</v>
      </c>
      <c r="L26" s="37">
        <v>32.0</v>
      </c>
      <c r="M26" s="37">
        <v>3.0</v>
      </c>
    </row>
    <row r="27">
      <c r="A27" s="34">
        <v>26.0</v>
      </c>
      <c r="B27" s="34" t="s">
        <v>274</v>
      </c>
      <c r="C27" s="34" t="s">
        <v>275</v>
      </c>
      <c r="D27" s="34" t="s">
        <v>276</v>
      </c>
      <c r="E27" s="35">
        <v>0.0</v>
      </c>
      <c r="F27" s="35">
        <v>0.611</v>
      </c>
      <c r="G27" s="35">
        <v>1.0</v>
      </c>
      <c r="H27" s="35">
        <v>1.0</v>
      </c>
      <c r="I27" s="36" t="str">
        <f>IMAGE("https://drive.google.com/uc?export=view&amp;id=1LXf_zJaN0WDTT61nkV9b996mH4smXG6N")</f>
        <v/>
      </c>
      <c r="J27" s="37" t="s">
        <v>17</v>
      </c>
      <c r="K27" s="38" t="s">
        <v>7</v>
      </c>
      <c r="L27" s="37">
        <v>32.0</v>
      </c>
      <c r="M27" s="37">
        <v>3.0</v>
      </c>
    </row>
    <row r="28">
      <c r="A28" s="34">
        <v>27.0</v>
      </c>
      <c r="B28" s="34" t="s">
        <v>55</v>
      </c>
      <c r="C28" s="34" t="s">
        <v>292</v>
      </c>
      <c r="D28" s="34" t="s">
        <v>293</v>
      </c>
      <c r="E28" s="35">
        <v>0.375</v>
      </c>
      <c r="F28" s="35">
        <v>1.0</v>
      </c>
      <c r="G28" s="35">
        <v>0.679</v>
      </c>
      <c r="H28" s="35">
        <v>1.0</v>
      </c>
      <c r="I28" s="36" t="str">
        <f>IMAGE("https://drive.google.com/uc?export=view&amp;id=1TXpAcLy1s8cHNzWBoSgmE516g8uKTJVG")</f>
        <v/>
      </c>
      <c r="J28" s="37" t="s">
        <v>14</v>
      </c>
      <c r="K28" s="38" t="s">
        <v>7</v>
      </c>
      <c r="L28" s="37">
        <v>32.0</v>
      </c>
      <c r="M28" s="37">
        <v>5.0</v>
      </c>
    </row>
    <row r="29">
      <c r="A29" s="34">
        <v>28.0</v>
      </c>
      <c r="B29" s="34" t="s">
        <v>70</v>
      </c>
      <c r="C29" s="34" t="s">
        <v>302</v>
      </c>
      <c r="D29" s="34" t="s">
        <v>303</v>
      </c>
      <c r="E29" s="35">
        <v>0.444</v>
      </c>
      <c r="F29" s="35">
        <v>0.812</v>
      </c>
      <c r="G29" s="35">
        <v>0.2</v>
      </c>
      <c r="H29" s="35">
        <v>1.0</v>
      </c>
      <c r="I29" s="36" t="str">
        <f>IMAGE("https://drive.google.com/uc?export=view&amp;id=1XzeKHIoV5VZ9LcUBPRKmEUyV2O3eawy2")</f>
        <v/>
      </c>
      <c r="J29" s="37" t="s">
        <v>14</v>
      </c>
      <c r="K29" s="38" t="s">
        <v>7</v>
      </c>
      <c r="L29" s="37">
        <v>32.0</v>
      </c>
      <c r="M29" s="37">
        <v>5.0</v>
      </c>
    </row>
    <row r="30">
      <c r="A30" s="34">
        <v>29.0</v>
      </c>
      <c r="B30" s="34" t="s">
        <v>115</v>
      </c>
      <c r="C30" s="34" t="s">
        <v>320</v>
      </c>
      <c r="D30" s="34" t="s">
        <v>321</v>
      </c>
      <c r="E30" s="35">
        <v>0.467</v>
      </c>
      <c r="F30" s="35">
        <v>0.994</v>
      </c>
      <c r="G30" s="35">
        <v>1.0</v>
      </c>
      <c r="H30" s="35">
        <v>0.8</v>
      </c>
      <c r="I30" s="36" t="str">
        <f>IMAGE("https://drive.google.com/uc?export=view&amp;id=10STbj-1vVs85re8FqT9jqaUJ_YU3Iz7t")</f>
        <v/>
      </c>
      <c r="J30" s="37" t="s">
        <v>14</v>
      </c>
      <c r="K30" s="38" t="s">
        <v>7</v>
      </c>
      <c r="L30" s="37">
        <v>32.0</v>
      </c>
      <c r="M30" s="37">
        <v>5.0</v>
      </c>
    </row>
    <row r="31">
      <c r="A31" s="34">
        <v>30.0</v>
      </c>
      <c r="B31" s="34" t="s">
        <v>103</v>
      </c>
      <c r="C31" s="34" t="s">
        <v>326</v>
      </c>
      <c r="D31" s="34" t="s">
        <v>327</v>
      </c>
      <c r="E31" s="35">
        <v>0.429</v>
      </c>
      <c r="F31" s="35">
        <v>0.987</v>
      </c>
      <c r="G31" s="35">
        <v>1.0</v>
      </c>
      <c r="H31" s="35">
        <v>0.8</v>
      </c>
      <c r="I31" s="36" t="str">
        <f>IMAGE("https://drive.google.com/uc?export=view&amp;id=1HbpvASnSDgu0XtlxV3i74e1dqgsUlOeb")</f>
        <v/>
      </c>
      <c r="J31" s="37" t="s">
        <v>15</v>
      </c>
      <c r="K31" s="38" t="s">
        <v>7</v>
      </c>
      <c r="L31" s="37">
        <v>32.0</v>
      </c>
      <c r="M31" s="37">
        <v>5.0</v>
      </c>
    </row>
    <row r="32">
      <c r="A32" s="34">
        <v>31.0</v>
      </c>
      <c r="B32" s="34" t="s">
        <v>112</v>
      </c>
      <c r="C32" s="34" t="s">
        <v>332</v>
      </c>
      <c r="D32" s="34" t="s">
        <v>333</v>
      </c>
      <c r="E32" s="35">
        <v>0.467</v>
      </c>
      <c r="F32" s="35">
        <v>0.947</v>
      </c>
      <c r="G32" s="35">
        <v>1.0</v>
      </c>
      <c r="H32" s="35">
        <v>0.556</v>
      </c>
      <c r="I32" s="36" t="str">
        <f>IMAGE("https://drive.google.com/uc?export=view&amp;id=1y-UZkwZpUsw9nsaCvnXJ7P6nBje_ANCo")</f>
        <v/>
      </c>
      <c r="J32" s="37" t="s">
        <v>15</v>
      </c>
      <c r="K32" s="38" t="s">
        <v>7</v>
      </c>
      <c r="L32" s="37">
        <v>32.0</v>
      </c>
      <c r="M32" s="37">
        <v>5.0</v>
      </c>
    </row>
    <row r="33">
      <c r="A33" s="34">
        <v>32.0</v>
      </c>
      <c r="B33" s="34" t="s">
        <v>118</v>
      </c>
      <c r="C33" s="34" t="s">
        <v>334</v>
      </c>
      <c r="D33" s="34" t="s">
        <v>335</v>
      </c>
      <c r="E33" s="35">
        <v>0.444</v>
      </c>
      <c r="F33" s="35">
        <v>0.728</v>
      </c>
      <c r="G33" s="35">
        <v>0.589</v>
      </c>
      <c r="H33" s="35">
        <v>1.0</v>
      </c>
      <c r="I33" s="36" t="str">
        <f>IMAGE("https://drive.google.com/uc?export=view&amp;id=1STkKJRMCRLNzhVTtfdA5voiK8wR8B76W")</f>
        <v/>
      </c>
      <c r="J33" s="37" t="s">
        <v>15</v>
      </c>
      <c r="K33" s="38" t="s">
        <v>7</v>
      </c>
      <c r="L33" s="37">
        <v>32.0</v>
      </c>
      <c r="M33" s="37">
        <v>5.0</v>
      </c>
    </row>
    <row r="34">
      <c r="A34" s="34">
        <v>33.0</v>
      </c>
      <c r="B34" s="34" t="s">
        <v>124</v>
      </c>
      <c r="C34" s="34" t="s">
        <v>338</v>
      </c>
      <c r="D34" s="34" t="s">
        <v>339</v>
      </c>
      <c r="E34" s="35">
        <v>0.0</v>
      </c>
      <c r="F34" s="35">
        <v>0.908</v>
      </c>
      <c r="G34" s="35">
        <v>0.0</v>
      </c>
      <c r="H34" s="35">
        <v>0.333</v>
      </c>
      <c r="I34" s="36" t="str">
        <f>IMAGE("https://drive.google.com/uc?export=view&amp;id=1FBNlDPS2W-UqdDayyzPuH68ohvi6zesR")</f>
        <v/>
      </c>
      <c r="J34" s="37" t="s">
        <v>15</v>
      </c>
      <c r="K34" s="38" t="s">
        <v>7</v>
      </c>
      <c r="L34" s="37">
        <v>32.0</v>
      </c>
      <c r="M34" s="37">
        <v>5.0</v>
      </c>
    </row>
    <row r="35">
      <c r="A35" s="34">
        <v>34.0</v>
      </c>
      <c r="B35" s="34" t="s">
        <v>133</v>
      </c>
      <c r="C35" s="34" t="s">
        <v>344</v>
      </c>
      <c r="D35" s="34" t="s">
        <v>345</v>
      </c>
      <c r="E35" s="35">
        <v>0.05</v>
      </c>
      <c r="F35" s="35">
        <v>0.993</v>
      </c>
      <c r="G35" s="35">
        <v>0.0</v>
      </c>
      <c r="H35" s="35">
        <v>0.583</v>
      </c>
      <c r="I35" s="36" t="str">
        <f>IMAGE("https://drive.google.com/uc?export=view&amp;id=19t7htM7HKok6D4MNOrYXeGCxv8JZRQTA")</f>
        <v/>
      </c>
      <c r="J35" s="37" t="s">
        <v>15</v>
      </c>
      <c r="K35" s="38" t="s">
        <v>7</v>
      </c>
      <c r="L35" s="37">
        <v>32.0</v>
      </c>
      <c r="M35" s="37">
        <v>5.0</v>
      </c>
    </row>
    <row r="36">
      <c r="A36" s="34">
        <v>35.0</v>
      </c>
      <c r="B36" s="34" t="s">
        <v>163</v>
      </c>
      <c r="C36" s="34" t="s">
        <v>364</v>
      </c>
      <c r="D36" s="34" t="s">
        <v>365</v>
      </c>
      <c r="E36" s="35">
        <v>0.273</v>
      </c>
      <c r="F36" s="35">
        <v>0.0</v>
      </c>
      <c r="G36" s="35">
        <v>1.0</v>
      </c>
      <c r="H36" s="35">
        <v>0.615</v>
      </c>
      <c r="I36" s="36" t="str">
        <f>IMAGE("https://drive.google.com/uc?export=view&amp;id=1mItI59gVOLOgtLGxMD11cWZA_j0piUYB")</f>
        <v/>
      </c>
      <c r="J36" s="37" t="s">
        <v>15</v>
      </c>
      <c r="K36" s="38" t="s">
        <v>7</v>
      </c>
      <c r="L36" s="37">
        <v>32.0</v>
      </c>
      <c r="M36" s="37">
        <v>5.0</v>
      </c>
    </row>
    <row r="37">
      <c r="A37" s="34">
        <v>36.0</v>
      </c>
      <c r="B37" s="34" t="s">
        <v>166</v>
      </c>
      <c r="C37" s="34" t="s">
        <v>366</v>
      </c>
      <c r="D37" s="34" t="s">
        <v>367</v>
      </c>
      <c r="E37" s="35">
        <v>0.0</v>
      </c>
      <c r="F37" s="35">
        <v>1.0</v>
      </c>
      <c r="G37" s="35">
        <v>0.804</v>
      </c>
      <c r="H37" s="35">
        <v>0.286</v>
      </c>
      <c r="I37" s="36" t="str">
        <f>IMAGE("https://drive.google.com/uc?export=view&amp;id=14lsk2KNg73_3GkKw39eoe7HfNrk43v2g")</f>
        <v/>
      </c>
      <c r="J37" s="37" t="s">
        <v>16</v>
      </c>
      <c r="K37" s="38" t="s">
        <v>7</v>
      </c>
      <c r="L37" s="37">
        <v>32.0</v>
      </c>
      <c r="M37" s="37">
        <v>5.0</v>
      </c>
    </row>
    <row r="38">
      <c r="A38" s="34">
        <v>37.0</v>
      </c>
      <c r="B38" s="34" t="s">
        <v>172</v>
      </c>
      <c r="C38" s="34" t="s">
        <v>371</v>
      </c>
      <c r="D38" s="34" t="s">
        <v>372</v>
      </c>
      <c r="E38" s="35">
        <v>0.4</v>
      </c>
      <c r="F38" s="35">
        <v>0.916</v>
      </c>
      <c r="G38" s="35">
        <v>0.417</v>
      </c>
      <c r="H38" s="35">
        <v>0.0</v>
      </c>
      <c r="I38" s="36" t="str">
        <f>IMAGE("https://drive.google.com/uc?export=view&amp;id=1z0NAJ-4h1SX_jlFYG9monzn7MY7Lz1Kh")</f>
        <v/>
      </c>
      <c r="J38" s="37" t="s">
        <v>16</v>
      </c>
      <c r="K38" s="38" t="s">
        <v>7</v>
      </c>
      <c r="L38" s="37">
        <v>32.0</v>
      </c>
      <c r="M38" s="37">
        <v>5.0</v>
      </c>
    </row>
    <row r="39">
      <c r="A39" s="34">
        <v>38.0</v>
      </c>
      <c r="B39" s="34" t="s">
        <v>181</v>
      </c>
      <c r="C39" s="34" t="s">
        <v>377</v>
      </c>
      <c r="D39" s="34" t="s">
        <v>378</v>
      </c>
      <c r="E39" s="35">
        <v>0.0</v>
      </c>
      <c r="F39" s="35">
        <v>0.78</v>
      </c>
      <c r="G39" s="35">
        <v>0.887</v>
      </c>
      <c r="H39" s="35">
        <v>0.667</v>
      </c>
      <c r="I39" s="36" t="str">
        <f>IMAGE("https://drive.google.com/uc?export=view&amp;id=1m5tI_Rx_x_VeJa5QkzFXwtjlIbBmN_u6")</f>
        <v/>
      </c>
      <c r="J39" s="37" t="s">
        <v>16</v>
      </c>
      <c r="K39" s="38" t="s">
        <v>7</v>
      </c>
      <c r="L39" s="37">
        <v>32.0</v>
      </c>
      <c r="M39" s="37">
        <v>5.0</v>
      </c>
    </row>
    <row r="40">
      <c r="A40" s="34">
        <v>39.0</v>
      </c>
      <c r="B40" s="34" t="s">
        <v>184</v>
      </c>
      <c r="C40" s="34" t="s">
        <v>379</v>
      </c>
      <c r="D40" s="34" t="s">
        <v>380</v>
      </c>
      <c r="E40" s="35">
        <v>0.0</v>
      </c>
      <c r="F40" s="35">
        <v>0.858</v>
      </c>
      <c r="G40" s="35">
        <v>1.0</v>
      </c>
      <c r="H40" s="35">
        <v>1.0</v>
      </c>
      <c r="I40" s="36" t="str">
        <f>IMAGE("https://drive.google.com/uc?export=view&amp;id=1w-yW5M7tTFt_d6YPCaKeDax99RmzIOBp")</f>
        <v/>
      </c>
      <c r="J40" s="37" t="s">
        <v>16</v>
      </c>
      <c r="K40" s="38" t="s">
        <v>7</v>
      </c>
      <c r="L40" s="37">
        <v>32.0</v>
      </c>
      <c r="M40" s="37">
        <v>5.0</v>
      </c>
    </row>
    <row r="41">
      <c r="A41" s="34">
        <v>40.0</v>
      </c>
      <c r="B41" s="34" t="s">
        <v>202</v>
      </c>
      <c r="C41" s="34" t="s">
        <v>391</v>
      </c>
      <c r="D41" s="34" t="s">
        <v>392</v>
      </c>
      <c r="E41" s="35">
        <v>0.0</v>
      </c>
      <c r="F41" s="35">
        <v>0.605</v>
      </c>
      <c r="G41" s="35">
        <v>0.2</v>
      </c>
      <c r="H41" s="35">
        <v>0.0</v>
      </c>
      <c r="I41" s="36" t="str">
        <f>IMAGE("https://drive.google.com/uc?export=view&amp;id=1etAbNDMXiD2umpgDt9PNtoaJRNU0wx0M")</f>
        <v/>
      </c>
      <c r="J41" s="37" t="s">
        <v>16</v>
      </c>
      <c r="K41" s="38" t="s">
        <v>7</v>
      </c>
      <c r="L41" s="37">
        <v>32.0</v>
      </c>
      <c r="M41" s="37">
        <v>5.0</v>
      </c>
    </row>
    <row r="42">
      <c r="A42" s="34">
        <v>41.0</v>
      </c>
      <c r="B42" s="34" t="s">
        <v>205</v>
      </c>
      <c r="C42" s="34" t="s">
        <v>393</v>
      </c>
      <c r="D42" s="34" t="s">
        <v>394</v>
      </c>
      <c r="E42" s="35">
        <v>0.185</v>
      </c>
      <c r="F42" s="35">
        <v>1.0</v>
      </c>
      <c r="G42" s="35">
        <v>0.589</v>
      </c>
      <c r="H42" s="35">
        <v>1.0</v>
      </c>
      <c r="I42" s="36" t="str">
        <f>IMAGE("https://drive.google.com/uc?export=view&amp;id=110hcnzDfnAlNZLnktHoPK6_ntO7qTmwR")</f>
        <v/>
      </c>
      <c r="J42" s="37" t="s">
        <v>16</v>
      </c>
      <c r="K42" s="38" t="s">
        <v>7</v>
      </c>
      <c r="L42" s="37">
        <v>32.0</v>
      </c>
      <c r="M42" s="37">
        <v>5.0</v>
      </c>
    </row>
    <row r="43">
      <c r="A43" s="34">
        <v>42.0</v>
      </c>
      <c r="B43" s="34" t="s">
        <v>214</v>
      </c>
      <c r="C43" s="34" t="s">
        <v>399</v>
      </c>
      <c r="D43" s="34" t="s">
        <v>400</v>
      </c>
      <c r="E43" s="35">
        <v>0.125</v>
      </c>
      <c r="F43" s="35">
        <v>0.759</v>
      </c>
      <c r="G43" s="35">
        <v>0.75</v>
      </c>
      <c r="H43" s="35">
        <v>0.8</v>
      </c>
      <c r="I43" s="36" t="str">
        <f>IMAGE("https://drive.google.com/uc?export=view&amp;id=1czIGWA1-gGTImEZcbyPIjR9NwnSB8hYl")</f>
        <v/>
      </c>
      <c r="J43" s="37" t="s">
        <v>16</v>
      </c>
      <c r="K43" s="38" t="s">
        <v>7</v>
      </c>
      <c r="L43" s="37">
        <v>32.0</v>
      </c>
      <c r="M43" s="37">
        <v>5.0</v>
      </c>
    </row>
    <row r="44">
      <c r="A44" s="34">
        <v>43.0</v>
      </c>
      <c r="B44" s="34" t="s">
        <v>220</v>
      </c>
      <c r="C44" s="34" t="s">
        <v>403</v>
      </c>
      <c r="D44" s="34" t="s">
        <v>404</v>
      </c>
      <c r="E44" s="35">
        <v>0.25</v>
      </c>
      <c r="F44" s="35">
        <v>0.739</v>
      </c>
      <c r="G44" s="35">
        <v>0.917</v>
      </c>
      <c r="H44" s="35">
        <v>1.0</v>
      </c>
      <c r="I44" s="36" t="str">
        <f>IMAGE("https://drive.google.com/uc?export=view&amp;id=1OOJe90rWW5O-HPgQDQ_2e1qGZ4lf16Ag")</f>
        <v/>
      </c>
      <c r="J44" s="37" t="s">
        <v>16</v>
      </c>
      <c r="K44" s="38" t="s">
        <v>7</v>
      </c>
      <c r="L44" s="37">
        <v>32.0</v>
      </c>
      <c r="M44" s="37">
        <v>5.0</v>
      </c>
    </row>
    <row r="45">
      <c r="A45" s="34">
        <v>44.0</v>
      </c>
      <c r="B45" s="34" t="s">
        <v>229</v>
      </c>
      <c r="C45" s="34" t="s">
        <v>409</v>
      </c>
      <c r="D45" s="34" t="s">
        <v>410</v>
      </c>
      <c r="E45" s="35">
        <v>0.429</v>
      </c>
      <c r="F45" s="35">
        <v>0.993</v>
      </c>
      <c r="G45" s="35">
        <v>0.679</v>
      </c>
      <c r="H45" s="35">
        <v>1.0</v>
      </c>
      <c r="I45" s="36" t="str">
        <f>IMAGE("https://drive.google.com/uc?export=view&amp;id=1nJnjDXslP2iokBKFIZ9lEa5QRAuIIAu2")</f>
        <v/>
      </c>
      <c r="J45" s="37" t="s">
        <v>17</v>
      </c>
      <c r="K45" s="38" t="s">
        <v>7</v>
      </c>
      <c r="L45" s="37">
        <v>32.0</v>
      </c>
      <c r="M45" s="37">
        <v>5.0</v>
      </c>
    </row>
    <row r="46">
      <c r="A46" s="34">
        <v>45.0</v>
      </c>
      <c r="B46" s="34" t="s">
        <v>232</v>
      </c>
      <c r="C46" s="34" t="s">
        <v>411</v>
      </c>
      <c r="D46" s="34" t="s">
        <v>412</v>
      </c>
      <c r="E46" s="35">
        <v>0.333</v>
      </c>
      <c r="F46" s="35">
        <v>0.797</v>
      </c>
      <c r="G46" s="35">
        <v>0.639</v>
      </c>
      <c r="H46" s="35">
        <v>0.857</v>
      </c>
      <c r="I46" s="36" t="str">
        <f>IMAGE("https://drive.google.com/uc?export=view&amp;id=1wOYTn87JYUUFUKaNzT3bauycnFWwhdam")</f>
        <v/>
      </c>
      <c r="J46" s="37" t="s">
        <v>17</v>
      </c>
      <c r="K46" s="38" t="s">
        <v>7</v>
      </c>
      <c r="L46" s="37">
        <v>32.0</v>
      </c>
      <c r="M46" s="37">
        <v>5.0</v>
      </c>
    </row>
    <row r="47">
      <c r="A47" s="34">
        <v>46.0</v>
      </c>
      <c r="B47" s="34" t="s">
        <v>235</v>
      </c>
      <c r="C47" s="34" t="s">
        <v>413</v>
      </c>
      <c r="D47" s="34" t="s">
        <v>414</v>
      </c>
      <c r="E47" s="35">
        <v>0.455</v>
      </c>
      <c r="F47" s="35">
        <v>0.979</v>
      </c>
      <c r="G47" s="35">
        <v>1.0</v>
      </c>
      <c r="H47" s="35">
        <v>1.0</v>
      </c>
      <c r="I47" s="36" t="str">
        <f>IMAGE("https://drive.google.com/uc?export=view&amp;id=1jutMsTAqzpNoo-eEZ-ze8NCgrS3vNeic")</f>
        <v/>
      </c>
      <c r="J47" s="37" t="s">
        <v>17</v>
      </c>
      <c r="K47" s="38" t="s">
        <v>7</v>
      </c>
      <c r="L47" s="37">
        <v>32.0</v>
      </c>
      <c r="M47" s="37">
        <v>5.0</v>
      </c>
    </row>
    <row r="48">
      <c r="A48" s="34">
        <v>47.0</v>
      </c>
      <c r="B48" s="34" t="s">
        <v>241</v>
      </c>
      <c r="C48" s="34" t="s">
        <v>417</v>
      </c>
      <c r="D48" s="34" t="s">
        <v>418</v>
      </c>
      <c r="E48" s="35">
        <v>0.429</v>
      </c>
      <c r="F48" s="35">
        <v>0.979</v>
      </c>
      <c r="G48" s="35">
        <v>0.25</v>
      </c>
      <c r="H48" s="35">
        <v>1.0</v>
      </c>
      <c r="I48" s="36" t="str">
        <f>IMAGE("https://drive.google.com/uc?export=view&amp;id=1MgXllcL1Rlw0ToqHx5R9prTRBlLhT_wm")</f>
        <v/>
      </c>
      <c r="J48" s="37" t="s">
        <v>17</v>
      </c>
      <c r="K48" s="38" t="s">
        <v>7</v>
      </c>
      <c r="L48" s="37">
        <v>32.0</v>
      </c>
      <c r="M48" s="37">
        <v>5.0</v>
      </c>
    </row>
    <row r="49">
      <c r="A49" s="34">
        <v>48.0</v>
      </c>
      <c r="B49" s="34" t="s">
        <v>265</v>
      </c>
      <c r="C49" s="34" t="s">
        <v>433</v>
      </c>
      <c r="D49" s="34" t="s">
        <v>434</v>
      </c>
      <c r="E49" s="35">
        <v>0.273</v>
      </c>
      <c r="F49" s="35">
        <v>0.978</v>
      </c>
      <c r="G49" s="35">
        <v>0.333</v>
      </c>
      <c r="H49" s="35">
        <v>1.0</v>
      </c>
      <c r="I49" s="36" t="str">
        <f>IMAGE("https://drive.google.com/uc?export=view&amp;id=1LGXtdooJvRMT0IPBtwMYB-bcZcMgEZkS")</f>
        <v/>
      </c>
      <c r="J49" s="37" t="s">
        <v>17</v>
      </c>
      <c r="K49" s="38" t="s">
        <v>7</v>
      </c>
      <c r="L49" s="37">
        <v>32.0</v>
      </c>
      <c r="M49" s="37">
        <v>5.0</v>
      </c>
    </row>
    <row r="50">
      <c r="A50" s="34">
        <v>49.0</v>
      </c>
      <c r="B50" s="34" t="s">
        <v>271</v>
      </c>
      <c r="C50" s="34" t="s">
        <v>437</v>
      </c>
      <c r="D50" s="34" t="s">
        <v>438</v>
      </c>
      <c r="E50" s="35">
        <v>0.375</v>
      </c>
      <c r="F50" s="35">
        <v>0.634</v>
      </c>
      <c r="G50" s="35">
        <v>0.867</v>
      </c>
      <c r="H50" s="35">
        <v>1.0</v>
      </c>
      <c r="I50" s="36" t="str">
        <f>IMAGE("https://drive.google.com/uc?export=view&amp;id=1T2zR5pmZsxe1RZLmyrkfEB3aBcawy3oI")</f>
        <v/>
      </c>
      <c r="J50" s="37" t="s">
        <v>17</v>
      </c>
      <c r="K50" s="38" t="s">
        <v>7</v>
      </c>
      <c r="L50" s="37">
        <v>32.0</v>
      </c>
      <c r="M50" s="37">
        <v>5.0</v>
      </c>
    </row>
    <row r="51">
      <c r="A51" s="34">
        <v>50.0</v>
      </c>
      <c r="B51" s="34" t="s">
        <v>280</v>
      </c>
      <c r="C51" s="34" t="s">
        <v>443</v>
      </c>
      <c r="D51" s="34" t="s">
        <v>444</v>
      </c>
      <c r="E51" s="35">
        <v>0.2</v>
      </c>
      <c r="F51" s="35">
        <v>0.413</v>
      </c>
      <c r="G51" s="35">
        <v>0.75</v>
      </c>
      <c r="H51" s="35">
        <v>1.0</v>
      </c>
      <c r="I51" s="36" t="str">
        <f>IMAGE("https://drive.google.com/uc?export=view&amp;id=1PCF8Qf_qMKH-lY_ZoYNXIBhEymiP7hlZ")</f>
        <v/>
      </c>
      <c r="J51" s="37" t="s">
        <v>17</v>
      </c>
      <c r="K51" s="38" t="s">
        <v>7</v>
      </c>
      <c r="L51" s="37">
        <v>64.0</v>
      </c>
      <c r="M51" s="37">
        <v>3.0</v>
      </c>
    </row>
    <row r="52">
      <c r="A52" s="34">
        <v>51.0</v>
      </c>
      <c r="B52" s="34" t="s">
        <v>46</v>
      </c>
      <c r="C52" s="34" t="s">
        <v>448</v>
      </c>
      <c r="D52" s="34" t="s">
        <v>449</v>
      </c>
      <c r="E52" s="35">
        <v>0.1</v>
      </c>
      <c r="F52" s="35">
        <v>0.954</v>
      </c>
      <c r="G52" s="35">
        <v>0.5</v>
      </c>
      <c r="H52" s="35">
        <v>0.4</v>
      </c>
      <c r="I52" s="36" t="str">
        <f>IMAGE("https://drive.google.com/uc?export=view&amp;id=1DEfDbG4XVJYkxlBJNjtYN7otOpWd0iyq")</f>
        <v/>
      </c>
      <c r="J52" s="37" t="s">
        <v>14</v>
      </c>
      <c r="K52" s="38" t="s">
        <v>7</v>
      </c>
      <c r="L52" s="37">
        <v>64.0</v>
      </c>
      <c r="M52" s="37">
        <v>3.0</v>
      </c>
    </row>
    <row r="53">
      <c r="A53" s="34">
        <v>52.0</v>
      </c>
      <c r="B53" s="34" t="s">
        <v>49</v>
      </c>
      <c r="C53" s="34" t="s">
        <v>450</v>
      </c>
      <c r="D53" s="34" t="s">
        <v>451</v>
      </c>
      <c r="E53" s="35">
        <v>0.417</v>
      </c>
      <c r="F53" s="35">
        <v>0.0</v>
      </c>
      <c r="G53" s="35">
        <v>0.0</v>
      </c>
      <c r="H53" s="35">
        <v>0.833</v>
      </c>
      <c r="I53" s="36" t="str">
        <f>IMAGE("https://drive.google.com/uc?export=view&amp;id=1tch9f8FvuaYTDBlSzTNxLWQjdMhNfIkR")</f>
        <v/>
      </c>
      <c r="J53" s="37" t="s">
        <v>14</v>
      </c>
      <c r="K53" s="38" t="s">
        <v>7</v>
      </c>
      <c r="L53" s="37">
        <v>64.0</v>
      </c>
      <c r="M53" s="37">
        <v>3.0</v>
      </c>
    </row>
    <row r="54">
      <c r="A54" s="34">
        <v>53.0</v>
      </c>
      <c r="B54" s="34" t="s">
        <v>55</v>
      </c>
      <c r="C54" s="34" t="s">
        <v>454</v>
      </c>
      <c r="D54" s="34" t="s">
        <v>455</v>
      </c>
      <c r="E54" s="35">
        <v>0.0</v>
      </c>
      <c r="F54" s="35">
        <v>1.0</v>
      </c>
      <c r="G54" s="35">
        <v>1.0</v>
      </c>
      <c r="H54" s="35">
        <v>1.0</v>
      </c>
      <c r="I54" s="36" t="str">
        <f>IMAGE("https://drive.google.com/uc?export=view&amp;id=1atKWhFaRGGHJ3YcZ0wZ4tfFQULbhVM9W")</f>
        <v/>
      </c>
      <c r="J54" s="37" t="s">
        <v>14</v>
      </c>
      <c r="K54" s="38" t="s">
        <v>7</v>
      </c>
      <c r="L54" s="37">
        <v>64.0</v>
      </c>
      <c r="M54" s="37">
        <v>3.0</v>
      </c>
    </row>
    <row r="55">
      <c r="A55" s="34">
        <v>54.0</v>
      </c>
      <c r="B55" s="34" t="s">
        <v>61</v>
      </c>
      <c r="C55" s="34" t="s">
        <v>458</v>
      </c>
      <c r="D55" s="34" t="s">
        <v>459</v>
      </c>
      <c r="E55" s="35">
        <v>0.25</v>
      </c>
      <c r="F55" s="35">
        <v>0.976</v>
      </c>
      <c r="G55" s="35">
        <v>0.583</v>
      </c>
      <c r="H55" s="35">
        <v>1.0</v>
      </c>
      <c r="I55" s="36" t="str">
        <f>IMAGE("https://drive.google.com/uc?export=view&amp;id=1vMXfUsLADeGblANglfRJ7FrtIK95K6yv")</f>
        <v/>
      </c>
      <c r="J55" s="37" t="s">
        <v>14</v>
      </c>
      <c r="K55" s="38" t="s">
        <v>7</v>
      </c>
      <c r="L55" s="37">
        <v>64.0</v>
      </c>
      <c r="M55" s="37">
        <v>3.0</v>
      </c>
    </row>
    <row r="56">
      <c r="A56" s="34">
        <v>55.0</v>
      </c>
      <c r="B56" s="34" t="s">
        <v>76</v>
      </c>
      <c r="C56" s="34" t="s">
        <v>468</v>
      </c>
      <c r="D56" s="34" t="s">
        <v>469</v>
      </c>
      <c r="E56" s="35">
        <v>0.0</v>
      </c>
      <c r="F56" s="35">
        <v>0.637</v>
      </c>
      <c r="G56" s="35">
        <v>1.0</v>
      </c>
      <c r="H56" s="35">
        <v>0.429</v>
      </c>
      <c r="I56" s="36" t="str">
        <f>IMAGE("https://drive.google.com/uc?export=view&amp;id=11i3k-lCEwRMYBFc7FLPG06fI30ubTQtp")</f>
        <v/>
      </c>
      <c r="J56" s="37" t="s">
        <v>14</v>
      </c>
      <c r="K56" s="38" t="s">
        <v>7</v>
      </c>
      <c r="L56" s="37">
        <v>64.0</v>
      </c>
      <c r="M56" s="37">
        <v>3.0</v>
      </c>
    </row>
    <row r="57">
      <c r="A57" s="34">
        <v>56.0</v>
      </c>
      <c r="B57" s="34" t="s">
        <v>82</v>
      </c>
      <c r="C57" s="34" t="s">
        <v>472</v>
      </c>
      <c r="D57" s="34" t="s">
        <v>473</v>
      </c>
      <c r="E57" s="35">
        <v>0.286</v>
      </c>
      <c r="F57" s="35">
        <v>0.433</v>
      </c>
      <c r="G57" s="35">
        <v>0.0</v>
      </c>
      <c r="H57" s="35">
        <v>1.0</v>
      </c>
      <c r="I57" s="36" t="str">
        <f>IMAGE("https://drive.google.com/uc?export=view&amp;id=1j--DCe-h-swVJDtRWqzvS-BO1-RRMQaB")</f>
        <v/>
      </c>
      <c r="J57" s="37" t="s">
        <v>14</v>
      </c>
      <c r="K57" s="38" t="s">
        <v>7</v>
      </c>
      <c r="L57" s="37">
        <v>64.0</v>
      </c>
      <c r="M57" s="37">
        <v>3.0</v>
      </c>
    </row>
    <row r="58">
      <c r="A58" s="34">
        <v>57.0</v>
      </c>
      <c r="B58" s="34" t="s">
        <v>85</v>
      </c>
      <c r="C58" s="34" t="s">
        <v>474</v>
      </c>
      <c r="D58" s="34" t="s">
        <v>475</v>
      </c>
      <c r="E58" s="35">
        <v>0.333</v>
      </c>
      <c r="F58" s="35">
        <v>0.0</v>
      </c>
      <c r="G58" s="35">
        <v>0.0</v>
      </c>
      <c r="H58" s="35">
        <v>0.8</v>
      </c>
      <c r="I58" s="36" t="str">
        <f>IMAGE("https://drive.google.com/uc?export=view&amp;id=1WsWTvGPIDuoTv3JsZ3Oe-_Ml_Nfebc0S")</f>
        <v/>
      </c>
      <c r="J58" s="37" t="s">
        <v>14</v>
      </c>
      <c r="K58" s="38" t="s">
        <v>7</v>
      </c>
      <c r="L58" s="37">
        <v>64.0</v>
      </c>
      <c r="M58" s="37">
        <v>3.0</v>
      </c>
    </row>
    <row r="59">
      <c r="A59" s="34">
        <v>58.0</v>
      </c>
      <c r="B59" s="34" t="s">
        <v>115</v>
      </c>
      <c r="C59" s="34" t="s">
        <v>486</v>
      </c>
      <c r="D59" s="34" t="s">
        <v>487</v>
      </c>
      <c r="E59" s="35">
        <v>0.5</v>
      </c>
      <c r="F59" s="35">
        <v>0.994</v>
      </c>
      <c r="G59" s="35">
        <v>0.833</v>
      </c>
      <c r="H59" s="35">
        <v>1.0</v>
      </c>
      <c r="I59" s="36" t="str">
        <f>IMAGE("https://drive.google.com/uc?export=view&amp;id=1mwuz9XqEudAwFjLZzzhVjQOZiPt5Szm-")</f>
        <v/>
      </c>
      <c r="J59" s="37" t="s">
        <v>14</v>
      </c>
      <c r="K59" s="38" t="s">
        <v>7</v>
      </c>
      <c r="L59" s="37">
        <v>64.0</v>
      </c>
      <c r="M59" s="37">
        <v>3.0</v>
      </c>
    </row>
    <row r="60">
      <c r="A60" s="34">
        <v>59.0</v>
      </c>
      <c r="B60" s="34" t="s">
        <v>106</v>
      </c>
      <c r="C60" s="34" t="s">
        <v>490</v>
      </c>
      <c r="D60" s="34" t="s">
        <v>491</v>
      </c>
      <c r="E60" s="35">
        <v>0.5</v>
      </c>
      <c r="F60" s="35">
        <v>0.0</v>
      </c>
      <c r="G60" s="35">
        <v>0.0</v>
      </c>
      <c r="H60" s="35">
        <v>0.8</v>
      </c>
      <c r="I60" s="36" t="str">
        <f>IMAGE("https://drive.google.com/uc?export=view&amp;id=1hxS87Nvjd4DyqiSIZjsS17Dh78PdXEiP")</f>
        <v/>
      </c>
      <c r="J60" s="37" t="s">
        <v>15</v>
      </c>
      <c r="K60" s="38" t="s">
        <v>7</v>
      </c>
      <c r="L60" s="37">
        <v>64.0</v>
      </c>
      <c r="M60" s="37">
        <v>3.0</v>
      </c>
    </row>
    <row r="61">
      <c r="A61" s="34">
        <v>60.0</v>
      </c>
      <c r="B61" s="34" t="s">
        <v>112</v>
      </c>
      <c r="C61" s="34" t="s">
        <v>494</v>
      </c>
      <c r="D61" s="34" t="s">
        <v>495</v>
      </c>
      <c r="E61" s="35">
        <v>0.273</v>
      </c>
      <c r="F61" s="35">
        <v>0.947</v>
      </c>
      <c r="G61" s="35">
        <v>1.0</v>
      </c>
      <c r="H61" s="35">
        <v>0.8</v>
      </c>
      <c r="I61" s="36" t="str">
        <f>IMAGE("https://drive.google.com/uc?export=view&amp;id=1P6hWtVBv7waQe6dP9q67ES_fXzPbFBoI")</f>
        <v/>
      </c>
      <c r="J61" s="37" t="s">
        <v>15</v>
      </c>
      <c r="K61" s="38" t="s">
        <v>7</v>
      </c>
      <c r="L61" s="37">
        <v>64.0</v>
      </c>
      <c r="M61" s="37">
        <v>3.0</v>
      </c>
    </row>
    <row r="62">
      <c r="A62" s="34">
        <v>61.0</v>
      </c>
      <c r="B62" s="34" t="s">
        <v>118</v>
      </c>
      <c r="C62" s="34" t="s">
        <v>496</v>
      </c>
      <c r="D62" s="34" t="s">
        <v>497</v>
      </c>
      <c r="E62" s="35">
        <v>0.333</v>
      </c>
      <c r="F62" s="35">
        <v>0.744</v>
      </c>
      <c r="G62" s="35">
        <v>0.833</v>
      </c>
      <c r="H62" s="35">
        <v>0.75</v>
      </c>
      <c r="I62" s="36" t="str">
        <f>IMAGE("https://drive.google.com/uc?export=view&amp;id=1Kzy1ONISgZzLiAEztBDPmCjVVEsQRExa")</f>
        <v/>
      </c>
      <c r="J62" s="37" t="s">
        <v>15</v>
      </c>
      <c r="K62" s="38" t="s">
        <v>7</v>
      </c>
      <c r="L62" s="37">
        <v>64.0</v>
      </c>
      <c r="M62" s="37">
        <v>3.0</v>
      </c>
    </row>
    <row r="63">
      <c r="A63" s="34">
        <v>62.0</v>
      </c>
      <c r="B63" s="34" t="s">
        <v>130</v>
      </c>
      <c r="C63" s="34" t="s">
        <v>504</v>
      </c>
      <c r="D63" s="34" t="s">
        <v>505</v>
      </c>
      <c r="E63" s="35">
        <v>0.143</v>
      </c>
      <c r="F63" s="35">
        <v>0.788</v>
      </c>
      <c r="G63" s="35">
        <v>1.0</v>
      </c>
      <c r="H63" s="35">
        <v>0.429</v>
      </c>
      <c r="I63" s="36" t="str">
        <f>IMAGE("https://drive.google.com/uc?export=view&amp;id=1Rtt77OCKOwgsXxkb4Ig8fiEXNEkQ0Z8v")</f>
        <v/>
      </c>
      <c r="J63" s="37" t="s">
        <v>15</v>
      </c>
      <c r="K63" s="38" t="s">
        <v>7</v>
      </c>
      <c r="L63" s="37">
        <v>64.0</v>
      </c>
      <c r="M63" s="37">
        <v>3.0</v>
      </c>
    </row>
    <row r="64">
      <c r="A64" s="34">
        <v>63.0</v>
      </c>
      <c r="B64" s="34" t="s">
        <v>154</v>
      </c>
      <c r="C64" s="34" t="s">
        <v>520</v>
      </c>
      <c r="D64" s="34" t="s">
        <v>521</v>
      </c>
      <c r="E64" s="35">
        <v>0.364</v>
      </c>
      <c r="F64" s="35">
        <v>0.729</v>
      </c>
      <c r="G64" s="35">
        <v>0.583</v>
      </c>
      <c r="H64" s="35">
        <v>0.75</v>
      </c>
      <c r="I64" s="36" t="str">
        <f>IMAGE("https://drive.google.com/uc?export=view&amp;id=1nkA5yveaG1PvyDq7kfmusYdaKKQkaYc6")</f>
        <v/>
      </c>
      <c r="J64" s="37" t="s">
        <v>15</v>
      </c>
      <c r="K64" s="38" t="s">
        <v>7</v>
      </c>
      <c r="L64" s="37">
        <v>64.0</v>
      </c>
      <c r="M64" s="37">
        <v>3.0</v>
      </c>
    </row>
    <row r="65">
      <c r="A65" s="34">
        <v>64.0</v>
      </c>
      <c r="B65" s="34" t="s">
        <v>166</v>
      </c>
      <c r="C65" s="34" t="s">
        <v>528</v>
      </c>
      <c r="D65" s="34" t="s">
        <v>529</v>
      </c>
      <c r="E65" s="35">
        <v>0.273</v>
      </c>
      <c r="F65" s="35">
        <v>0.935</v>
      </c>
      <c r="G65" s="35">
        <v>0.5</v>
      </c>
      <c r="H65" s="35">
        <v>0.4</v>
      </c>
      <c r="I65" s="36" t="str">
        <f>IMAGE("https://drive.google.com/uc?export=view&amp;id=1lxQfehr7dtP_0GiFboWcfDi_Ca-tEYRy")</f>
        <v/>
      </c>
      <c r="J65" s="37" t="s">
        <v>16</v>
      </c>
      <c r="K65" s="38" t="s">
        <v>7</v>
      </c>
      <c r="L65" s="37">
        <v>64.0</v>
      </c>
      <c r="M65" s="37">
        <v>3.0</v>
      </c>
    </row>
    <row r="66">
      <c r="A66" s="34">
        <v>65.0</v>
      </c>
      <c r="B66" s="34" t="s">
        <v>175</v>
      </c>
      <c r="C66" s="34" t="s">
        <v>534</v>
      </c>
      <c r="D66" s="34" t="s">
        <v>535</v>
      </c>
      <c r="E66" s="35">
        <v>0.091</v>
      </c>
      <c r="F66" s="35">
        <v>0.865</v>
      </c>
      <c r="G66" s="35">
        <v>0.5</v>
      </c>
      <c r="H66" s="35">
        <v>0.286</v>
      </c>
      <c r="I66" s="36" t="str">
        <f>IMAGE("https://drive.google.com/uc?export=view&amp;id=1hYSM3b8MRF9Dnzs_fJGsqipLsD4g2XlN")</f>
        <v/>
      </c>
      <c r="J66" s="37" t="s">
        <v>16</v>
      </c>
      <c r="K66" s="38" t="s">
        <v>7</v>
      </c>
      <c r="L66" s="37">
        <v>64.0</v>
      </c>
      <c r="M66" s="37">
        <v>3.0</v>
      </c>
    </row>
    <row r="67">
      <c r="A67" s="34">
        <v>66.0</v>
      </c>
      <c r="B67" s="34" t="s">
        <v>187</v>
      </c>
      <c r="C67" s="34" t="s">
        <v>542</v>
      </c>
      <c r="D67" s="34" t="s">
        <v>543</v>
      </c>
      <c r="E67" s="35">
        <v>0.364</v>
      </c>
      <c r="F67" s="35">
        <v>0.754</v>
      </c>
      <c r="G67" s="35">
        <v>1.0</v>
      </c>
      <c r="H67" s="35">
        <v>1.0</v>
      </c>
      <c r="I67" s="36" t="str">
        <f>IMAGE("https://drive.google.com/uc?export=view&amp;id=1V9VTa9sEqALJ-EBUoAPlTIwxfwrzW6RR")</f>
        <v/>
      </c>
      <c r="J67" s="37" t="s">
        <v>16</v>
      </c>
      <c r="K67" s="38" t="s">
        <v>7</v>
      </c>
      <c r="L67" s="37">
        <v>64.0</v>
      </c>
      <c r="M67" s="37">
        <v>3.0</v>
      </c>
    </row>
    <row r="68">
      <c r="A68" s="34">
        <v>67.0</v>
      </c>
      <c r="B68" s="34" t="s">
        <v>193</v>
      </c>
      <c r="C68" s="34" t="s">
        <v>546</v>
      </c>
      <c r="D68" s="34" t="s">
        <v>547</v>
      </c>
      <c r="E68" s="35">
        <v>0.0</v>
      </c>
      <c r="F68" s="35">
        <v>0.772</v>
      </c>
      <c r="G68" s="35">
        <v>0.833</v>
      </c>
      <c r="H68" s="35">
        <v>0.222</v>
      </c>
      <c r="I68" s="36" t="str">
        <f>IMAGE("https://drive.google.com/uc?export=view&amp;id=15mlZR0mCwFPIf99PmKL318W_NMKDLkE9")</f>
        <v/>
      </c>
      <c r="J68" s="37" t="s">
        <v>16</v>
      </c>
      <c r="K68" s="38" t="s">
        <v>7</v>
      </c>
      <c r="L68" s="37">
        <v>64.0</v>
      </c>
      <c r="M68" s="37">
        <v>3.0</v>
      </c>
    </row>
    <row r="69">
      <c r="A69" s="34">
        <v>68.0</v>
      </c>
      <c r="B69" s="34" t="s">
        <v>214</v>
      </c>
      <c r="C69" s="34" t="s">
        <v>560</v>
      </c>
      <c r="D69" s="34" t="s">
        <v>561</v>
      </c>
      <c r="E69" s="35">
        <v>0.462</v>
      </c>
      <c r="F69" s="35">
        <v>0.759</v>
      </c>
      <c r="G69" s="35">
        <v>0.333</v>
      </c>
      <c r="H69" s="35">
        <v>1.0</v>
      </c>
      <c r="I69" s="36" t="str">
        <f>IMAGE("https://drive.google.com/uc?export=view&amp;id=12PFJ_ebparn_hgo3sz8LdsYergIXi_dm")</f>
        <v/>
      </c>
      <c r="J69" s="37" t="s">
        <v>16</v>
      </c>
      <c r="K69" s="38" t="s">
        <v>7</v>
      </c>
      <c r="L69" s="37">
        <v>64.0</v>
      </c>
      <c r="M69" s="37">
        <v>3.0</v>
      </c>
    </row>
    <row r="70">
      <c r="A70" s="34">
        <v>69.0</v>
      </c>
      <c r="B70" s="34" t="s">
        <v>232</v>
      </c>
      <c r="C70" s="34" t="s">
        <v>572</v>
      </c>
      <c r="D70" s="34" t="s">
        <v>573</v>
      </c>
      <c r="E70" s="35">
        <v>0.222</v>
      </c>
      <c r="F70" s="35">
        <v>0.827</v>
      </c>
      <c r="G70" s="35">
        <v>1.0</v>
      </c>
      <c r="H70" s="35">
        <v>0.2</v>
      </c>
      <c r="I70" s="36" t="str">
        <f>IMAGE("https://drive.google.com/uc?export=view&amp;id=1dfW-NlkGF7sj8Zb5XPIaMIesb9KQWPX3")</f>
        <v/>
      </c>
      <c r="J70" s="37" t="s">
        <v>17</v>
      </c>
      <c r="K70" s="38" t="s">
        <v>7</v>
      </c>
      <c r="L70" s="37">
        <v>64.0</v>
      </c>
      <c r="M70" s="37">
        <v>3.0</v>
      </c>
    </row>
    <row r="71">
      <c r="A71" s="34">
        <v>70.0</v>
      </c>
      <c r="B71" s="34" t="s">
        <v>247</v>
      </c>
      <c r="C71" s="34" t="s">
        <v>582</v>
      </c>
      <c r="D71" s="34" t="s">
        <v>583</v>
      </c>
      <c r="E71" s="35">
        <v>0.25</v>
      </c>
      <c r="F71" s="35">
        <v>1.0</v>
      </c>
      <c r="G71" s="35">
        <v>0.0</v>
      </c>
      <c r="H71" s="35">
        <v>0.0</v>
      </c>
      <c r="I71" s="36" t="str">
        <f>IMAGE("https://drive.google.com/uc?export=view&amp;id=1RJiGoatbKrugZ9w1kMT7eY8zLX0geSQm")</f>
        <v/>
      </c>
      <c r="J71" s="37" t="s">
        <v>17</v>
      </c>
      <c r="K71" s="38" t="s">
        <v>7</v>
      </c>
      <c r="L71" s="37">
        <v>64.0</v>
      </c>
      <c r="M71" s="37">
        <v>3.0</v>
      </c>
    </row>
    <row r="72">
      <c r="A72" s="34">
        <v>71.0</v>
      </c>
      <c r="B72" s="34" t="s">
        <v>250</v>
      </c>
      <c r="C72" s="34" t="s">
        <v>584</v>
      </c>
      <c r="D72" s="34" t="s">
        <v>585</v>
      </c>
      <c r="E72" s="35">
        <v>0.143</v>
      </c>
      <c r="F72" s="35">
        <v>0.0</v>
      </c>
      <c r="G72" s="35">
        <v>0.0</v>
      </c>
      <c r="H72" s="35">
        <v>0.667</v>
      </c>
      <c r="I72" s="36" t="str">
        <f>IMAGE("https://drive.google.com/uc?export=view&amp;id=1XAliQp-oVkfkgRzaWkgya-ZePJJ-czn2")</f>
        <v/>
      </c>
      <c r="J72" s="37" t="s">
        <v>17</v>
      </c>
      <c r="K72" s="38" t="s">
        <v>7</v>
      </c>
      <c r="L72" s="37">
        <v>64.0</v>
      </c>
      <c r="M72" s="37">
        <v>3.0</v>
      </c>
    </row>
    <row r="73">
      <c r="A73" s="34">
        <v>72.0</v>
      </c>
      <c r="B73" s="34" t="s">
        <v>253</v>
      </c>
      <c r="C73" s="34" t="s">
        <v>586</v>
      </c>
      <c r="D73" s="34" t="s">
        <v>587</v>
      </c>
      <c r="E73" s="35">
        <v>0.0</v>
      </c>
      <c r="F73" s="35">
        <v>0.0</v>
      </c>
      <c r="G73" s="35">
        <v>0.0</v>
      </c>
      <c r="H73" s="35">
        <v>1.0</v>
      </c>
      <c r="I73" s="36" t="str">
        <f>IMAGE("https://drive.google.com/uc?export=view&amp;id=17B8KJPhCMnwqfoVDNO6tubq_tQ0j60XX")</f>
        <v/>
      </c>
      <c r="J73" s="37" t="s">
        <v>17</v>
      </c>
      <c r="K73" s="38" t="s">
        <v>7</v>
      </c>
      <c r="L73" s="37">
        <v>64.0</v>
      </c>
      <c r="M73" s="37">
        <v>3.0</v>
      </c>
    </row>
    <row r="74">
      <c r="A74" s="34">
        <v>73.0</v>
      </c>
      <c r="B74" s="34" t="s">
        <v>262</v>
      </c>
      <c r="C74" s="34" t="s">
        <v>592</v>
      </c>
      <c r="D74" s="34" t="s">
        <v>593</v>
      </c>
      <c r="E74" s="35">
        <v>0.5</v>
      </c>
      <c r="F74" s="35">
        <v>1.0</v>
      </c>
      <c r="G74" s="35">
        <v>1.0</v>
      </c>
      <c r="H74" s="35">
        <v>1.0</v>
      </c>
      <c r="I74" s="36" t="str">
        <f>IMAGE("https://drive.google.com/uc?export=view&amp;id=1tKhCXzkKb4_PQrVp_GJ83sZNvKCEZZRy")</f>
        <v/>
      </c>
      <c r="J74" s="37" t="s">
        <v>17</v>
      </c>
      <c r="K74" s="38" t="s">
        <v>7</v>
      </c>
      <c r="L74" s="37">
        <v>64.0</v>
      </c>
      <c r="M74" s="37">
        <v>3.0</v>
      </c>
    </row>
    <row r="75">
      <c r="A75" s="34">
        <v>74.0</v>
      </c>
      <c r="B75" s="34" t="s">
        <v>274</v>
      </c>
      <c r="C75" s="34" t="s">
        <v>600</v>
      </c>
      <c r="D75" s="34" t="s">
        <v>601</v>
      </c>
      <c r="E75" s="35">
        <v>0.0</v>
      </c>
      <c r="F75" s="35">
        <v>0.809</v>
      </c>
      <c r="G75" s="35">
        <v>1.0</v>
      </c>
      <c r="H75" s="35">
        <v>1.0</v>
      </c>
      <c r="I75" s="36" t="str">
        <f>IMAGE("https://drive.google.com/uc?export=view&amp;id=17UXCjnlIYMNFi6nFpMZZSx89rZXq3Mbj")</f>
        <v/>
      </c>
      <c r="J75" s="37" t="s">
        <v>17</v>
      </c>
      <c r="K75" s="38" t="s">
        <v>7</v>
      </c>
      <c r="L75" s="37">
        <v>64.0</v>
      </c>
      <c r="M75" s="37">
        <v>3.0</v>
      </c>
    </row>
    <row r="76">
      <c r="A76" s="34">
        <v>75.0</v>
      </c>
      <c r="B76" s="34" t="s">
        <v>52</v>
      </c>
      <c r="C76" s="34" t="s">
        <v>612</v>
      </c>
      <c r="D76" s="34" t="s">
        <v>613</v>
      </c>
      <c r="E76" s="35">
        <v>0.318</v>
      </c>
      <c r="F76" s="35">
        <v>0.931</v>
      </c>
      <c r="G76" s="35">
        <v>1.0</v>
      </c>
      <c r="H76" s="35">
        <v>1.0</v>
      </c>
      <c r="I76" s="36" t="str">
        <f>IMAGE("https://drive.google.com/uc?export=view&amp;id=16mUTW4hYNZ3DRBCjadflW8DYNi20LXqr")</f>
        <v/>
      </c>
      <c r="J76" s="37" t="s">
        <v>14</v>
      </c>
      <c r="K76" s="38" t="s">
        <v>7</v>
      </c>
      <c r="L76" s="37">
        <v>64.0</v>
      </c>
      <c r="M76" s="37">
        <v>5.0</v>
      </c>
    </row>
    <row r="77">
      <c r="A77" s="34">
        <v>76.0</v>
      </c>
      <c r="B77" s="34" t="s">
        <v>55</v>
      </c>
      <c r="C77" s="34" t="s">
        <v>614</v>
      </c>
      <c r="D77" s="34" t="s">
        <v>615</v>
      </c>
      <c r="E77" s="35">
        <v>0.1</v>
      </c>
      <c r="F77" s="35">
        <v>1.0</v>
      </c>
      <c r="G77" s="35">
        <v>1.0</v>
      </c>
      <c r="H77" s="35">
        <v>1.0</v>
      </c>
      <c r="I77" s="36" t="str">
        <f>IMAGE("https://drive.google.com/uc?export=view&amp;id=1fW35YppGoH82mZ06F7_tmUfGl_NKphdh")</f>
        <v/>
      </c>
      <c r="J77" s="37" t="s">
        <v>14</v>
      </c>
      <c r="K77" s="38" t="s">
        <v>7</v>
      </c>
      <c r="L77" s="37">
        <v>64.0</v>
      </c>
      <c r="M77" s="37">
        <v>5.0</v>
      </c>
    </row>
    <row r="78">
      <c r="A78" s="34">
        <v>77.0</v>
      </c>
      <c r="B78" s="34" t="s">
        <v>58</v>
      </c>
      <c r="C78" s="34" t="s">
        <v>616</v>
      </c>
      <c r="D78" s="34" t="s">
        <v>617</v>
      </c>
      <c r="E78" s="35">
        <v>0.438</v>
      </c>
      <c r="F78" s="35">
        <v>0.868</v>
      </c>
      <c r="G78" s="35">
        <v>0.806</v>
      </c>
      <c r="H78" s="35">
        <v>1.0</v>
      </c>
      <c r="I78" s="36" t="str">
        <f>IMAGE("https://drive.google.com/uc?export=view&amp;id=1xyx6n71DQ7QxDE_IJwvI045TQjWiU89y")</f>
        <v/>
      </c>
      <c r="J78" s="37" t="s">
        <v>14</v>
      </c>
      <c r="K78" s="38" t="s">
        <v>7</v>
      </c>
      <c r="L78" s="37">
        <v>64.0</v>
      </c>
      <c r="M78" s="37">
        <v>5.0</v>
      </c>
    </row>
    <row r="79">
      <c r="A79" s="34">
        <v>78.0</v>
      </c>
      <c r="B79" s="34" t="s">
        <v>64</v>
      </c>
      <c r="C79" s="34" t="s">
        <v>620</v>
      </c>
      <c r="D79" s="34" t="s">
        <v>621</v>
      </c>
      <c r="E79" s="35">
        <v>0.4</v>
      </c>
      <c r="F79" s="35">
        <v>0.901</v>
      </c>
      <c r="G79" s="35">
        <v>1.0</v>
      </c>
      <c r="H79" s="35">
        <v>0.833</v>
      </c>
      <c r="I79" s="36" t="str">
        <f>IMAGE("https://drive.google.com/uc?export=view&amp;id=12f5T4W6AIb4tqpFI6luNIqoTACzwACaz")</f>
        <v/>
      </c>
      <c r="J79" s="37" t="s">
        <v>14</v>
      </c>
      <c r="K79" s="38" t="s">
        <v>7</v>
      </c>
      <c r="L79" s="37">
        <v>64.0</v>
      </c>
      <c r="M79" s="37">
        <v>5.0</v>
      </c>
    </row>
    <row r="80">
      <c r="A80" s="34">
        <v>79.0</v>
      </c>
      <c r="B80" s="34" t="s">
        <v>70</v>
      </c>
      <c r="C80" s="34" t="s">
        <v>624</v>
      </c>
      <c r="D80" s="34" t="s">
        <v>625</v>
      </c>
      <c r="E80" s="35">
        <v>0.5</v>
      </c>
      <c r="F80" s="35">
        <v>0.686</v>
      </c>
      <c r="G80" s="35">
        <v>0.417</v>
      </c>
      <c r="H80" s="35">
        <v>1.0</v>
      </c>
      <c r="I80" s="36" t="str">
        <f>IMAGE("https://drive.google.com/uc?export=view&amp;id=1bisemCUfu0neTF9Or7iad1pnyZ3Uh6nj")</f>
        <v/>
      </c>
      <c r="J80" s="37" t="s">
        <v>14</v>
      </c>
      <c r="K80" s="38" t="s">
        <v>7</v>
      </c>
      <c r="L80" s="37">
        <v>64.0</v>
      </c>
      <c r="M80" s="37">
        <v>5.0</v>
      </c>
    </row>
    <row r="81">
      <c r="A81" s="34">
        <v>80.0</v>
      </c>
      <c r="B81" s="34" t="s">
        <v>76</v>
      </c>
      <c r="C81" s="34" t="s">
        <v>628</v>
      </c>
      <c r="D81" s="34" t="s">
        <v>629</v>
      </c>
      <c r="E81" s="35">
        <v>0.267</v>
      </c>
      <c r="F81" s="35">
        <v>0.664</v>
      </c>
      <c r="G81" s="35">
        <v>1.0</v>
      </c>
      <c r="H81" s="35">
        <v>1.0</v>
      </c>
      <c r="I81" s="36" t="str">
        <f>IMAGE("https://drive.google.com/uc?export=view&amp;id=1dhhHei6wy8DIKgr9JpSnPVTPmeuOQPvX")</f>
        <v/>
      </c>
      <c r="J81" s="37" t="s">
        <v>14</v>
      </c>
      <c r="K81" s="38" t="s">
        <v>7</v>
      </c>
      <c r="L81" s="37">
        <v>64.0</v>
      </c>
      <c r="M81" s="37">
        <v>5.0</v>
      </c>
    </row>
    <row r="82">
      <c r="A82" s="34">
        <v>81.0</v>
      </c>
      <c r="B82" s="34" t="s">
        <v>82</v>
      </c>
      <c r="C82" s="34" t="s">
        <v>632</v>
      </c>
      <c r="D82" s="34" t="s">
        <v>633</v>
      </c>
      <c r="E82" s="35">
        <v>0.4</v>
      </c>
      <c r="F82" s="35">
        <v>0.634</v>
      </c>
      <c r="G82" s="35">
        <v>0.887</v>
      </c>
      <c r="H82" s="35">
        <v>0.167</v>
      </c>
      <c r="I82" s="36" t="str">
        <f>IMAGE("https://drive.google.com/uc?export=view&amp;id=17erggUWHDty3xWg0WkJZTKRIWQrWsW_T")</f>
        <v/>
      </c>
      <c r="J82" s="37" t="s">
        <v>14</v>
      </c>
      <c r="K82" s="38" t="s">
        <v>7</v>
      </c>
      <c r="L82" s="37">
        <v>64.0</v>
      </c>
      <c r="M82" s="37">
        <v>5.0</v>
      </c>
    </row>
    <row r="83">
      <c r="A83" s="34">
        <v>82.0</v>
      </c>
      <c r="B83" s="34" t="s">
        <v>88</v>
      </c>
      <c r="C83" s="34" t="s">
        <v>636</v>
      </c>
      <c r="D83" s="34" t="s">
        <v>637</v>
      </c>
      <c r="E83" s="35">
        <v>0.429</v>
      </c>
      <c r="F83" s="35">
        <v>0.0</v>
      </c>
      <c r="G83" s="35">
        <v>0.0</v>
      </c>
      <c r="H83" s="35">
        <v>0.333</v>
      </c>
      <c r="I83" s="36" t="str">
        <f>IMAGE("https://drive.google.com/uc?export=view&amp;id=1rduqT1IvqLKh0BOLyi9KlAFUk4E1m47N")</f>
        <v/>
      </c>
      <c r="J83" s="37" t="s">
        <v>14</v>
      </c>
      <c r="K83" s="38" t="s">
        <v>7</v>
      </c>
      <c r="L83" s="37">
        <v>64.0</v>
      </c>
      <c r="M83" s="37">
        <v>5.0</v>
      </c>
    </row>
    <row r="84">
      <c r="A84" s="34">
        <v>83.0</v>
      </c>
      <c r="B84" s="34" t="s">
        <v>94</v>
      </c>
      <c r="C84" s="34" t="s">
        <v>640</v>
      </c>
      <c r="D84" s="34" t="s">
        <v>641</v>
      </c>
      <c r="E84" s="35">
        <v>0.2</v>
      </c>
      <c r="F84" s="35">
        <v>0.66</v>
      </c>
      <c r="G84" s="35">
        <v>0.2</v>
      </c>
      <c r="H84" s="35">
        <v>1.0</v>
      </c>
      <c r="I84" s="36" t="str">
        <f>IMAGE("https://drive.google.com/uc?export=view&amp;id=1SY7-PjupdGWhKHFA9zSe4A4tk1jvwm1k")</f>
        <v/>
      </c>
      <c r="J84" s="37" t="s">
        <v>14</v>
      </c>
      <c r="K84" s="38" t="s">
        <v>7</v>
      </c>
      <c r="L84" s="37">
        <v>64.0</v>
      </c>
      <c r="M84" s="37">
        <v>5.0</v>
      </c>
    </row>
    <row r="85">
      <c r="A85" s="34">
        <v>84.0</v>
      </c>
      <c r="B85" s="34" t="s">
        <v>115</v>
      </c>
      <c r="C85" s="34" t="s">
        <v>646</v>
      </c>
      <c r="D85" s="34" t="s">
        <v>647</v>
      </c>
      <c r="E85" s="35">
        <v>0.5</v>
      </c>
      <c r="F85" s="35">
        <v>0.945</v>
      </c>
      <c r="G85" s="35">
        <v>0.679</v>
      </c>
      <c r="H85" s="35">
        <v>1.0</v>
      </c>
      <c r="I85" s="36" t="str">
        <f>IMAGE("https://drive.google.com/uc?export=view&amp;id=1-6PFl_PGwmIQpNhuoJaQ71sLDXzOD5J8")</f>
        <v/>
      </c>
      <c r="J85" s="37" t="s">
        <v>14</v>
      </c>
      <c r="K85" s="38" t="s">
        <v>7</v>
      </c>
      <c r="L85" s="37">
        <v>64.0</v>
      </c>
      <c r="M85" s="37">
        <v>5.0</v>
      </c>
    </row>
    <row r="86">
      <c r="A86" s="34">
        <v>85.0</v>
      </c>
      <c r="B86" s="34" t="s">
        <v>103</v>
      </c>
      <c r="C86" s="34" t="s">
        <v>648</v>
      </c>
      <c r="D86" s="34" t="s">
        <v>649</v>
      </c>
      <c r="E86" s="35">
        <v>0.333</v>
      </c>
      <c r="F86" s="35">
        <v>0.987</v>
      </c>
      <c r="G86" s="35">
        <v>1.0</v>
      </c>
      <c r="H86" s="35">
        <v>1.0</v>
      </c>
      <c r="I86" s="36" t="str">
        <f>IMAGE("https://drive.google.com/uc?export=view&amp;id=1cT7FKEjHnSeMfD9dtU0PZOJImuzxL_yU")</f>
        <v/>
      </c>
      <c r="J86" s="37" t="s">
        <v>15</v>
      </c>
      <c r="K86" s="38" t="s">
        <v>7</v>
      </c>
      <c r="L86" s="37">
        <v>64.0</v>
      </c>
      <c r="M86" s="37">
        <v>5.0</v>
      </c>
    </row>
    <row r="87">
      <c r="A87" s="34">
        <v>86.0</v>
      </c>
      <c r="B87" s="34" t="s">
        <v>109</v>
      </c>
      <c r="C87" s="34" t="s">
        <v>652</v>
      </c>
      <c r="D87" s="34" t="s">
        <v>653</v>
      </c>
      <c r="E87" s="35">
        <v>0.071</v>
      </c>
      <c r="F87" s="35">
        <v>0.555</v>
      </c>
      <c r="G87" s="35">
        <v>0.887</v>
      </c>
      <c r="H87" s="35">
        <v>1.0</v>
      </c>
      <c r="I87" s="36" t="str">
        <f>IMAGE("https://drive.google.com/uc?export=view&amp;id=1kzrb188xndDnGJuqywdV3aOwohJul-fd")</f>
        <v/>
      </c>
      <c r="J87" s="37" t="s">
        <v>15</v>
      </c>
      <c r="K87" s="38" t="s">
        <v>7</v>
      </c>
      <c r="L87" s="37">
        <v>64.0</v>
      </c>
      <c r="M87" s="37">
        <v>5.0</v>
      </c>
    </row>
    <row r="88">
      <c r="A88" s="34">
        <v>87.0</v>
      </c>
      <c r="B88" s="34" t="s">
        <v>139</v>
      </c>
      <c r="C88" s="34" t="s">
        <v>668</v>
      </c>
      <c r="D88" s="34" t="s">
        <v>669</v>
      </c>
      <c r="E88" s="35">
        <v>0.455</v>
      </c>
      <c r="F88" s="35">
        <v>0.0</v>
      </c>
      <c r="G88" s="35">
        <v>0.478</v>
      </c>
      <c r="H88" s="35">
        <v>1.0</v>
      </c>
      <c r="I88" s="36" t="str">
        <f>IMAGE("https://drive.google.com/uc?export=view&amp;id=1RVnwKBdb1y--KXcwSk-Ry3i71YXgkyEa")</f>
        <v/>
      </c>
      <c r="J88" s="37" t="s">
        <v>15</v>
      </c>
      <c r="K88" s="38" t="s">
        <v>7</v>
      </c>
      <c r="L88" s="37">
        <v>64.0</v>
      </c>
      <c r="M88" s="37">
        <v>5.0</v>
      </c>
    </row>
    <row r="89">
      <c r="A89" s="34">
        <v>88.0</v>
      </c>
      <c r="B89" s="34" t="s">
        <v>142</v>
      </c>
      <c r="C89" s="34" t="s">
        <v>670</v>
      </c>
      <c r="D89" s="34" t="s">
        <v>671</v>
      </c>
      <c r="E89" s="35">
        <v>0.0</v>
      </c>
      <c r="F89" s="35">
        <v>0.0</v>
      </c>
      <c r="G89" s="35">
        <v>0.0</v>
      </c>
      <c r="H89" s="35">
        <v>0.125</v>
      </c>
      <c r="I89" s="36" t="str">
        <f>IMAGE("https://drive.google.com/uc?export=view&amp;id=1aUNor0i-UD4A73JgrENyWnAF7edelA1_")</f>
        <v/>
      </c>
      <c r="J89" s="37" t="s">
        <v>15</v>
      </c>
      <c r="K89" s="38" t="s">
        <v>7</v>
      </c>
      <c r="L89" s="37">
        <v>64.0</v>
      </c>
      <c r="M89" s="37">
        <v>5.0</v>
      </c>
    </row>
    <row r="90">
      <c r="A90" s="34">
        <v>89.0</v>
      </c>
      <c r="B90" s="34" t="s">
        <v>148</v>
      </c>
      <c r="C90" s="34" t="s">
        <v>674</v>
      </c>
      <c r="D90" s="34" t="s">
        <v>675</v>
      </c>
      <c r="E90" s="35">
        <v>0.4</v>
      </c>
      <c r="F90" s="35">
        <v>0.774</v>
      </c>
      <c r="G90" s="35">
        <v>1.0</v>
      </c>
      <c r="H90" s="35">
        <v>1.0</v>
      </c>
      <c r="I90" s="36" t="str">
        <f>IMAGE("https://drive.google.com/uc?export=view&amp;id=1zzuwG2MFJMw7qGRk5T6rpMrXv033qASZ")</f>
        <v/>
      </c>
      <c r="J90" s="37" t="s">
        <v>15</v>
      </c>
      <c r="K90" s="38" t="s">
        <v>7</v>
      </c>
      <c r="L90" s="37">
        <v>64.0</v>
      </c>
      <c r="M90" s="37">
        <v>5.0</v>
      </c>
    </row>
    <row r="91">
      <c r="A91" s="34">
        <v>90.0</v>
      </c>
      <c r="B91" s="34" t="s">
        <v>133</v>
      </c>
      <c r="C91" s="34" t="s">
        <v>686</v>
      </c>
      <c r="D91" s="34" t="s">
        <v>687</v>
      </c>
      <c r="E91" s="35">
        <v>0.5</v>
      </c>
      <c r="F91" s="35">
        <v>0.905</v>
      </c>
      <c r="G91" s="35">
        <v>0.804</v>
      </c>
      <c r="H91" s="35">
        <v>0.667</v>
      </c>
      <c r="I91" s="36" t="str">
        <f>IMAGE("https://drive.google.com/uc?export=view&amp;id=1ZOR7Yc79nBz5VWbZeH6eyq8D7FdYPj6E")</f>
        <v/>
      </c>
      <c r="J91" s="37" t="s">
        <v>15</v>
      </c>
      <c r="K91" s="38" t="s">
        <v>7</v>
      </c>
      <c r="L91" s="37">
        <v>64.0</v>
      </c>
      <c r="M91" s="37">
        <v>5.0</v>
      </c>
    </row>
    <row r="92">
      <c r="A92" s="34">
        <v>91.0</v>
      </c>
      <c r="B92" s="34" t="s">
        <v>166</v>
      </c>
      <c r="C92" s="34" t="s">
        <v>688</v>
      </c>
      <c r="D92" s="34" t="s">
        <v>689</v>
      </c>
      <c r="E92" s="35">
        <v>0.182</v>
      </c>
      <c r="F92" s="35">
        <v>0.935</v>
      </c>
      <c r="G92" s="35">
        <v>0.589</v>
      </c>
      <c r="H92" s="35">
        <v>0.0</v>
      </c>
      <c r="I92" s="36" t="str">
        <f>IMAGE("https://drive.google.com/uc?export=view&amp;id=1V_SgryW215xYeBzajT_nPyWFNPb79-zs")</f>
        <v/>
      </c>
      <c r="J92" s="37" t="s">
        <v>16</v>
      </c>
      <c r="K92" s="38" t="s">
        <v>7</v>
      </c>
      <c r="L92" s="37">
        <v>64.0</v>
      </c>
      <c r="M92" s="37">
        <v>5.0</v>
      </c>
    </row>
    <row r="93">
      <c r="A93" s="34">
        <v>92.0</v>
      </c>
      <c r="B93" s="34" t="s">
        <v>169</v>
      </c>
      <c r="C93" s="34" t="s">
        <v>690</v>
      </c>
      <c r="D93" s="34" t="s">
        <v>691</v>
      </c>
      <c r="E93" s="35">
        <v>0.5</v>
      </c>
      <c r="F93" s="35">
        <v>0.693</v>
      </c>
      <c r="G93" s="35">
        <v>0.45</v>
      </c>
      <c r="H93" s="35">
        <v>0.6</v>
      </c>
      <c r="I93" s="36" t="str">
        <f>IMAGE("https://drive.google.com/uc?export=view&amp;id=1RnI3JcHpX9RvJLeoNcMl85IMd1qonTuT")</f>
        <v/>
      </c>
      <c r="J93" s="37" t="s">
        <v>16</v>
      </c>
      <c r="K93" s="38" t="s">
        <v>7</v>
      </c>
      <c r="L93" s="37">
        <v>64.0</v>
      </c>
      <c r="M93" s="37">
        <v>5.0</v>
      </c>
    </row>
    <row r="94">
      <c r="A94" s="34">
        <v>93.0</v>
      </c>
      <c r="B94" s="34" t="s">
        <v>175</v>
      </c>
      <c r="C94" s="34" t="s">
        <v>694</v>
      </c>
      <c r="D94" s="34" t="s">
        <v>695</v>
      </c>
      <c r="E94" s="35">
        <v>0.0</v>
      </c>
      <c r="F94" s="35">
        <v>0.0</v>
      </c>
      <c r="G94" s="35">
        <v>0.0</v>
      </c>
      <c r="H94" s="35">
        <v>0.0</v>
      </c>
      <c r="I94" s="36" t="str">
        <f>IMAGE("https://drive.google.com/uc?export=view&amp;id=1cJFw4066mWpcM7J3BgMsoDH9-eFJgkyu")</f>
        <v/>
      </c>
      <c r="J94" s="37" t="s">
        <v>16</v>
      </c>
      <c r="K94" s="38" t="s">
        <v>7</v>
      </c>
      <c r="L94" s="37">
        <v>64.0</v>
      </c>
      <c r="M94" s="37">
        <v>5.0</v>
      </c>
    </row>
    <row r="95">
      <c r="A95" s="34">
        <v>94.0</v>
      </c>
      <c r="B95" s="34" t="s">
        <v>190</v>
      </c>
      <c r="C95" s="34" t="s">
        <v>704</v>
      </c>
      <c r="D95" s="34" t="s">
        <v>705</v>
      </c>
      <c r="E95" s="35">
        <v>0.071</v>
      </c>
      <c r="F95" s="35">
        <v>0.658</v>
      </c>
      <c r="G95" s="35">
        <v>1.0</v>
      </c>
      <c r="H95" s="35">
        <v>1.0</v>
      </c>
      <c r="I95" s="36" t="str">
        <f>IMAGE("https://drive.google.com/uc?export=view&amp;id=10pTKOQcQJgMyd7Bbepj5cllulqIwX_rI")</f>
        <v/>
      </c>
      <c r="J95" s="37" t="s">
        <v>16</v>
      </c>
      <c r="K95" s="38" t="s">
        <v>7</v>
      </c>
      <c r="L95" s="37">
        <v>64.0</v>
      </c>
      <c r="M95" s="37">
        <v>5.0</v>
      </c>
    </row>
    <row r="96">
      <c r="A96" s="34">
        <v>95.0</v>
      </c>
      <c r="B96" s="34" t="s">
        <v>205</v>
      </c>
      <c r="C96" s="34" t="s">
        <v>710</v>
      </c>
      <c r="D96" s="34" t="s">
        <v>711</v>
      </c>
      <c r="E96" s="35">
        <v>0.0</v>
      </c>
      <c r="F96" s="35">
        <v>1.0</v>
      </c>
      <c r="G96" s="35">
        <v>0.887</v>
      </c>
      <c r="H96" s="35">
        <v>0.0</v>
      </c>
      <c r="I96" s="36" t="str">
        <f>IMAGE("https://drive.google.com/uc?export=view&amp;id=1ty77GnFSCGVK3s8hj3KWXmKboLZIdZWc")</f>
        <v/>
      </c>
      <c r="J96" s="37" t="s">
        <v>16</v>
      </c>
      <c r="K96" s="38" t="s">
        <v>7</v>
      </c>
      <c r="L96" s="37">
        <v>64.0</v>
      </c>
      <c r="M96" s="37">
        <v>5.0</v>
      </c>
    </row>
    <row r="97">
      <c r="A97" s="34">
        <v>96.0</v>
      </c>
      <c r="B97" s="34" t="s">
        <v>211</v>
      </c>
      <c r="C97" s="34" t="s">
        <v>718</v>
      </c>
      <c r="D97" s="34" t="s">
        <v>719</v>
      </c>
      <c r="E97" s="35">
        <v>0.444</v>
      </c>
      <c r="F97" s="35">
        <v>0.926</v>
      </c>
      <c r="G97" s="35">
        <v>1.0</v>
      </c>
      <c r="H97" s="35">
        <v>0.0</v>
      </c>
      <c r="I97" s="36" t="str">
        <f>IMAGE("https://drive.google.com/uc?export=view&amp;id=1KrCiizEaSOYTCMSKipnyFfITVd4OuOj3")</f>
        <v/>
      </c>
      <c r="J97" s="37" t="s">
        <v>16</v>
      </c>
      <c r="K97" s="38" t="s">
        <v>7</v>
      </c>
      <c r="L97" s="37">
        <v>64.0</v>
      </c>
      <c r="M97" s="37">
        <v>5.0</v>
      </c>
    </row>
    <row r="98">
      <c r="A98" s="34">
        <v>97.0</v>
      </c>
      <c r="B98" s="34" t="s">
        <v>220</v>
      </c>
      <c r="C98" s="34" t="s">
        <v>724</v>
      </c>
      <c r="D98" s="34" t="s">
        <v>725</v>
      </c>
      <c r="E98" s="35">
        <v>0.158</v>
      </c>
      <c r="F98" s="35">
        <v>0.45</v>
      </c>
      <c r="G98" s="35">
        <v>0.756</v>
      </c>
      <c r="H98" s="35">
        <v>1.0</v>
      </c>
      <c r="I98" s="36" t="str">
        <f>IMAGE("https://drive.google.com/uc?export=view&amp;id=1H7YZmQiDRhlOwBO5NeuVg8lzLIKWMcdI")</f>
        <v/>
      </c>
      <c r="J98" s="37" t="s">
        <v>16</v>
      </c>
      <c r="K98" s="38" t="s">
        <v>7</v>
      </c>
      <c r="L98" s="37">
        <v>64.0</v>
      </c>
      <c r="M98" s="37">
        <v>5.0</v>
      </c>
    </row>
    <row r="99">
      <c r="A99" s="34">
        <v>98.0</v>
      </c>
      <c r="B99" s="34" t="s">
        <v>238</v>
      </c>
      <c r="C99" s="34" t="s">
        <v>736</v>
      </c>
      <c r="D99" s="34" t="s">
        <v>737</v>
      </c>
      <c r="E99" s="35">
        <v>0.5</v>
      </c>
      <c r="F99" s="35">
        <v>0.786</v>
      </c>
      <c r="G99" s="35">
        <v>0.0</v>
      </c>
      <c r="H99" s="35">
        <v>0.667</v>
      </c>
      <c r="I99" s="36" t="str">
        <f>IMAGE("https://drive.google.com/uc?export=view&amp;id=1dOmf_0GltSv_6ZsNEj9Vj0nrR6xb2biV")</f>
        <v/>
      </c>
      <c r="J99" s="37" t="s">
        <v>17</v>
      </c>
      <c r="K99" s="38" t="s">
        <v>7</v>
      </c>
      <c r="L99" s="37">
        <v>64.0</v>
      </c>
      <c r="M99" s="37">
        <v>5.0</v>
      </c>
    </row>
    <row r="100">
      <c r="A100" s="34">
        <v>99.0</v>
      </c>
      <c r="B100" s="34" t="s">
        <v>241</v>
      </c>
      <c r="C100" s="34" t="s">
        <v>738</v>
      </c>
      <c r="D100" s="34" t="s">
        <v>739</v>
      </c>
      <c r="E100" s="35">
        <v>0.5</v>
      </c>
      <c r="F100" s="35">
        <v>0.627</v>
      </c>
      <c r="G100" s="35">
        <v>0.333</v>
      </c>
      <c r="H100" s="35">
        <v>1.0</v>
      </c>
      <c r="I100" s="36" t="str">
        <f>IMAGE("https://drive.google.com/uc?export=view&amp;id=1lkCbCG1lImW3AQ10DRXPDaERCc5lt-V-")</f>
        <v/>
      </c>
      <c r="J100" s="37" t="s">
        <v>17</v>
      </c>
      <c r="K100" s="38" t="s">
        <v>7</v>
      </c>
      <c r="L100" s="37">
        <v>64.0</v>
      </c>
      <c r="M100" s="37">
        <v>5.0</v>
      </c>
    </row>
    <row r="101">
      <c r="A101" s="34">
        <v>100.0</v>
      </c>
      <c r="B101" s="34" t="s">
        <v>247</v>
      </c>
      <c r="C101" s="34" t="s">
        <v>740</v>
      </c>
      <c r="D101" s="34" t="s">
        <v>741</v>
      </c>
      <c r="E101" s="35">
        <v>0.385</v>
      </c>
      <c r="F101" s="35">
        <v>0.467</v>
      </c>
      <c r="G101" s="35">
        <v>0.0</v>
      </c>
      <c r="H101" s="35">
        <v>0.0</v>
      </c>
      <c r="I101" s="36" t="str">
        <f>IMAGE("https://drive.google.com/uc?export=view&amp;id=1hPnO7xAyn2jYqgL_npTncy459S0ZphRD")</f>
        <v/>
      </c>
      <c r="J101" s="37" t="s">
        <v>17</v>
      </c>
      <c r="K101" s="38" t="s">
        <v>7</v>
      </c>
      <c r="L101" s="37">
        <v>64.0</v>
      </c>
      <c r="M101" s="37">
        <v>5.0</v>
      </c>
    </row>
    <row r="102">
      <c r="A102" s="34">
        <v>101.0</v>
      </c>
      <c r="B102" s="34" t="s">
        <v>268</v>
      </c>
      <c r="C102" s="34" t="s">
        <v>750</v>
      </c>
      <c r="D102" s="34" t="s">
        <v>751</v>
      </c>
      <c r="E102" s="35">
        <v>0.25</v>
      </c>
      <c r="F102" s="35">
        <v>0.705</v>
      </c>
      <c r="G102" s="35">
        <v>1.0</v>
      </c>
      <c r="H102" s="35">
        <v>1.0</v>
      </c>
      <c r="I102" s="36" t="str">
        <f>IMAGE("https://drive.google.com/uc?export=view&amp;id=1753cBeYUjFgSldsRy6Jmgp0h9vBG3mXY")</f>
        <v/>
      </c>
      <c r="J102" s="37" t="s">
        <v>17</v>
      </c>
      <c r="K102" s="38" t="s">
        <v>7</v>
      </c>
      <c r="L102" s="37">
        <v>64.0</v>
      </c>
      <c r="M102" s="37">
        <v>5.0</v>
      </c>
    </row>
    <row r="103">
      <c r="A103" s="34">
        <v>102.0</v>
      </c>
      <c r="B103" s="34" t="s">
        <v>262</v>
      </c>
      <c r="C103" s="34" t="s">
        <v>758</v>
      </c>
      <c r="D103" s="34" t="s">
        <v>759</v>
      </c>
      <c r="E103" s="35">
        <v>0.375</v>
      </c>
      <c r="F103" s="35">
        <v>0.902</v>
      </c>
      <c r="G103" s="35">
        <v>0.25</v>
      </c>
      <c r="H103" s="35">
        <v>1.0</v>
      </c>
      <c r="I103" s="36" t="str">
        <f>IMAGE("https://drive.google.com/uc?export=view&amp;id=1FokdUOm0nfNZhfhpTFv_X6KREtOsW6ik")</f>
        <v/>
      </c>
      <c r="J103" s="37" t="s">
        <v>17</v>
      </c>
      <c r="K103" s="38" t="s">
        <v>7</v>
      </c>
      <c r="L103" s="37">
        <v>64.0</v>
      </c>
      <c r="M103" s="37">
        <v>5.0</v>
      </c>
    </row>
    <row r="104">
      <c r="A104" s="34">
        <v>103.0</v>
      </c>
      <c r="B104" s="34" t="s">
        <v>52</v>
      </c>
      <c r="C104" s="34" t="s">
        <v>772</v>
      </c>
      <c r="D104" s="34" t="s">
        <v>773</v>
      </c>
      <c r="E104" s="35">
        <v>0.455</v>
      </c>
      <c r="F104" s="35">
        <v>0.968</v>
      </c>
      <c r="G104" s="35">
        <v>1.0</v>
      </c>
      <c r="H104" s="35">
        <v>0.625</v>
      </c>
      <c r="I104" s="36" t="str">
        <f>IMAGE("https://drive.google.com/uc?export=view&amp;id=1oDYE6wXxGTt2dnghDOltW3llJq9SuTyW")</f>
        <v/>
      </c>
      <c r="J104" s="37" t="s">
        <v>14</v>
      </c>
      <c r="K104" s="37" t="s">
        <v>8</v>
      </c>
      <c r="L104" s="37">
        <v>32.0</v>
      </c>
      <c r="M104" s="37">
        <v>3.0</v>
      </c>
    </row>
    <row r="105">
      <c r="A105" s="34">
        <v>104.0</v>
      </c>
      <c r="B105" s="34" t="s">
        <v>70</v>
      </c>
      <c r="C105" s="34" t="s">
        <v>782</v>
      </c>
      <c r="D105" s="34" t="s">
        <v>783</v>
      </c>
      <c r="E105" s="35">
        <v>0.154</v>
      </c>
      <c r="F105" s="35">
        <v>0.955</v>
      </c>
      <c r="G105" s="35">
        <v>1.0</v>
      </c>
      <c r="H105" s="35">
        <v>0.75</v>
      </c>
      <c r="I105" s="36" t="str">
        <f>IMAGE("https://drive.google.com/uc?export=view&amp;id=1KzczNjVWPbGehfkKHQakwU1F5nZXdd_Z")</f>
        <v/>
      </c>
      <c r="J105" s="37" t="s">
        <v>14</v>
      </c>
      <c r="K105" s="37" t="s">
        <v>8</v>
      </c>
      <c r="L105" s="37">
        <v>32.0</v>
      </c>
      <c r="M105" s="37">
        <v>3.0</v>
      </c>
    </row>
    <row r="106">
      <c r="A106" s="34">
        <v>105.0</v>
      </c>
      <c r="B106" s="34" t="s">
        <v>76</v>
      </c>
      <c r="C106" s="34" t="s">
        <v>786</v>
      </c>
      <c r="D106" s="34" t="s">
        <v>787</v>
      </c>
      <c r="E106" s="35">
        <v>0.333</v>
      </c>
      <c r="F106" s="35">
        <v>0.747</v>
      </c>
      <c r="G106" s="35">
        <v>1.0</v>
      </c>
      <c r="H106" s="35">
        <v>0.429</v>
      </c>
      <c r="I106" s="36" t="str">
        <f>IMAGE("https://drive.google.com/uc?export=view&amp;id=1PuFn5K4_OTf-sGjXlYUevaQVTjwxySuN")</f>
        <v/>
      </c>
      <c r="J106" s="37" t="s">
        <v>14</v>
      </c>
      <c r="K106" s="37" t="s">
        <v>8</v>
      </c>
      <c r="L106" s="37">
        <v>32.0</v>
      </c>
      <c r="M106" s="37">
        <v>3.0</v>
      </c>
    </row>
    <row r="107">
      <c r="A107" s="34">
        <v>106.0</v>
      </c>
      <c r="B107" s="34" t="s">
        <v>79</v>
      </c>
      <c r="C107" s="34" t="s">
        <v>788</v>
      </c>
      <c r="D107" s="34" t="s">
        <v>789</v>
      </c>
      <c r="E107" s="35">
        <v>0.5</v>
      </c>
      <c r="F107" s="35">
        <v>1.0</v>
      </c>
      <c r="G107" s="35">
        <v>1.0</v>
      </c>
      <c r="H107" s="35">
        <v>0.5</v>
      </c>
      <c r="I107" s="36" t="str">
        <f>IMAGE("https://drive.google.com/uc?export=view&amp;id=1hwxux7J7VEVWCxKWMWjrRqPHcGcZVGyu")</f>
        <v/>
      </c>
      <c r="J107" s="37" t="s">
        <v>14</v>
      </c>
      <c r="K107" s="37" t="s">
        <v>8</v>
      </c>
      <c r="L107" s="37">
        <v>32.0</v>
      </c>
      <c r="M107" s="37">
        <v>3.0</v>
      </c>
    </row>
    <row r="108">
      <c r="A108" s="34">
        <v>107.0</v>
      </c>
      <c r="B108" s="34" t="s">
        <v>85</v>
      </c>
      <c r="C108" s="34" t="s">
        <v>792</v>
      </c>
      <c r="D108" s="34" t="s">
        <v>793</v>
      </c>
      <c r="E108" s="35">
        <v>0.0</v>
      </c>
      <c r="F108" s="35">
        <v>0.985</v>
      </c>
      <c r="G108" s="35">
        <v>0.5</v>
      </c>
      <c r="H108" s="35">
        <v>0.0</v>
      </c>
      <c r="I108" s="36" t="str">
        <f>IMAGE("https://drive.google.com/uc?export=view&amp;id=1S5Q1-fqrdRLYK-aPKgQZdyvJZV-v0RbI")</f>
        <v/>
      </c>
      <c r="J108" s="37" t="s">
        <v>14</v>
      </c>
      <c r="K108" s="37" t="s">
        <v>8</v>
      </c>
      <c r="L108" s="37">
        <v>32.0</v>
      </c>
      <c r="M108" s="37">
        <v>3.0</v>
      </c>
    </row>
    <row r="109">
      <c r="A109" s="34">
        <v>108.0</v>
      </c>
      <c r="B109" s="34" t="s">
        <v>130</v>
      </c>
      <c r="C109" s="34" t="s">
        <v>820</v>
      </c>
      <c r="D109" s="34" t="s">
        <v>821</v>
      </c>
      <c r="E109" s="35">
        <v>0.5</v>
      </c>
      <c r="F109" s="35">
        <v>0.708</v>
      </c>
      <c r="G109" s="35">
        <v>1.0</v>
      </c>
      <c r="H109" s="35">
        <v>0.6</v>
      </c>
      <c r="I109" s="36" t="str">
        <f>IMAGE("https://drive.google.com/uc?export=view&amp;id=1L0vNLRhS5mObzj9zmH4SP0kzUU6IWAJU")</f>
        <v/>
      </c>
      <c r="J109" s="37" t="s">
        <v>15</v>
      </c>
      <c r="K109" s="37" t="s">
        <v>8</v>
      </c>
      <c r="L109" s="37">
        <v>32.0</v>
      </c>
      <c r="M109" s="37">
        <v>3.0</v>
      </c>
    </row>
    <row r="110">
      <c r="A110" s="34">
        <v>109.0</v>
      </c>
      <c r="B110" s="34" t="s">
        <v>157</v>
      </c>
      <c r="C110" s="34" t="s">
        <v>840</v>
      </c>
      <c r="D110" s="34" t="s">
        <v>841</v>
      </c>
      <c r="E110" s="35">
        <v>0.5</v>
      </c>
      <c r="F110" s="35">
        <v>0.566</v>
      </c>
      <c r="G110" s="35">
        <v>1.0</v>
      </c>
      <c r="H110" s="35">
        <v>1.0</v>
      </c>
      <c r="I110" s="36" t="str">
        <f>IMAGE("https://drive.google.com/uc?export=view&amp;id=19LczHmNWqcHOrF6lhPeSM-l13UCn1o1d")</f>
        <v/>
      </c>
      <c r="J110" s="37" t="s">
        <v>15</v>
      </c>
      <c r="K110" s="37" t="s">
        <v>8</v>
      </c>
      <c r="L110" s="37">
        <v>32.0</v>
      </c>
      <c r="M110" s="37">
        <v>3.0</v>
      </c>
    </row>
    <row r="111">
      <c r="A111" s="34">
        <v>110.0</v>
      </c>
      <c r="B111" s="34" t="s">
        <v>163</v>
      </c>
      <c r="C111" s="34" t="s">
        <v>844</v>
      </c>
      <c r="D111" s="34" t="s">
        <v>845</v>
      </c>
      <c r="E111" s="35">
        <v>0.25</v>
      </c>
      <c r="F111" s="35">
        <v>0.581</v>
      </c>
      <c r="G111" s="35">
        <v>1.0</v>
      </c>
      <c r="H111" s="35">
        <v>0.833</v>
      </c>
      <c r="I111" s="36" t="str">
        <f>IMAGE("https://drive.google.com/uc?export=view&amp;id=1EP0PLyp2Pm51b5c5HJsiMs03iCwH6J_z")</f>
        <v/>
      </c>
      <c r="J111" s="37" t="s">
        <v>15</v>
      </c>
      <c r="K111" s="37" t="s">
        <v>8</v>
      </c>
      <c r="L111" s="37">
        <v>32.0</v>
      </c>
      <c r="M111" s="37">
        <v>3.0</v>
      </c>
    </row>
    <row r="112">
      <c r="A112" s="34">
        <v>111.0</v>
      </c>
      <c r="B112" s="34" t="s">
        <v>169</v>
      </c>
      <c r="C112" s="34" t="s">
        <v>848</v>
      </c>
      <c r="D112" s="34" t="s">
        <v>849</v>
      </c>
      <c r="E112" s="35">
        <v>0.467</v>
      </c>
      <c r="F112" s="35">
        <v>0.873</v>
      </c>
      <c r="G112" s="35">
        <v>0.0</v>
      </c>
      <c r="H112" s="35">
        <v>0.333</v>
      </c>
      <c r="I112" s="36" t="str">
        <f>IMAGE("https://drive.google.com/uc?export=view&amp;id=1pnwverxK0MsIAcwLTwP4iZcbhbQ8BkMs")</f>
        <v/>
      </c>
      <c r="J112" s="37" t="s">
        <v>16</v>
      </c>
      <c r="K112" s="37" t="s">
        <v>8</v>
      </c>
      <c r="L112" s="37">
        <v>32.0</v>
      </c>
      <c r="M112" s="37">
        <v>3.0</v>
      </c>
    </row>
    <row r="113">
      <c r="A113" s="34">
        <v>112.0</v>
      </c>
      <c r="B113" s="34" t="s">
        <v>175</v>
      </c>
      <c r="C113" s="34" t="s">
        <v>852</v>
      </c>
      <c r="D113" s="34" t="s">
        <v>853</v>
      </c>
      <c r="E113" s="35">
        <v>0.333</v>
      </c>
      <c r="F113" s="35">
        <v>0.983</v>
      </c>
      <c r="G113" s="35">
        <v>0.833</v>
      </c>
      <c r="H113" s="35">
        <v>0.333</v>
      </c>
      <c r="I113" s="36" t="str">
        <f>IMAGE("https://drive.google.com/uc?export=view&amp;id=1vLQI2KLNoVjH0gGBeVCfNp4m2JOOTXp-")</f>
        <v/>
      </c>
      <c r="J113" s="37" t="s">
        <v>16</v>
      </c>
      <c r="K113" s="37" t="s">
        <v>8</v>
      </c>
      <c r="L113" s="37">
        <v>32.0</v>
      </c>
      <c r="M113" s="37">
        <v>3.0</v>
      </c>
    </row>
    <row r="114">
      <c r="A114" s="34">
        <v>113.0</v>
      </c>
      <c r="B114" s="34" t="s">
        <v>196</v>
      </c>
      <c r="C114" s="34" t="s">
        <v>867</v>
      </c>
      <c r="D114" s="34" t="s">
        <v>868</v>
      </c>
      <c r="E114" s="35">
        <v>0.182</v>
      </c>
      <c r="F114" s="35">
        <v>0.809</v>
      </c>
      <c r="G114" s="35">
        <v>1.0</v>
      </c>
      <c r="H114" s="35">
        <v>0.167</v>
      </c>
      <c r="I114" s="36" t="str">
        <f>IMAGE("https://drive.google.com/uc?export=view&amp;id=1lVpPNZQIiButidNR2CUvixN7vc1o-dHC")</f>
        <v/>
      </c>
      <c r="J114" s="37" t="s">
        <v>16</v>
      </c>
      <c r="K114" s="37" t="s">
        <v>8</v>
      </c>
      <c r="L114" s="37">
        <v>32.0</v>
      </c>
      <c r="M114" s="37">
        <v>3.0</v>
      </c>
    </row>
    <row r="115">
      <c r="A115" s="34">
        <v>114.0</v>
      </c>
      <c r="B115" s="34" t="s">
        <v>205</v>
      </c>
      <c r="C115" s="34" t="s">
        <v>873</v>
      </c>
      <c r="D115" s="34" t="s">
        <v>874</v>
      </c>
      <c r="E115" s="35">
        <v>0.214</v>
      </c>
      <c r="F115" s="35">
        <v>1.0</v>
      </c>
      <c r="G115" s="35">
        <v>1.0</v>
      </c>
      <c r="H115" s="35">
        <v>1.0</v>
      </c>
      <c r="I115" s="36" t="str">
        <f>IMAGE("https://drive.google.com/uc?export=view&amp;id=149XZKNH5LKzmk935YSeH30ShvO8jQGcu")</f>
        <v/>
      </c>
      <c r="J115" s="37" t="s">
        <v>16</v>
      </c>
      <c r="K115" s="37" t="s">
        <v>8</v>
      </c>
      <c r="L115" s="37">
        <v>32.0</v>
      </c>
      <c r="M115" s="37">
        <v>3.0</v>
      </c>
    </row>
    <row r="116">
      <c r="A116" s="34">
        <v>115.0</v>
      </c>
      <c r="B116" s="34" t="s">
        <v>220</v>
      </c>
      <c r="C116" s="34" t="s">
        <v>883</v>
      </c>
      <c r="D116" s="34" t="s">
        <v>884</v>
      </c>
      <c r="E116" s="35">
        <v>0.5</v>
      </c>
      <c r="F116" s="35">
        <v>0.767</v>
      </c>
      <c r="G116" s="35">
        <v>1.0</v>
      </c>
      <c r="H116" s="35">
        <v>0.857</v>
      </c>
      <c r="I116" s="36" t="str">
        <f>IMAGE("https://drive.google.com/uc?export=view&amp;id=1rhU1hefOTH4hY8P2Z0uRs5QoJPqbnd8f")</f>
        <v/>
      </c>
      <c r="J116" s="37" t="s">
        <v>16</v>
      </c>
      <c r="K116" s="37" t="s">
        <v>8</v>
      </c>
      <c r="L116" s="37">
        <v>32.0</v>
      </c>
      <c r="M116" s="37">
        <v>3.0</v>
      </c>
    </row>
    <row r="117">
      <c r="A117" s="34">
        <v>116.0</v>
      </c>
      <c r="B117" s="34" t="s">
        <v>262</v>
      </c>
      <c r="C117" s="34" t="s">
        <v>909</v>
      </c>
      <c r="D117" s="34" t="s">
        <v>910</v>
      </c>
      <c r="E117" s="35">
        <v>0.286</v>
      </c>
      <c r="F117" s="35">
        <v>0.893</v>
      </c>
      <c r="G117" s="35">
        <v>0.833</v>
      </c>
      <c r="H117" s="35">
        <v>1.0</v>
      </c>
      <c r="I117" s="36" t="str">
        <f>IMAGE("https://drive.google.com/uc?export=view&amp;id=12nKLlr5AhITsYG3bp4lPj4F4-fCfg6SP")</f>
        <v/>
      </c>
      <c r="J117" s="37" t="s">
        <v>17</v>
      </c>
      <c r="K117" s="37" t="s">
        <v>8</v>
      </c>
      <c r="L117" s="37">
        <v>32.0</v>
      </c>
      <c r="M117" s="37">
        <v>3.0</v>
      </c>
    </row>
    <row r="118">
      <c r="A118" s="34">
        <v>117.0</v>
      </c>
      <c r="B118" s="34" t="s">
        <v>280</v>
      </c>
      <c r="C118" s="34" t="s">
        <v>923</v>
      </c>
      <c r="D118" s="34" t="s">
        <v>924</v>
      </c>
      <c r="E118" s="35">
        <v>0.5</v>
      </c>
      <c r="F118" s="35">
        <v>0.727</v>
      </c>
      <c r="G118" s="35">
        <v>1.0</v>
      </c>
      <c r="H118" s="35">
        <v>0.2</v>
      </c>
      <c r="I118" s="36" t="str">
        <f>IMAGE("https://drive.google.com/uc?export=view&amp;id=1LohwVOmtjTejMi6SmrpGgWfMXG_ujspB")</f>
        <v/>
      </c>
      <c r="J118" s="37" t="s">
        <v>17</v>
      </c>
      <c r="K118" s="37" t="s">
        <v>8</v>
      </c>
      <c r="L118" s="37">
        <v>32.0</v>
      </c>
      <c r="M118" s="37">
        <v>3.0</v>
      </c>
    </row>
    <row r="119">
      <c r="A119" s="34">
        <v>118.0</v>
      </c>
      <c r="B119" s="34" t="s">
        <v>52</v>
      </c>
      <c r="C119" s="34" t="s">
        <v>772</v>
      </c>
      <c r="D119" s="34" t="s">
        <v>773</v>
      </c>
      <c r="E119" s="35">
        <v>0.455</v>
      </c>
      <c r="F119" s="35">
        <v>0.968</v>
      </c>
      <c r="G119" s="35">
        <v>1.0</v>
      </c>
      <c r="H119" s="35">
        <v>0.625</v>
      </c>
      <c r="I119" s="36" t="str">
        <f>IMAGE("https://drive.google.com/uc?export=view&amp;id=1oDYE6wXxGTt2dnghDOltW3llJq9SuTyW")</f>
        <v/>
      </c>
      <c r="J119" s="37" t="s">
        <v>14</v>
      </c>
      <c r="K119" s="37" t="s">
        <v>8</v>
      </c>
      <c r="L119" s="37">
        <v>32.0</v>
      </c>
      <c r="M119" s="37">
        <v>3.0</v>
      </c>
    </row>
    <row r="120">
      <c r="A120" s="34">
        <v>119.0</v>
      </c>
      <c r="B120" s="34" t="s">
        <v>70</v>
      </c>
      <c r="C120" s="34" t="s">
        <v>782</v>
      </c>
      <c r="D120" s="34" t="s">
        <v>783</v>
      </c>
      <c r="E120" s="35">
        <v>0.154</v>
      </c>
      <c r="F120" s="35">
        <v>0.955</v>
      </c>
      <c r="G120" s="35">
        <v>1.0</v>
      </c>
      <c r="H120" s="35">
        <v>0.75</v>
      </c>
      <c r="I120" s="36" t="str">
        <f>IMAGE("https://drive.google.com/uc?export=view&amp;id=1KzczNjVWPbGehfkKHQakwU1F5nZXdd_Z")</f>
        <v/>
      </c>
      <c r="J120" s="37" t="s">
        <v>14</v>
      </c>
      <c r="K120" s="37" t="s">
        <v>8</v>
      </c>
      <c r="L120" s="37">
        <v>32.0</v>
      </c>
      <c r="M120" s="37">
        <v>3.0</v>
      </c>
    </row>
    <row r="121">
      <c r="A121" s="34">
        <v>120.0</v>
      </c>
      <c r="B121" s="34" t="s">
        <v>76</v>
      </c>
      <c r="C121" s="34" t="s">
        <v>786</v>
      </c>
      <c r="D121" s="34" t="s">
        <v>787</v>
      </c>
      <c r="E121" s="35">
        <v>0.333</v>
      </c>
      <c r="F121" s="35">
        <v>0.747</v>
      </c>
      <c r="G121" s="35">
        <v>1.0</v>
      </c>
      <c r="H121" s="35">
        <v>0.429</v>
      </c>
      <c r="I121" s="36" t="str">
        <f>IMAGE("https://drive.google.com/uc?export=view&amp;id=1PuFn5K4_OTf-sGjXlYUevaQVTjwxySuN")</f>
        <v/>
      </c>
      <c r="J121" s="37" t="s">
        <v>14</v>
      </c>
      <c r="K121" s="37" t="s">
        <v>8</v>
      </c>
      <c r="L121" s="37">
        <v>32.0</v>
      </c>
      <c r="M121" s="37">
        <v>3.0</v>
      </c>
    </row>
    <row r="122">
      <c r="A122" s="34">
        <v>121.0</v>
      </c>
      <c r="B122" s="34" t="s">
        <v>79</v>
      </c>
      <c r="C122" s="34" t="s">
        <v>788</v>
      </c>
      <c r="D122" s="34" t="s">
        <v>789</v>
      </c>
      <c r="E122" s="35">
        <v>0.5</v>
      </c>
      <c r="F122" s="35">
        <v>1.0</v>
      </c>
      <c r="G122" s="35">
        <v>1.0</v>
      </c>
      <c r="H122" s="35">
        <v>0.5</v>
      </c>
      <c r="I122" s="36" t="str">
        <f>IMAGE("https://drive.google.com/uc?export=view&amp;id=1hwxux7J7VEVWCxKWMWjrRqPHcGcZVGyu")</f>
        <v/>
      </c>
      <c r="J122" s="37" t="s">
        <v>14</v>
      </c>
      <c r="K122" s="37" t="s">
        <v>8</v>
      </c>
      <c r="L122" s="37">
        <v>32.0</v>
      </c>
      <c r="M122" s="37">
        <v>3.0</v>
      </c>
    </row>
    <row r="123">
      <c r="A123" s="34">
        <v>122.0</v>
      </c>
      <c r="B123" s="34" t="s">
        <v>85</v>
      </c>
      <c r="C123" s="34" t="s">
        <v>792</v>
      </c>
      <c r="D123" s="34" t="s">
        <v>793</v>
      </c>
      <c r="E123" s="35">
        <v>0.0</v>
      </c>
      <c r="F123" s="35">
        <v>0.985</v>
      </c>
      <c r="G123" s="35">
        <v>0.5</v>
      </c>
      <c r="H123" s="35">
        <v>0.0</v>
      </c>
      <c r="I123" s="36" t="str">
        <f>IMAGE("https://drive.google.com/uc?export=view&amp;id=1S5Q1-fqrdRLYK-aPKgQZdyvJZV-v0RbI")</f>
        <v/>
      </c>
      <c r="J123" s="37" t="s">
        <v>14</v>
      </c>
      <c r="K123" s="37" t="s">
        <v>8</v>
      </c>
      <c r="L123" s="37">
        <v>32.0</v>
      </c>
      <c r="M123" s="37">
        <v>3.0</v>
      </c>
    </row>
    <row r="124">
      <c r="A124" s="34">
        <v>123.0</v>
      </c>
      <c r="B124" s="34" t="s">
        <v>130</v>
      </c>
      <c r="C124" s="34" t="s">
        <v>820</v>
      </c>
      <c r="D124" s="34" t="s">
        <v>821</v>
      </c>
      <c r="E124" s="35">
        <v>0.5</v>
      </c>
      <c r="F124" s="35">
        <v>0.708</v>
      </c>
      <c r="G124" s="35">
        <v>1.0</v>
      </c>
      <c r="H124" s="35">
        <v>0.6</v>
      </c>
      <c r="I124" s="36" t="str">
        <f>IMAGE("https://drive.google.com/uc?export=view&amp;id=1L0vNLRhS5mObzj9zmH4SP0kzUU6IWAJU")</f>
        <v/>
      </c>
      <c r="J124" s="37" t="s">
        <v>15</v>
      </c>
      <c r="K124" s="37" t="s">
        <v>8</v>
      </c>
      <c r="L124" s="37">
        <v>32.0</v>
      </c>
      <c r="M124" s="37">
        <v>3.0</v>
      </c>
    </row>
    <row r="125">
      <c r="A125" s="34">
        <v>124.0</v>
      </c>
      <c r="B125" s="34" t="s">
        <v>157</v>
      </c>
      <c r="C125" s="34" t="s">
        <v>840</v>
      </c>
      <c r="D125" s="34" t="s">
        <v>841</v>
      </c>
      <c r="E125" s="35">
        <v>0.5</v>
      </c>
      <c r="F125" s="35">
        <v>0.566</v>
      </c>
      <c r="G125" s="35">
        <v>1.0</v>
      </c>
      <c r="H125" s="35">
        <v>1.0</v>
      </c>
      <c r="I125" s="36" t="str">
        <f>IMAGE("https://drive.google.com/uc?export=view&amp;id=19LczHmNWqcHOrF6lhPeSM-l13UCn1o1d")</f>
        <v/>
      </c>
      <c r="J125" s="37" t="s">
        <v>15</v>
      </c>
      <c r="K125" s="37" t="s">
        <v>8</v>
      </c>
      <c r="L125" s="37">
        <v>32.0</v>
      </c>
      <c r="M125" s="37">
        <v>3.0</v>
      </c>
    </row>
    <row r="126">
      <c r="A126" s="34">
        <v>125.0</v>
      </c>
      <c r="B126" s="34" t="s">
        <v>163</v>
      </c>
      <c r="C126" s="34" t="s">
        <v>844</v>
      </c>
      <c r="D126" s="34" t="s">
        <v>845</v>
      </c>
      <c r="E126" s="35">
        <v>0.25</v>
      </c>
      <c r="F126" s="35">
        <v>0.581</v>
      </c>
      <c r="G126" s="35">
        <v>1.0</v>
      </c>
      <c r="H126" s="35">
        <v>0.833</v>
      </c>
      <c r="I126" s="36" t="str">
        <f>IMAGE("https://drive.google.com/uc?export=view&amp;id=1EP0PLyp2Pm51b5c5HJsiMs03iCwH6J_z")</f>
        <v/>
      </c>
      <c r="J126" s="37" t="s">
        <v>15</v>
      </c>
      <c r="K126" s="37" t="s">
        <v>8</v>
      </c>
      <c r="L126" s="37">
        <v>32.0</v>
      </c>
      <c r="M126" s="37">
        <v>3.0</v>
      </c>
    </row>
    <row r="127">
      <c r="A127" s="34">
        <v>126.0</v>
      </c>
      <c r="B127" s="34" t="s">
        <v>169</v>
      </c>
      <c r="C127" s="34" t="s">
        <v>848</v>
      </c>
      <c r="D127" s="34" t="s">
        <v>849</v>
      </c>
      <c r="E127" s="35">
        <v>0.467</v>
      </c>
      <c r="F127" s="35">
        <v>0.873</v>
      </c>
      <c r="G127" s="35">
        <v>0.0</v>
      </c>
      <c r="H127" s="35">
        <v>0.333</v>
      </c>
      <c r="I127" s="36" t="str">
        <f>IMAGE("https://drive.google.com/uc?export=view&amp;id=1pnwverxK0MsIAcwLTwP4iZcbhbQ8BkMs")</f>
        <v/>
      </c>
      <c r="J127" s="37" t="s">
        <v>16</v>
      </c>
      <c r="K127" s="37" t="s">
        <v>8</v>
      </c>
      <c r="L127" s="37">
        <v>32.0</v>
      </c>
      <c r="M127" s="37">
        <v>3.0</v>
      </c>
    </row>
    <row r="128">
      <c r="A128" s="34">
        <v>127.0</v>
      </c>
      <c r="B128" s="34" t="s">
        <v>175</v>
      </c>
      <c r="C128" s="34" t="s">
        <v>852</v>
      </c>
      <c r="D128" s="34" t="s">
        <v>853</v>
      </c>
      <c r="E128" s="35">
        <v>0.333</v>
      </c>
      <c r="F128" s="35">
        <v>0.983</v>
      </c>
      <c r="G128" s="35">
        <v>0.833</v>
      </c>
      <c r="H128" s="35">
        <v>0.333</v>
      </c>
      <c r="I128" s="36" t="str">
        <f>IMAGE("https://drive.google.com/uc?export=view&amp;id=1vLQI2KLNoVjH0gGBeVCfNp4m2JOOTXp-")</f>
        <v/>
      </c>
      <c r="J128" s="37" t="s">
        <v>16</v>
      </c>
      <c r="K128" s="37" t="s">
        <v>8</v>
      </c>
      <c r="L128" s="37">
        <v>32.0</v>
      </c>
      <c r="M128" s="37">
        <v>3.0</v>
      </c>
    </row>
    <row r="129">
      <c r="A129" s="34">
        <v>128.0</v>
      </c>
      <c r="B129" s="34" t="s">
        <v>196</v>
      </c>
      <c r="C129" s="34" t="s">
        <v>867</v>
      </c>
      <c r="D129" s="34" t="s">
        <v>868</v>
      </c>
      <c r="E129" s="35">
        <v>0.182</v>
      </c>
      <c r="F129" s="35">
        <v>0.809</v>
      </c>
      <c r="G129" s="35">
        <v>1.0</v>
      </c>
      <c r="H129" s="35">
        <v>0.167</v>
      </c>
      <c r="I129" s="36" t="str">
        <f>IMAGE("https://drive.google.com/uc?export=view&amp;id=1lVpPNZQIiButidNR2CUvixN7vc1o-dHC")</f>
        <v/>
      </c>
      <c r="J129" s="37" t="s">
        <v>16</v>
      </c>
      <c r="K129" s="37" t="s">
        <v>8</v>
      </c>
      <c r="L129" s="37">
        <v>32.0</v>
      </c>
      <c r="M129" s="37">
        <v>3.0</v>
      </c>
    </row>
    <row r="130">
      <c r="A130" s="34">
        <v>129.0</v>
      </c>
      <c r="B130" s="34" t="s">
        <v>205</v>
      </c>
      <c r="C130" s="34" t="s">
        <v>873</v>
      </c>
      <c r="D130" s="34" t="s">
        <v>874</v>
      </c>
      <c r="E130" s="35">
        <v>0.214</v>
      </c>
      <c r="F130" s="35">
        <v>1.0</v>
      </c>
      <c r="G130" s="35">
        <v>1.0</v>
      </c>
      <c r="H130" s="35">
        <v>1.0</v>
      </c>
      <c r="I130" s="36" t="str">
        <f>IMAGE("https://drive.google.com/uc?export=view&amp;id=149XZKNH5LKzmk935YSeH30ShvO8jQGcu")</f>
        <v/>
      </c>
      <c r="J130" s="37" t="s">
        <v>16</v>
      </c>
      <c r="K130" s="37" t="s">
        <v>8</v>
      </c>
      <c r="L130" s="37">
        <v>32.0</v>
      </c>
      <c r="M130" s="37">
        <v>3.0</v>
      </c>
    </row>
    <row r="131">
      <c r="A131" s="34">
        <v>130.0</v>
      </c>
      <c r="B131" s="34" t="s">
        <v>220</v>
      </c>
      <c r="C131" s="34" t="s">
        <v>883</v>
      </c>
      <c r="D131" s="34" t="s">
        <v>884</v>
      </c>
      <c r="E131" s="35">
        <v>0.5</v>
      </c>
      <c r="F131" s="35">
        <v>0.767</v>
      </c>
      <c r="G131" s="35">
        <v>1.0</v>
      </c>
      <c r="H131" s="35">
        <v>0.857</v>
      </c>
      <c r="I131" s="36" t="str">
        <f>IMAGE("https://drive.google.com/uc?export=view&amp;id=1rhU1hefOTH4hY8P2Z0uRs5QoJPqbnd8f")</f>
        <v/>
      </c>
      <c r="J131" s="37" t="s">
        <v>16</v>
      </c>
      <c r="K131" s="37" t="s">
        <v>8</v>
      </c>
      <c r="L131" s="37">
        <v>32.0</v>
      </c>
      <c r="M131" s="37">
        <v>3.0</v>
      </c>
    </row>
    <row r="132">
      <c r="A132" s="34">
        <v>131.0</v>
      </c>
      <c r="B132" s="34" t="s">
        <v>262</v>
      </c>
      <c r="C132" s="34" t="s">
        <v>909</v>
      </c>
      <c r="D132" s="34" t="s">
        <v>910</v>
      </c>
      <c r="E132" s="35">
        <v>0.286</v>
      </c>
      <c r="F132" s="35">
        <v>0.893</v>
      </c>
      <c r="G132" s="35">
        <v>0.833</v>
      </c>
      <c r="H132" s="35">
        <v>1.0</v>
      </c>
      <c r="I132" s="36" t="str">
        <f>IMAGE("https://drive.google.com/uc?export=view&amp;id=12nKLlr5AhITsYG3bp4lPj4F4-fCfg6SP")</f>
        <v/>
      </c>
      <c r="J132" s="37" t="s">
        <v>17</v>
      </c>
      <c r="K132" s="37" t="s">
        <v>8</v>
      </c>
      <c r="L132" s="37">
        <v>32.0</v>
      </c>
      <c r="M132" s="37">
        <v>3.0</v>
      </c>
    </row>
    <row r="133">
      <c r="A133" s="34">
        <v>132.0</v>
      </c>
      <c r="B133" s="34" t="s">
        <v>280</v>
      </c>
      <c r="C133" s="34" t="s">
        <v>923</v>
      </c>
      <c r="D133" s="34" t="s">
        <v>924</v>
      </c>
      <c r="E133" s="35">
        <v>0.5</v>
      </c>
      <c r="F133" s="35">
        <v>0.727</v>
      </c>
      <c r="G133" s="35">
        <v>1.0</v>
      </c>
      <c r="H133" s="35">
        <v>0.2</v>
      </c>
      <c r="I133" s="36" t="str">
        <f>IMAGE("https://drive.google.com/uc?export=view&amp;id=1LohwVOmtjTejMi6SmrpGgWfMXG_ujspB")</f>
        <v/>
      </c>
      <c r="J133" s="37" t="s">
        <v>17</v>
      </c>
      <c r="K133" s="37" t="s">
        <v>8</v>
      </c>
      <c r="L133" s="37">
        <v>32.0</v>
      </c>
      <c r="M133" s="37">
        <v>3.0</v>
      </c>
    </row>
    <row r="134">
      <c r="A134" s="34">
        <v>133.0</v>
      </c>
      <c r="B134" s="34" t="s">
        <v>70</v>
      </c>
      <c r="C134" s="34" t="s">
        <v>943</v>
      </c>
      <c r="D134" s="34" t="s">
        <v>944</v>
      </c>
      <c r="E134" s="35">
        <v>0.417</v>
      </c>
      <c r="F134" s="35">
        <v>0.874</v>
      </c>
      <c r="G134" s="35">
        <v>1.0</v>
      </c>
      <c r="H134" s="35">
        <v>0.2</v>
      </c>
      <c r="I134" s="36" t="str">
        <f>IMAGE("https://drive.google.com/uc?export=view&amp;id=1gBb8ws7EtW_CyGYnxtgxyJQYNQ9MhtCU")</f>
        <v/>
      </c>
      <c r="J134" s="37" t="s">
        <v>14</v>
      </c>
      <c r="K134" s="37" t="s">
        <v>8</v>
      </c>
      <c r="L134" s="37">
        <v>32.0</v>
      </c>
      <c r="M134" s="37">
        <v>5.0</v>
      </c>
    </row>
    <row r="135">
      <c r="A135" s="34">
        <v>134.0</v>
      </c>
      <c r="B135" s="34" t="s">
        <v>91</v>
      </c>
      <c r="C135" s="34" t="s">
        <v>957</v>
      </c>
      <c r="D135" s="34" t="s">
        <v>958</v>
      </c>
      <c r="E135" s="35">
        <v>0.5</v>
      </c>
      <c r="F135" s="35">
        <v>0.827</v>
      </c>
      <c r="G135" s="35">
        <v>0.867</v>
      </c>
      <c r="H135" s="35">
        <v>1.0</v>
      </c>
      <c r="I135" s="36" t="str">
        <f>IMAGE("https://drive.google.com/uc?export=view&amp;id=18x7iF4biX8wd-fWs7mWtj5ZmyC1Z4Fek")</f>
        <v/>
      </c>
      <c r="J135" s="37" t="s">
        <v>14</v>
      </c>
      <c r="K135" s="37" t="s">
        <v>8</v>
      </c>
      <c r="L135" s="37">
        <v>32.0</v>
      </c>
      <c r="M135" s="37">
        <v>5.0</v>
      </c>
    </row>
    <row r="136">
      <c r="A136" s="34">
        <v>135.0</v>
      </c>
      <c r="B136" s="34" t="s">
        <v>94</v>
      </c>
      <c r="C136" s="34" t="s">
        <v>959</v>
      </c>
      <c r="D136" s="34" t="s">
        <v>960</v>
      </c>
      <c r="E136" s="35">
        <v>0.462</v>
      </c>
      <c r="F136" s="35">
        <v>0.912</v>
      </c>
      <c r="G136" s="35">
        <v>1.0</v>
      </c>
      <c r="H136" s="35">
        <v>0.286</v>
      </c>
      <c r="I136" s="36" t="str">
        <f>IMAGE("https://drive.google.com/uc?export=view&amp;id=1CVx1t0gqwd4kbgOX6WZNWgr-PLQFbK6B")</f>
        <v/>
      </c>
      <c r="J136" s="37" t="s">
        <v>14</v>
      </c>
      <c r="K136" s="37" t="s">
        <v>8</v>
      </c>
      <c r="L136" s="37">
        <v>32.0</v>
      </c>
      <c r="M136" s="37">
        <v>5.0</v>
      </c>
    </row>
    <row r="137">
      <c r="A137" s="34">
        <v>136.0</v>
      </c>
      <c r="B137" s="34" t="s">
        <v>163</v>
      </c>
      <c r="C137" s="34" t="s">
        <v>1003</v>
      </c>
      <c r="D137" s="34" t="s">
        <v>1004</v>
      </c>
      <c r="E137" s="35">
        <v>0.25</v>
      </c>
      <c r="F137" s="35">
        <v>0.665</v>
      </c>
      <c r="G137" s="35">
        <v>1.0</v>
      </c>
      <c r="H137" s="35">
        <v>1.0</v>
      </c>
      <c r="I137" s="36" t="str">
        <f>IMAGE("https://drive.google.com/uc?export=view&amp;id=12vRggH4pAXvCLRZvrARpEUMUsZgQyl8k")</f>
        <v/>
      </c>
      <c r="J137" s="37" t="s">
        <v>15</v>
      </c>
      <c r="K137" s="37" t="s">
        <v>8</v>
      </c>
      <c r="L137" s="37">
        <v>32.0</v>
      </c>
      <c r="M137" s="37">
        <v>5.0</v>
      </c>
    </row>
    <row r="138">
      <c r="A138" s="34">
        <v>137.0</v>
      </c>
      <c r="B138" s="34" t="s">
        <v>166</v>
      </c>
      <c r="C138" s="34" t="s">
        <v>1007</v>
      </c>
      <c r="D138" s="34" t="s">
        <v>1008</v>
      </c>
      <c r="E138" s="35">
        <v>0.067</v>
      </c>
      <c r="F138" s="35">
        <v>0.986</v>
      </c>
      <c r="G138" s="35">
        <v>1.0</v>
      </c>
      <c r="H138" s="35">
        <v>0.75</v>
      </c>
      <c r="I138" s="36" t="str">
        <f>IMAGE("https://drive.google.com/uc?export=view&amp;id=1a6UmUHfPo64YPVcg4gSuSDoffShUg1zv")</f>
        <v/>
      </c>
      <c r="J138" s="37" t="s">
        <v>16</v>
      </c>
      <c r="K138" s="37" t="s">
        <v>8</v>
      </c>
      <c r="L138" s="37">
        <v>32.0</v>
      </c>
      <c r="M138" s="37">
        <v>5.0</v>
      </c>
    </row>
    <row r="139">
      <c r="A139" s="34">
        <v>138.0</v>
      </c>
      <c r="B139" s="34" t="s">
        <v>181</v>
      </c>
      <c r="C139" s="34" t="s">
        <v>1017</v>
      </c>
      <c r="D139" s="34" t="s">
        <v>1018</v>
      </c>
      <c r="E139" s="35">
        <v>0.125</v>
      </c>
      <c r="F139" s="35">
        <v>0.895</v>
      </c>
      <c r="G139" s="35">
        <v>1.0</v>
      </c>
      <c r="H139" s="35">
        <v>1.0</v>
      </c>
      <c r="I139" s="36" t="str">
        <f>IMAGE("https://drive.google.com/uc?export=view&amp;id=1upTlu8wXyRVyo7DPAZeftk9UHD9cW-S2")</f>
        <v/>
      </c>
      <c r="J139" s="37" t="s">
        <v>16</v>
      </c>
      <c r="K139" s="37" t="s">
        <v>8</v>
      </c>
      <c r="L139" s="37">
        <v>32.0</v>
      </c>
      <c r="M139" s="37">
        <v>5.0</v>
      </c>
    </row>
    <row r="140">
      <c r="A140" s="34">
        <v>139.0</v>
      </c>
      <c r="B140" s="34" t="s">
        <v>205</v>
      </c>
      <c r="C140" s="34" t="s">
        <v>1031</v>
      </c>
      <c r="D140" s="34" t="s">
        <v>1032</v>
      </c>
      <c r="E140" s="35">
        <v>0.091</v>
      </c>
      <c r="F140" s="35">
        <v>1.0</v>
      </c>
      <c r="G140" s="35">
        <v>0.95</v>
      </c>
      <c r="H140" s="35">
        <v>1.0</v>
      </c>
      <c r="I140" s="36" t="str">
        <f>IMAGE("https://drive.google.com/uc?export=view&amp;id=1mt2Avd-p5JQB1eKc0tsyY-R0pq2zfIkY")</f>
        <v/>
      </c>
      <c r="J140" s="37" t="s">
        <v>16</v>
      </c>
      <c r="K140" s="37" t="s">
        <v>8</v>
      </c>
      <c r="L140" s="37">
        <v>32.0</v>
      </c>
      <c r="M140" s="37">
        <v>5.0</v>
      </c>
    </row>
    <row r="141">
      <c r="A141" s="34">
        <v>140.0</v>
      </c>
      <c r="B141" s="34" t="s">
        <v>238</v>
      </c>
      <c r="C141" s="34" t="s">
        <v>1053</v>
      </c>
      <c r="D141" s="34" t="s">
        <v>1054</v>
      </c>
      <c r="E141" s="35">
        <v>0.5</v>
      </c>
      <c r="F141" s="35">
        <v>0.817</v>
      </c>
      <c r="G141" s="35">
        <v>1.0</v>
      </c>
      <c r="H141" s="35">
        <v>0.8</v>
      </c>
      <c r="I141" s="36" t="str">
        <f>IMAGE("https://drive.google.com/uc?export=view&amp;id=1dA69W_32D3QnjGN4zzpueefJwvIbxCb5")</f>
        <v/>
      </c>
      <c r="J141" s="37" t="s">
        <v>17</v>
      </c>
      <c r="K141" s="37" t="s">
        <v>8</v>
      </c>
      <c r="L141" s="37">
        <v>32.0</v>
      </c>
      <c r="M141" s="37">
        <v>5.0</v>
      </c>
    </row>
    <row r="142">
      <c r="A142" s="34">
        <v>141.0</v>
      </c>
      <c r="B142" s="34" t="s">
        <v>244</v>
      </c>
      <c r="C142" s="34" t="s">
        <v>1057</v>
      </c>
      <c r="D142" s="34" t="s">
        <v>1058</v>
      </c>
      <c r="E142" s="35">
        <v>0.5</v>
      </c>
      <c r="F142" s="35">
        <v>0.992</v>
      </c>
      <c r="G142" s="35">
        <v>0.2</v>
      </c>
      <c r="H142" s="35">
        <v>0.25</v>
      </c>
      <c r="I142" s="36" t="str">
        <f>IMAGE("https://drive.google.com/uc?export=view&amp;id=1xXoaOyfzPug3cAXGMDKaAV-pzEtU_jpc")</f>
        <v/>
      </c>
      <c r="J142" s="37" t="s">
        <v>17</v>
      </c>
      <c r="K142" s="37" t="s">
        <v>8</v>
      </c>
      <c r="L142" s="37">
        <v>32.0</v>
      </c>
      <c r="M142" s="37">
        <v>5.0</v>
      </c>
    </row>
    <row r="143">
      <c r="A143" s="34">
        <v>142.0</v>
      </c>
      <c r="B143" s="34" t="s">
        <v>265</v>
      </c>
      <c r="C143" s="34" t="s">
        <v>1071</v>
      </c>
      <c r="D143" s="34" t="s">
        <v>1072</v>
      </c>
      <c r="E143" s="35">
        <v>0.167</v>
      </c>
      <c r="F143" s="35">
        <v>0.875</v>
      </c>
      <c r="G143" s="35">
        <v>0.75</v>
      </c>
      <c r="H143" s="35">
        <v>0.75</v>
      </c>
      <c r="I143" s="36" t="str">
        <f>IMAGE("https://drive.google.com/uc?export=view&amp;id=1HFkD3qTOM_neGuYNF4Yb194t--DPZiiY")</f>
        <v/>
      </c>
      <c r="J143" s="37" t="s">
        <v>17</v>
      </c>
      <c r="K143" s="37" t="s">
        <v>8</v>
      </c>
      <c r="L143" s="37">
        <v>32.0</v>
      </c>
      <c r="M143" s="37">
        <v>5.0</v>
      </c>
    </row>
    <row r="144">
      <c r="A144" s="34">
        <v>143.0</v>
      </c>
      <c r="B144" s="34" t="s">
        <v>274</v>
      </c>
      <c r="C144" s="34" t="s">
        <v>1077</v>
      </c>
      <c r="D144" s="34" t="s">
        <v>1078</v>
      </c>
      <c r="E144" s="35">
        <v>0.0</v>
      </c>
      <c r="F144" s="35">
        <v>0.622</v>
      </c>
      <c r="G144" s="35">
        <v>0.0</v>
      </c>
      <c r="H144" s="35">
        <v>1.0</v>
      </c>
      <c r="I144" s="36" t="str">
        <f>IMAGE("https://drive.google.com/uc?export=view&amp;id=1TYLpXJRFHhns-YiMRl-OQz1HyMqdvGFS")</f>
        <v/>
      </c>
      <c r="J144" s="37" t="s">
        <v>17</v>
      </c>
      <c r="K144" s="37" t="s">
        <v>8</v>
      </c>
      <c r="L144" s="37">
        <v>32.0</v>
      </c>
      <c r="M144" s="37">
        <v>5.0</v>
      </c>
    </row>
    <row r="145">
      <c r="A145" s="34">
        <v>144.0</v>
      </c>
      <c r="B145" s="34" t="s">
        <v>49</v>
      </c>
      <c r="C145" s="34" t="s">
        <v>1087</v>
      </c>
      <c r="D145" s="34" t="s">
        <v>1088</v>
      </c>
      <c r="E145" s="35">
        <v>0.111</v>
      </c>
      <c r="F145" s="35">
        <v>1.0</v>
      </c>
      <c r="G145" s="35">
        <v>0.5</v>
      </c>
      <c r="H145" s="35">
        <v>0.5</v>
      </c>
      <c r="I145" s="36" t="str">
        <f>IMAGE("https://drive.google.com/uc?export=view&amp;id=1TGXOcLD6XH8Qr5U6MnlCVL7jSDwBRZEm")</f>
        <v/>
      </c>
      <c r="J145" s="37" t="s">
        <v>14</v>
      </c>
      <c r="K145" s="37" t="s">
        <v>8</v>
      </c>
      <c r="L145" s="37">
        <v>64.0</v>
      </c>
      <c r="M145" s="37">
        <v>3.0</v>
      </c>
    </row>
    <row r="146">
      <c r="A146" s="34">
        <v>145.0</v>
      </c>
      <c r="B146" s="34" t="s">
        <v>55</v>
      </c>
      <c r="C146" s="34" t="s">
        <v>1091</v>
      </c>
      <c r="D146" s="34" t="s">
        <v>1092</v>
      </c>
      <c r="E146" s="35">
        <v>0.438</v>
      </c>
      <c r="F146" s="35">
        <v>1.0</v>
      </c>
      <c r="G146" s="35">
        <v>1.0</v>
      </c>
      <c r="H146" s="35">
        <v>1.0</v>
      </c>
      <c r="I146" s="36" t="str">
        <f>IMAGE("https://drive.google.com/uc?export=view&amp;id=1q_3r6AZ5xgnq6x-ISS7APw5SrJbNCqZ6")</f>
        <v/>
      </c>
      <c r="J146" s="37" t="s">
        <v>14</v>
      </c>
      <c r="K146" s="37" t="s">
        <v>8</v>
      </c>
      <c r="L146" s="37">
        <v>64.0</v>
      </c>
      <c r="M146" s="37">
        <v>3.0</v>
      </c>
    </row>
    <row r="147">
      <c r="A147" s="34">
        <v>146.0</v>
      </c>
      <c r="B147" s="34" t="s">
        <v>67</v>
      </c>
      <c r="C147" s="34" t="s">
        <v>1097</v>
      </c>
      <c r="D147" s="34" t="s">
        <v>1098</v>
      </c>
      <c r="E147" s="35">
        <v>0.25</v>
      </c>
      <c r="F147" s="35">
        <v>0.891</v>
      </c>
      <c r="G147" s="35">
        <v>1.0</v>
      </c>
      <c r="H147" s="35">
        <v>1.0</v>
      </c>
      <c r="I147" s="36" t="str">
        <f>IMAGE("https://drive.google.com/uc?export=view&amp;id=1yZmZY5Qa_0FWoIFDEbvi_xM2SkxaCECl")</f>
        <v/>
      </c>
      <c r="J147" s="37" t="s">
        <v>14</v>
      </c>
      <c r="K147" s="37" t="s">
        <v>8</v>
      </c>
      <c r="L147" s="37">
        <v>64.0</v>
      </c>
      <c r="M147" s="37">
        <v>3.0</v>
      </c>
    </row>
    <row r="148">
      <c r="A148" s="34">
        <v>147.0</v>
      </c>
      <c r="B148" s="34" t="s">
        <v>85</v>
      </c>
      <c r="C148" s="34" t="s">
        <v>1109</v>
      </c>
      <c r="D148" s="34" t="s">
        <v>1110</v>
      </c>
      <c r="E148" s="35">
        <v>0.273</v>
      </c>
      <c r="F148" s="35">
        <v>0.985</v>
      </c>
      <c r="G148" s="35">
        <v>0.333</v>
      </c>
      <c r="H148" s="35">
        <v>0.0</v>
      </c>
      <c r="I148" s="36" t="str">
        <f>IMAGE("https://drive.google.com/uc?export=view&amp;id=194SVOoGDuv-GBFOf1ZF5MoxucsFyTYOt")</f>
        <v/>
      </c>
      <c r="J148" s="37" t="s">
        <v>14</v>
      </c>
      <c r="K148" s="37" t="s">
        <v>8</v>
      </c>
      <c r="L148" s="37">
        <v>64.0</v>
      </c>
      <c r="M148" s="37">
        <v>3.0</v>
      </c>
    </row>
    <row r="149">
      <c r="A149" s="34">
        <v>148.0</v>
      </c>
      <c r="B149" s="34" t="s">
        <v>91</v>
      </c>
      <c r="C149" s="34" t="s">
        <v>1113</v>
      </c>
      <c r="D149" s="34" t="s">
        <v>1114</v>
      </c>
      <c r="E149" s="35">
        <v>0.333</v>
      </c>
      <c r="F149" s="35">
        <v>0.997</v>
      </c>
      <c r="G149" s="35">
        <v>1.0</v>
      </c>
      <c r="H149" s="35">
        <v>1.0</v>
      </c>
      <c r="I149" s="36" t="str">
        <f>IMAGE("https://drive.google.com/uc?export=view&amp;id=1YJzsA2LwSrMCiI_WnGoDCA-wQehRzjBn")</f>
        <v/>
      </c>
      <c r="J149" s="37" t="s">
        <v>14</v>
      </c>
      <c r="K149" s="37" t="s">
        <v>8</v>
      </c>
      <c r="L149" s="37">
        <v>64.0</v>
      </c>
      <c r="M149" s="37">
        <v>3.0</v>
      </c>
    </row>
    <row r="150">
      <c r="A150" s="34">
        <v>149.0</v>
      </c>
      <c r="B150" s="34" t="s">
        <v>94</v>
      </c>
      <c r="C150" s="34" t="s">
        <v>1115</v>
      </c>
      <c r="D150" s="34" t="s">
        <v>1116</v>
      </c>
      <c r="E150" s="35">
        <v>0.474</v>
      </c>
      <c r="F150" s="35">
        <v>0.889</v>
      </c>
      <c r="G150" s="35">
        <v>1.0</v>
      </c>
      <c r="H150" s="35">
        <v>0.8</v>
      </c>
      <c r="I150" s="36" t="str">
        <f>IMAGE("https://drive.google.com/uc?export=view&amp;id=1_qJu3lMjLrNg-57tqf6z8X324k4bX3Xt")</f>
        <v/>
      </c>
      <c r="J150" s="37" t="s">
        <v>14</v>
      </c>
      <c r="K150" s="37" t="s">
        <v>8</v>
      </c>
      <c r="L150" s="37">
        <v>64.0</v>
      </c>
      <c r="M150" s="37">
        <v>3.0</v>
      </c>
    </row>
    <row r="151">
      <c r="A151" s="34">
        <v>150.0</v>
      </c>
      <c r="B151" s="34" t="s">
        <v>115</v>
      </c>
      <c r="C151" s="34" t="s">
        <v>1123</v>
      </c>
      <c r="D151" s="34" t="s">
        <v>1124</v>
      </c>
      <c r="E151" s="35">
        <v>0.5</v>
      </c>
      <c r="F151" s="35">
        <v>0.979</v>
      </c>
      <c r="G151" s="35">
        <v>1.0</v>
      </c>
      <c r="H151" s="35">
        <v>1.0</v>
      </c>
      <c r="I151" s="36" t="str">
        <f>IMAGE("https://drive.google.com/uc?export=view&amp;id=1JkfnyBRgI2u4R2pruw-Uy1cZ0bJ2XvQK")</f>
        <v/>
      </c>
      <c r="J151" s="37" t="s">
        <v>14</v>
      </c>
      <c r="K151" s="37" t="s">
        <v>8</v>
      </c>
      <c r="L151" s="37">
        <v>64.0</v>
      </c>
      <c r="M151" s="37">
        <v>3.0</v>
      </c>
    </row>
    <row r="152">
      <c r="A152" s="34">
        <v>151.0</v>
      </c>
      <c r="B152" s="34" t="s">
        <v>106</v>
      </c>
      <c r="C152" s="34" t="s">
        <v>1127</v>
      </c>
      <c r="D152" s="34" t="s">
        <v>1128</v>
      </c>
      <c r="E152" s="35">
        <v>0.444</v>
      </c>
      <c r="F152" s="35">
        <v>0.0</v>
      </c>
      <c r="G152" s="35">
        <v>0.0</v>
      </c>
      <c r="H152" s="35">
        <v>0.667</v>
      </c>
      <c r="I152" s="36" t="str">
        <f>IMAGE("https://drive.google.com/uc?export=view&amp;id=1eH0fE7w-5Jucww9xPf1pb0nBUqAdLuDy")</f>
        <v/>
      </c>
      <c r="J152" s="37" t="s">
        <v>15</v>
      </c>
      <c r="K152" s="37" t="s">
        <v>8</v>
      </c>
      <c r="L152" s="37">
        <v>64.0</v>
      </c>
      <c r="M152" s="37">
        <v>3.0</v>
      </c>
    </row>
    <row r="153">
      <c r="A153" s="34">
        <v>152.0</v>
      </c>
      <c r="B153" s="34" t="s">
        <v>109</v>
      </c>
      <c r="C153" s="34" t="s">
        <v>1129</v>
      </c>
      <c r="D153" s="34" t="s">
        <v>1130</v>
      </c>
      <c r="E153" s="35">
        <v>0.467</v>
      </c>
      <c r="F153" s="35">
        <v>0.0</v>
      </c>
      <c r="G153" s="35">
        <v>1.0</v>
      </c>
      <c r="H153" s="35">
        <v>0.8</v>
      </c>
      <c r="I153" s="36" t="str">
        <f>IMAGE("https://drive.google.com/uc?export=view&amp;id=193xsr14xWG8iVl6l4e0n21_GomTSNEXx")</f>
        <v/>
      </c>
      <c r="J153" s="37" t="s">
        <v>15</v>
      </c>
      <c r="K153" s="37" t="s">
        <v>8</v>
      </c>
      <c r="L153" s="37">
        <v>64.0</v>
      </c>
      <c r="M153" s="37">
        <v>3.0</v>
      </c>
    </row>
    <row r="154">
      <c r="A154" s="34">
        <v>153.0</v>
      </c>
      <c r="B154" s="34" t="s">
        <v>121</v>
      </c>
      <c r="C154" s="34" t="s">
        <v>1135</v>
      </c>
      <c r="D154" s="34" t="s">
        <v>1136</v>
      </c>
      <c r="E154" s="35">
        <v>0.25</v>
      </c>
      <c r="F154" s="35">
        <v>0.978</v>
      </c>
      <c r="G154" s="35">
        <v>0.333</v>
      </c>
      <c r="H154" s="35">
        <v>1.0</v>
      </c>
      <c r="I154" s="36" t="str">
        <f>IMAGE("https://drive.google.com/uc?export=view&amp;id=1rASatqW0Z7TKOp_t_4Gzk8xNExbe_sMS")</f>
        <v/>
      </c>
      <c r="J154" s="37" t="s">
        <v>15</v>
      </c>
      <c r="K154" s="37" t="s">
        <v>8</v>
      </c>
      <c r="L154" s="37">
        <v>64.0</v>
      </c>
      <c r="M154" s="37">
        <v>3.0</v>
      </c>
    </row>
    <row r="155">
      <c r="A155" s="34">
        <v>154.0</v>
      </c>
      <c r="B155" s="34" t="s">
        <v>130</v>
      </c>
      <c r="C155" s="34" t="s">
        <v>1141</v>
      </c>
      <c r="D155" s="34" t="s">
        <v>1142</v>
      </c>
      <c r="E155" s="35">
        <v>0.462</v>
      </c>
      <c r="F155" s="35">
        <v>0.798</v>
      </c>
      <c r="G155" s="35">
        <v>1.0</v>
      </c>
      <c r="H155" s="35">
        <v>0.667</v>
      </c>
      <c r="I155" s="36" t="str">
        <f>IMAGE("https://drive.google.com/uc?export=view&amp;id=1J8WpbbZm8o4qPFRRW64eHjn6MGlWS7-M")</f>
        <v/>
      </c>
      <c r="J155" s="37" t="s">
        <v>15</v>
      </c>
      <c r="K155" s="37" t="s">
        <v>8</v>
      </c>
      <c r="L155" s="37">
        <v>64.0</v>
      </c>
      <c r="M155" s="37">
        <v>3.0</v>
      </c>
    </row>
    <row r="156">
      <c r="A156" s="34">
        <v>155.0</v>
      </c>
      <c r="B156" s="34" t="s">
        <v>157</v>
      </c>
      <c r="C156" s="34" t="s">
        <v>1159</v>
      </c>
      <c r="D156" s="34" t="s">
        <v>1160</v>
      </c>
      <c r="E156" s="35">
        <v>0.333</v>
      </c>
      <c r="F156" s="35">
        <v>0.654</v>
      </c>
      <c r="G156" s="35">
        <v>0.333</v>
      </c>
      <c r="H156" s="35">
        <v>0.5</v>
      </c>
      <c r="I156" s="36" t="str">
        <f>IMAGE("https://drive.google.com/uc?export=view&amp;id=1q1ti9ncOkHJXze6_Uv8NzeMHemBvPKgH")</f>
        <v/>
      </c>
      <c r="J156" s="37" t="s">
        <v>15</v>
      </c>
      <c r="K156" s="37" t="s">
        <v>8</v>
      </c>
      <c r="L156" s="37">
        <v>64.0</v>
      </c>
      <c r="M156" s="37">
        <v>3.0</v>
      </c>
    </row>
    <row r="157">
      <c r="A157" s="34">
        <v>156.0</v>
      </c>
      <c r="B157" s="34" t="s">
        <v>166</v>
      </c>
      <c r="C157" s="34" t="s">
        <v>1165</v>
      </c>
      <c r="D157" s="34" t="s">
        <v>1166</v>
      </c>
      <c r="E157" s="35">
        <v>0.154</v>
      </c>
      <c r="F157" s="35">
        <v>1.0</v>
      </c>
      <c r="G157" s="35">
        <v>1.0</v>
      </c>
      <c r="H157" s="35">
        <v>0.667</v>
      </c>
      <c r="I157" s="36" t="str">
        <f>IMAGE("https://drive.google.com/uc?export=view&amp;id=1h6PBG9q7iUSC8C3H001y4kWH3Vk3EhN6")</f>
        <v/>
      </c>
      <c r="J157" s="37" t="s">
        <v>16</v>
      </c>
      <c r="K157" s="37" t="s">
        <v>8</v>
      </c>
      <c r="L157" s="37">
        <v>64.0</v>
      </c>
      <c r="M157" s="37">
        <v>3.0</v>
      </c>
    </row>
    <row r="158">
      <c r="A158" s="34">
        <v>157.0</v>
      </c>
      <c r="B158" s="34" t="s">
        <v>175</v>
      </c>
      <c r="C158" s="34" t="s">
        <v>1171</v>
      </c>
      <c r="D158" s="34" t="s">
        <v>1172</v>
      </c>
      <c r="E158" s="35">
        <v>0.333</v>
      </c>
      <c r="F158" s="35">
        <v>0.837</v>
      </c>
      <c r="G158" s="35">
        <v>0.833</v>
      </c>
      <c r="H158" s="35">
        <v>0.5</v>
      </c>
      <c r="I158" s="36" t="str">
        <f>IMAGE("https://drive.google.com/uc?export=view&amp;id=1YRen-uhDOxEDa78RJdU9xmOZ2YiOFNKo")</f>
        <v/>
      </c>
      <c r="J158" s="37" t="s">
        <v>16</v>
      </c>
      <c r="K158" s="37" t="s">
        <v>8</v>
      </c>
      <c r="L158" s="37">
        <v>64.0</v>
      </c>
      <c r="M158" s="37">
        <v>3.0</v>
      </c>
    </row>
    <row r="159">
      <c r="A159" s="34">
        <v>158.0</v>
      </c>
      <c r="B159" s="34" t="s">
        <v>184</v>
      </c>
      <c r="C159" s="34" t="s">
        <v>1177</v>
      </c>
      <c r="D159" s="34" t="s">
        <v>1178</v>
      </c>
      <c r="E159" s="35">
        <v>0.3</v>
      </c>
      <c r="F159" s="35">
        <v>0.85</v>
      </c>
      <c r="G159" s="35">
        <v>1.0</v>
      </c>
      <c r="H159" s="35">
        <v>0.333</v>
      </c>
      <c r="I159" s="36" t="str">
        <f>IMAGE("https://drive.google.com/uc?export=view&amp;id=10MkwMfhucKytEH1dVlZ12DZql91x8LIR")</f>
        <v/>
      </c>
      <c r="J159" s="37" t="s">
        <v>16</v>
      </c>
      <c r="K159" s="37" t="s">
        <v>8</v>
      </c>
      <c r="L159" s="37">
        <v>64.0</v>
      </c>
      <c r="M159" s="37">
        <v>3.0</v>
      </c>
    </row>
    <row r="160">
      <c r="A160" s="34">
        <v>159.0</v>
      </c>
      <c r="B160" s="34" t="s">
        <v>196</v>
      </c>
      <c r="C160" s="34" t="s">
        <v>1185</v>
      </c>
      <c r="D160" s="34" t="s">
        <v>1186</v>
      </c>
      <c r="E160" s="35">
        <v>0.286</v>
      </c>
      <c r="F160" s="35">
        <v>0.842</v>
      </c>
      <c r="G160" s="35">
        <v>1.0</v>
      </c>
      <c r="H160" s="35">
        <v>1.0</v>
      </c>
      <c r="I160" s="36" t="str">
        <f>IMAGE("https://drive.google.com/uc?export=view&amp;id=1KFO1j3xXJKjvFXBySg4YmHUhioqj_79E")</f>
        <v/>
      </c>
      <c r="J160" s="37" t="s">
        <v>16</v>
      </c>
      <c r="K160" s="37" t="s">
        <v>8</v>
      </c>
      <c r="L160" s="37">
        <v>64.0</v>
      </c>
      <c r="M160" s="37">
        <v>3.0</v>
      </c>
    </row>
    <row r="161">
      <c r="A161" s="34">
        <v>160.0</v>
      </c>
      <c r="B161" s="34" t="s">
        <v>217</v>
      </c>
      <c r="C161" s="34" t="s">
        <v>1199</v>
      </c>
      <c r="D161" s="34" t="s">
        <v>1200</v>
      </c>
      <c r="E161" s="35">
        <v>0.0</v>
      </c>
      <c r="F161" s="35">
        <v>0.876</v>
      </c>
      <c r="G161" s="35">
        <v>0.0</v>
      </c>
      <c r="H161" s="35">
        <v>0.0</v>
      </c>
      <c r="I161" s="36" t="str">
        <f>IMAGE("https://drive.google.com/uc?export=view&amp;id=1OjUgQedpRNOSTUksdISOhGeWCF_i7EcW")</f>
        <v/>
      </c>
      <c r="J161" s="37" t="s">
        <v>16</v>
      </c>
      <c r="K161" s="37" t="s">
        <v>8</v>
      </c>
      <c r="L161" s="37">
        <v>64.0</v>
      </c>
      <c r="M161" s="37">
        <v>3.0</v>
      </c>
    </row>
    <row r="162">
      <c r="A162" s="34">
        <v>161.0</v>
      </c>
      <c r="B162" s="34" t="s">
        <v>238</v>
      </c>
      <c r="C162" s="34" t="s">
        <v>1213</v>
      </c>
      <c r="D162" s="34" t="s">
        <v>1214</v>
      </c>
      <c r="E162" s="35">
        <v>0.5</v>
      </c>
      <c r="F162" s="35">
        <v>0.794</v>
      </c>
      <c r="G162" s="35">
        <v>1.0</v>
      </c>
      <c r="H162" s="35">
        <v>1.0</v>
      </c>
      <c r="I162" s="36" t="str">
        <f>IMAGE("https://drive.google.com/uc?export=view&amp;id=1_1v3zAh5tTwQGrqFtt087DsZfktvKNAm")</f>
        <v/>
      </c>
      <c r="J162" s="37" t="s">
        <v>17</v>
      </c>
      <c r="K162" s="37" t="s">
        <v>8</v>
      </c>
      <c r="L162" s="37">
        <v>64.0</v>
      </c>
      <c r="M162" s="37">
        <v>3.0</v>
      </c>
    </row>
    <row r="163">
      <c r="A163" s="34">
        <v>162.0</v>
      </c>
      <c r="B163" s="34" t="s">
        <v>262</v>
      </c>
      <c r="C163" s="34" t="s">
        <v>1229</v>
      </c>
      <c r="D163" s="34" t="s">
        <v>1230</v>
      </c>
      <c r="E163" s="35">
        <v>0.3</v>
      </c>
      <c r="F163" s="35">
        <v>0.942</v>
      </c>
      <c r="G163" s="35">
        <v>1.0</v>
      </c>
      <c r="H163" s="35">
        <v>1.0</v>
      </c>
      <c r="I163" s="36" t="str">
        <f>IMAGE("https://drive.google.com/uc?export=view&amp;id=1NtsutbsgsIWbs1UUsxHZNYbtLYP37AYh")</f>
        <v/>
      </c>
      <c r="J163" s="37" t="s">
        <v>17</v>
      </c>
      <c r="K163" s="37" t="s">
        <v>8</v>
      </c>
      <c r="L163" s="37">
        <v>64.0</v>
      </c>
      <c r="M163" s="37">
        <v>3.0</v>
      </c>
    </row>
    <row r="164">
      <c r="A164" s="34">
        <v>163.0</v>
      </c>
      <c r="B164" s="34" t="s">
        <v>265</v>
      </c>
      <c r="C164" s="34" t="s">
        <v>1231</v>
      </c>
      <c r="D164" s="34" t="s">
        <v>1232</v>
      </c>
      <c r="E164" s="35">
        <v>0.375</v>
      </c>
      <c r="F164" s="35">
        <v>0.892</v>
      </c>
      <c r="G164" s="35">
        <v>1.0</v>
      </c>
      <c r="H164" s="35">
        <v>0.125</v>
      </c>
      <c r="I164" s="36" t="str">
        <f>IMAGE("https://drive.google.com/uc?export=view&amp;id=13ZbN1Na0swMrAc0n-55NzD4JTRazej2x")</f>
        <v/>
      </c>
      <c r="J164" s="37" t="s">
        <v>17</v>
      </c>
      <c r="K164" s="37" t="s">
        <v>8</v>
      </c>
      <c r="L164" s="37">
        <v>64.0</v>
      </c>
      <c r="M164" s="37">
        <v>3.0</v>
      </c>
    </row>
    <row r="165">
      <c r="A165" s="34">
        <v>164.0</v>
      </c>
      <c r="B165" s="34" t="s">
        <v>280</v>
      </c>
      <c r="C165" s="34" t="s">
        <v>1241</v>
      </c>
      <c r="D165" s="34" t="s">
        <v>1242</v>
      </c>
      <c r="E165" s="35">
        <v>0.222</v>
      </c>
      <c r="F165" s="35">
        <v>0.882</v>
      </c>
      <c r="G165" s="35">
        <v>1.0</v>
      </c>
      <c r="H165" s="35">
        <v>1.0</v>
      </c>
      <c r="I165" s="36" t="str">
        <f>IMAGE("https://drive.google.com/uc?export=view&amp;id=1-A7HyU-YYEjw7tqUzxnqpiscYqnaIbCY")</f>
        <v/>
      </c>
      <c r="J165" s="37" t="s">
        <v>17</v>
      </c>
      <c r="K165" s="37" t="s">
        <v>8</v>
      </c>
      <c r="L165" s="37">
        <v>64.0</v>
      </c>
      <c r="M165" s="37">
        <v>3.0</v>
      </c>
    </row>
    <row r="166">
      <c r="A166" s="34">
        <v>165.0</v>
      </c>
      <c r="B166" s="34" t="s">
        <v>283</v>
      </c>
      <c r="C166" s="34" t="s">
        <v>1243</v>
      </c>
      <c r="D166" s="34" t="s">
        <v>1244</v>
      </c>
      <c r="E166" s="35">
        <v>0.143</v>
      </c>
      <c r="F166" s="35">
        <v>0.768</v>
      </c>
      <c r="G166" s="35">
        <v>0.333</v>
      </c>
      <c r="H166" s="35">
        <v>1.0</v>
      </c>
      <c r="I166" s="36" t="str">
        <f>IMAGE("https://drive.google.com/uc?export=view&amp;id=1BMMLbt8aKypqU4MKLKnrNgTmuDfaZ8cy")</f>
        <v/>
      </c>
      <c r="J166" s="37" t="s">
        <v>17</v>
      </c>
      <c r="K166" s="37" t="s">
        <v>8</v>
      </c>
      <c r="L166" s="37">
        <v>64.0</v>
      </c>
      <c r="M166" s="37">
        <v>3.0</v>
      </c>
    </row>
    <row r="167">
      <c r="A167" s="34">
        <v>166.0</v>
      </c>
      <c r="B167" s="34" t="s">
        <v>49</v>
      </c>
      <c r="C167" s="34" t="s">
        <v>1247</v>
      </c>
      <c r="D167" s="34" t="s">
        <v>1248</v>
      </c>
      <c r="E167" s="35">
        <v>0.364</v>
      </c>
      <c r="F167" s="35">
        <v>0.941</v>
      </c>
      <c r="G167" s="35">
        <v>0.5</v>
      </c>
      <c r="H167" s="35">
        <v>1.0</v>
      </c>
      <c r="I167" s="36" t="str">
        <f>IMAGE("https://drive.google.com/uc?export=view&amp;id=1y9BlsoztE3Krb0HX3YxUI0X9zk6-nK17")</f>
        <v/>
      </c>
      <c r="J167" s="37" t="s">
        <v>14</v>
      </c>
      <c r="K167" s="37" t="s">
        <v>8</v>
      </c>
      <c r="L167" s="37">
        <v>64.0</v>
      </c>
      <c r="M167" s="37">
        <v>5.0</v>
      </c>
    </row>
    <row r="168">
      <c r="A168" s="34">
        <v>167.0</v>
      </c>
      <c r="B168" s="34" t="s">
        <v>52</v>
      </c>
      <c r="C168" s="34" t="s">
        <v>1249</v>
      </c>
      <c r="D168" s="34" t="s">
        <v>1250</v>
      </c>
      <c r="E168" s="35">
        <v>0.25</v>
      </c>
      <c r="F168" s="35">
        <v>0.968</v>
      </c>
      <c r="G168" s="35">
        <v>1.0</v>
      </c>
      <c r="H168" s="35">
        <v>1.0</v>
      </c>
      <c r="I168" s="36" t="str">
        <f>IMAGE("https://drive.google.com/uc?export=view&amp;id=1RMKZ6zx45ojeXVohOhSK6ztp3lc7VRAL")</f>
        <v/>
      </c>
      <c r="J168" s="37" t="s">
        <v>14</v>
      </c>
      <c r="K168" s="39" t="s">
        <v>8</v>
      </c>
      <c r="L168" s="40">
        <v>64.0</v>
      </c>
      <c r="M168" s="40">
        <v>5.0</v>
      </c>
    </row>
    <row r="169">
      <c r="A169" s="34">
        <v>168.0</v>
      </c>
      <c r="B169" s="34" t="s">
        <v>55</v>
      </c>
      <c r="C169" s="34" t="s">
        <v>1251</v>
      </c>
      <c r="D169" s="34" t="s">
        <v>1252</v>
      </c>
      <c r="E169" s="35">
        <v>0.294</v>
      </c>
      <c r="F169" s="35">
        <v>1.0</v>
      </c>
      <c r="G169" s="35">
        <v>1.0</v>
      </c>
      <c r="H169" s="35">
        <v>1.0</v>
      </c>
      <c r="I169" s="36" t="str">
        <f>IMAGE("https://drive.google.com/uc?export=view&amp;id=1rgkaWkwaUd6EdGUgapUFq8J9856pr8xY")</f>
        <v/>
      </c>
      <c r="J169" s="37" t="s">
        <v>14</v>
      </c>
      <c r="K169" s="37" t="s">
        <v>8</v>
      </c>
      <c r="L169" s="37">
        <v>64.0</v>
      </c>
      <c r="M169" s="37">
        <v>5.0</v>
      </c>
    </row>
    <row r="170">
      <c r="A170" s="34">
        <v>169.0</v>
      </c>
      <c r="B170" s="34" t="s">
        <v>79</v>
      </c>
      <c r="C170" s="34" t="s">
        <v>1267</v>
      </c>
      <c r="D170" s="34" t="s">
        <v>1268</v>
      </c>
      <c r="E170" s="35">
        <v>0.167</v>
      </c>
      <c r="F170" s="35">
        <v>0.909</v>
      </c>
      <c r="G170" s="35">
        <v>1.0</v>
      </c>
      <c r="H170" s="35">
        <v>1.0</v>
      </c>
      <c r="I170" s="36" t="str">
        <f>IMAGE("https://drive.google.com/uc?export=view&amp;id=1-G4CS2thNgG67zqt-Smr59J3rIOxmlEG")</f>
        <v/>
      </c>
      <c r="J170" s="37" t="s">
        <v>14</v>
      </c>
      <c r="K170" s="39" t="s">
        <v>8</v>
      </c>
      <c r="L170" s="40">
        <v>64.0</v>
      </c>
      <c r="M170" s="40">
        <v>5.0</v>
      </c>
    </row>
    <row r="171">
      <c r="A171" s="34">
        <v>170.0</v>
      </c>
      <c r="B171" s="34" t="s">
        <v>91</v>
      </c>
      <c r="C171" s="34" t="s">
        <v>1275</v>
      </c>
      <c r="D171" s="34" t="s">
        <v>1276</v>
      </c>
      <c r="E171" s="35">
        <v>0.4</v>
      </c>
      <c r="F171" s="35">
        <v>0.997</v>
      </c>
      <c r="G171" s="35">
        <v>0.887</v>
      </c>
      <c r="H171" s="35">
        <v>1.0</v>
      </c>
      <c r="I171" s="36" t="str">
        <f>IMAGE("https://drive.google.com/uc?export=view&amp;id=1uNx0MK9j4lGrVnD3GdUeSlyLr4ulAaTY")</f>
        <v/>
      </c>
      <c r="J171" s="37" t="s">
        <v>14</v>
      </c>
      <c r="K171" s="37" t="s">
        <v>8</v>
      </c>
      <c r="L171" s="37">
        <v>64.0</v>
      </c>
      <c r="M171" s="37">
        <v>5.0</v>
      </c>
    </row>
    <row r="172">
      <c r="A172" s="34">
        <v>171.0</v>
      </c>
      <c r="B172" s="34" t="s">
        <v>97</v>
      </c>
      <c r="C172" s="34" t="s">
        <v>1279</v>
      </c>
      <c r="D172" s="34" t="s">
        <v>1280</v>
      </c>
      <c r="E172" s="35">
        <v>0.0</v>
      </c>
      <c r="F172" s="35">
        <v>0.844</v>
      </c>
      <c r="G172" s="35">
        <v>0.0</v>
      </c>
      <c r="H172" s="35">
        <v>0.333</v>
      </c>
      <c r="I172" s="36" t="str">
        <f>IMAGE("https://drive.google.com/uc?export=view&amp;id=1sM15VPFCnImoeQjsAdOTBa-MNDL7X8MS")</f>
        <v/>
      </c>
      <c r="J172" s="37" t="s">
        <v>14</v>
      </c>
      <c r="K172" s="39" t="s">
        <v>8</v>
      </c>
      <c r="L172" s="40">
        <v>64.0</v>
      </c>
      <c r="M172" s="40">
        <v>5.0</v>
      </c>
    </row>
    <row r="173">
      <c r="A173" s="34">
        <v>172.0</v>
      </c>
      <c r="B173" s="34" t="s">
        <v>148</v>
      </c>
      <c r="C173" s="34" t="s">
        <v>1314</v>
      </c>
      <c r="D173" s="34" t="s">
        <v>1315</v>
      </c>
      <c r="E173" s="35">
        <v>0.3</v>
      </c>
      <c r="F173" s="35">
        <v>0.992</v>
      </c>
      <c r="G173" s="35">
        <v>1.0</v>
      </c>
      <c r="H173" s="35">
        <v>0.833</v>
      </c>
      <c r="I173" s="36" t="str">
        <f>IMAGE("https://drive.google.com/uc?export=view&amp;id=1olfP43i-u_bEk45yQxcxnjQ0SZc1K8DQ")</f>
        <v/>
      </c>
      <c r="J173" s="37" t="s">
        <v>15</v>
      </c>
      <c r="K173" s="37" t="s">
        <v>8</v>
      </c>
      <c r="L173" s="37">
        <v>64.0</v>
      </c>
      <c r="M173" s="37">
        <v>5.0</v>
      </c>
    </row>
    <row r="174">
      <c r="A174" s="34">
        <v>173.0</v>
      </c>
      <c r="B174" s="34" t="s">
        <v>151</v>
      </c>
      <c r="C174" s="34" t="s">
        <v>1316</v>
      </c>
      <c r="D174" s="34" t="s">
        <v>1317</v>
      </c>
      <c r="E174" s="35">
        <v>0.455</v>
      </c>
      <c r="F174" s="35">
        <v>0.989</v>
      </c>
      <c r="G174" s="35">
        <v>1.0</v>
      </c>
      <c r="H174" s="35">
        <v>1.0</v>
      </c>
      <c r="I174" s="36" t="str">
        <f>IMAGE("https://drive.google.com/uc?export=view&amp;id=1Tvaw8hrgt7KtAQUtLkO4SSOoYx3noAew")</f>
        <v/>
      </c>
      <c r="J174" s="37" t="s">
        <v>15</v>
      </c>
      <c r="K174" s="39" t="s">
        <v>8</v>
      </c>
      <c r="L174" s="40">
        <v>64.0</v>
      </c>
      <c r="M174" s="40">
        <v>5.0</v>
      </c>
    </row>
    <row r="175">
      <c r="A175" s="34">
        <v>174.0</v>
      </c>
      <c r="B175" s="34" t="s">
        <v>157</v>
      </c>
      <c r="C175" s="34" t="s">
        <v>1320</v>
      </c>
      <c r="D175" s="34" t="s">
        <v>1321</v>
      </c>
      <c r="E175" s="35">
        <v>0.455</v>
      </c>
      <c r="F175" s="35">
        <v>0.998</v>
      </c>
      <c r="G175" s="35">
        <v>0.806</v>
      </c>
      <c r="H175" s="35">
        <v>0.429</v>
      </c>
      <c r="I175" s="36" t="str">
        <f>IMAGE("https://drive.google.com/uc?export=view&amp;id=18eoquw7yRi0KnWf5OKWO632CzErdPx5q")</f>
        <v/>
      </c>
      <c r="J175" s="37" t="s">
        <v>15</v>
      </c>
      <c r="K175" s="37" t="s">
        <v>8</v>
      </c>
      <c r="L175" s="37">
        <v>64.0</v>
      </c>
      <c r="M175" s="37">
        <v>5.0</v>
      </c>
    </row>
    <row r="176">
      <c r="A176" s="34">
        <v>175.0</v>
      </c>
      <c r="B176" s="34" t="s">
        <v>184</v>
      </c>
      <c r="C176" s="34" t="s">
        <v>1338</v>
      </c>
      <c r="D176" s="34" t="s">
        <v>1339</v>
      </c>
      <c r="E176" s="35">
        <v>0.444</v>
      </c>
      <c r="F176" s="35">
        <v>0.85</v>
      </c>
      <c r="G176" s="35">
        <v>1.0</v>
      </c>
      <c r="H176" s="35">
        <v>1.0</v>
      </c>
      <c r="I176" s="36" t="str">
        <f>IMAGE("https://drive.google.com/uc?export=view&amp;id=1WC3ptt0IDZevWFFMcj8l8WYxynazrwS6")</f>
        <v/>
      </c>
      <c r="J176" s="37" t="s">
        <v>16</v>
      </c>
      <c r="K176" s="39" t="s">
        <v>8</v>
      </c>
      <c r="L176" s="40">
        <v>64.0</v>
      </c>
      <c r="M176" s="40">
        <v>5.0</v>
      </c>
    </row>
    <row r="177">
      <c r="A177" s="34">
        <v>176.0</v>
      </c>
      <c r="B177" s="34" t="s">
        <v>193</v>
      </c>
      <c r="C177" s="34" t="s">
        <v>1342</v>
      </c>
      <c r="D177" s="34" t="s">
        <v>1343</v>
      </c>
      <c r="E177" s="35">
        <v>0.143</v>
      </c>
      <c r="F177" s="35">
        <v>0.873</v>
      </c>
      <c r="G177" s="35">
        <v>1.0</v>
      </c>
      <c r="H177" s="35">
        <v>0.0</v>
      </c>
      <c r="I177" s="36" t="str">
        <f>IMAGE("https://drive.google.com/uc?export=view&amp;id=1UQByIBuysccoqSbwFIksvq9S4-9hZxa7")</f>
        <v/>
      </c>
      <c r="J177" s="37" t="s">
        <v>16</v>
      </c>
      <c r="K177" s="37" t="s">
        <v>8</v>
      </c>
      <c r="L177" s="37">
        <v>64.0</v>
      </c>
      <c r="M177" s="37">
        <v>5.0</v>
      </c>
    </row>
    <row r="178">
      <c r="A178" s="34">
        <v>177.0</v>
      </c>
      <c r="B178" s="34" t="s">
        <v>190</v>
      </c>
      <c r="C178" s="34" t="s">
        <v>1344</v>
      </c>
      <c r="D178" s="34" t="s">
        <v>1345</v>
      </c>
      <c r="E178" s="35">
        <v>0.0</v>
      </c>
      <c r="F178" s="35">
        <v>0.892</v>
      </c>
      <c r="G178" s="35">
        <v>0.95</v>
      </c>
      <c r="H178" s="35">
        <v>1.0</v>
      </c>
      <c r="I178" s="36" t="str">
        <f>IMAGE("https://drive.google.com/uc?export=view&amp;id=1NLDwQtX5cdxryBwwM3CTYC4QFcdZ9V_x")</f>
        <v/>
      </c>
      <c r="J178" s="37" t="s">
        <v>16</v>
      </c>
      <c r="K178" s="39" t="s">
        <v>8</v>
      </c>
      <c r="L178" s="40">
        <v>64.0</v>
      </c>
      <c r="M178" s="40">
        <v>5.0</v>
      </c>
    </row>
    <row r="179">
      <c r="A179" s="34">
        <v>178.0</v>
      </c>
      <c r="B179" s="34" t="s">
        <v>205</v>
      </c>
      <c r="C179" s="34" t="s">
        <v>1350</v>
      </c>
      <c r="D179" s="34" t="s">
        <v>1351</v>
      </c>
      <c r="E179" s="35">
        <v>0.0</v>
      </c>
      <c r="F179" s="35">
        <v>1.0</v>
      </c>
      <c r="G179" s="35">
        <v>1.0</v>
      </c>
      <c r="H179" s="35">
        <v>1.0</v>
      </c>
      <c r="I179" s="36" t="str">
        <f>IMAGE("https://drive.google.com/uc?export=view&amp;id=1lMl-CJN840wmZlV1waGSPw7qCZT243tn")</f>
        <v/>
      </c>
      <c r="J179" s="37" t="s">
        <v>16</v>
      </c>
      <c r="K179" s="37" t="s">
        <v>8</v>
      </c>
      <c r="L179" s="37">
        <v>64.0</v>
      </c>
      <c r="M179" s="37">
        <v>5.0</v>
      </c>
    </row>
    <row r="180">
      <c r="A180" s="34">
        <v>179.0</v>
      </c>
      <c r="B180" s="34" t="s">
        <v>238</v>
      </c>
      <c r="C180" s="34" t="s">
        <v>1374</v>
      </c>
      <c r="D180" s="34" t="s">
        <v>1375</v>
      </c>
      <c r="E180" s="35">
        <v>0.5</v>
      </c>
      <c r="F180" s="35">
        <v>0.85</v>
      </c>
      <c r="G180" s="35">
        <v>1.0</v>
      </c>
      <c r="H180" s="35">
        <v>0.8</v>
      </c>
      <c r="I180" s="36" t="str">
        <f>IMAGE("https://drive.google.com/uc?export=view&amp;id=1dg0UG4si6_1yA-iu2OE6WykfVb3zi8u1")</f>
        <v/>
      </c>
      <c r="J180" s="37" t="s">
        <v>17</v>
      </c>
      <c r="K180" s="39" t="s">
        <v>8</v>
      </c>
      <c r="L180" s="40">
        <v>64.0</v>
      </c>
      <c r="M180" s="40">
        <v>5.0</v>
      </c>
    </row>
    <row r="181">
      <c r="A181" s="34">
        <v>180.0</v>
      </c>
      <c r="B181" s="34" t="s">
        <v>241</v>
      </c>
      <c r="C181" s="34" t="s">
        <v>1376</v>
      </c>
      <c r="D181" s="34" t="s">
        <v>1377</v>
      </c>
      <c r="E181" s="35">
        <v>0.5</v>
      </c>
      <c r="F181" s="35">
        <v>0.0</v>
      </c>
      <c r="G181" s="35">
        <v>0.0</v>
      </c>
      <c r="H181" s="35">
        <v>0.727</v>
      </c>
      <c r="I181" s="36" t="str">
        <f>IMAGE("https://drive.google.com/uc?export=view&amp;id=1QQm_oSN9Sm23XRf8Q_TpaPaEInVB5PHi")</f>
        <v/>
      </c>
      <c r="J181" s="37" t="s">
        <v>17</v>
      </c>
      <c r="K181" s="37" t="s">
        <v>8</v>
      </c>
      <c r="L181" s="37">
        <v>64.0</v>
      </c>
      <c r="M181" s="37">
        <v>5.0</v>
      </c>
    </row>
    <row r="182">
      <c r="A182" s="34">
        <v>181.0</v>
      </c>
      <c r="B182" s="34" t="s">
        <v>262</v>
      </c>
      <c r="C182" s="34" t="s">
        <v>1390</v>
      </c>
      <c r="D182" s="34" t="s">
        <v>1391</v>
      </c>
      <c r="E182" s="35">
        <v>0.182</v>
      </c>
      <c r="F182" s="35">
        <v>0.945</v>
      </c>
      <c r="G182" s="35">
        <v>0.804</v>
      </c>
      <c r="H182" s="35">
        <v>0.25</v>
      </c>
      <c r="I182" s="36" t="str">
        <f>IMAGE("https://drive.google.com/uc?export=view&amp;id=1Ouh55qWWBQUhAo9Cz4WorK6vWSSx2Z4c")</f>
        <v/>
      </c>
      <c r="J182" s="37" t="s">
        <v>17</v>
      </c>
      <c r="K182" s="39" t="s">
        <v>8</v>
      </c>
      <c r="L182" s="40">
        <v>64.0</v>
      </c>
      <c r="M182" s="40">
        <v>5.0</v>
      </c>
    </row>
    <row r="183">
      <c r="A183" s="34">
        <v>182.0</v>
      </c>
      <c r="B183" s="34" t="s">
        <v>274</v>
      </c>
      <c r="C183" s="34" t="s">
        <v>1398</v>
      </c>
      <c r="D183" s="34" t="s">
        <v>1399</v>
      </c>
      <c r="E183" s="35">
        <v>0.5</v>
      </c>
      <c r="F183" s="35">
        <v>0.878</v>
      </c>
      <c r="G183" s="35">
        <v>1.0</v>
      </c>
      <c r="H183" s="35">
        <v>1.0</v>
      </c>
      <c r="I183" s="36" t="str">
        <f>IMAGE("https://drive.google.com/uc?export=view&amp;id=1CzA_KNvSVRf7cK6agcBvUodSGDj0fSIa")</f>
        <v/>
      </c>
      <c r="J183" s="37" t="s">
        <v>17</v>
      </c>
      <c r="K183" s="37" t="s">
        <v>8</v>
      </c>
      <c r="L183" s="37">
        <v>64.0</v>
      </c>
      <c r="M183" s="37">
        <v>5.0</v>
      </c>
    </row>
    <row r="184">
      <c r="A184" s="34">
        <v>183.0</v>
      </c>
      <c r="B184" s="34" t="s">
        <v>283</v>
      </c>
      <c r="C184" s="34" t="s">
        <v>1402</v>
      </c>
      <c r="D184" s="34" t="s">
        <v>1403</v>
      </c>
      <c r="E184" s="35">
        <v>0.214</v>
      </c>
      <c r="F184" s="35">
        <v>0.0</v>
      </c>
      <c r="G184" s="35">
        <v>0.806</v>
      </c>
      <c r="H184" s="35">
        <v>0.0</v>
      </c>
      <c r="I184" s="36" t="str">
        <f>IMAGE("https://drive.google.com/uc?export=view&amp;id=1R347I0qw0QWBlJ2zvVKXFfT1JkSh5qwn")</f>
        <v/>
      </c>
      <c r="J184" s="37" t="s">
        <v>17</v>
      </c>
      <c r="K184" s="37" t="s">
        <v>8</v>
      </c>
      <c r="L184" s="37">
        <v>64.0</v>
      </c>
      <c r="M184" s="37">
        <v>5.0</v>
      </c>
    </row>
    <row r="185">
      <c r="A185" s="7"/>
      <c r="B185" s="7"/>
      <c r="C185" s="7"/>
      <c r="D185" s="7"/>
      <c r="E185" s="7"/>
      <c r="F185" s="7"/>
      <c r="G185" s="7"/>
      <c r="H185" s="7"/>
    </row>
    <row r="186">
      <c r="A186" s="7"/>
      <c r="B186" s="7"/>
      <c r="C186" s="7"/>
      <c r="D186" s="7"/>
      <c r="E186" s="7"/>
      <c r="F186" s="7"/>
      <c r="G186" s="7"/>
      <c r="H186" s="7"/>
    </row>
    <row r="187">
      <c r="A187" s="7"/>
      <c r="B187" s="7"/>
      <c r="C187" s="7"/>
      <c r="D187" s="7"/>
      <c r="E187" s="7"/>
      <c r="F187" s="7"/>
      <c r="G187" s="7"/>
      <c r="H187" s="7"/>
    </row>
    <row r="188">
      <c r="A188" s="7"/>
      <c r="B188" s="7"/>
      <c r="C188" s="7"/>
      <c r="D188" s="7"/>
      <c r="E188" s="7"/>
      <c r="F188" s="7"/>
      <c r="G188" s="7"/>
      <c r="H188" s="7"/>
    </row>
    <row r="189">
      <c r="A189" s="7"/>
      <c r="B189" s="7"/>
      <c r="C189" s="7"/>
      <c r="D189" s="7"/>
      <c r="E189" s="7"/>
      <c r="F189" s="7"/>
      <c r="G189" s="7"/>
      <c r="H189" s="7"/>
    </row>
    <row r="190">
      <c r="A190" s="7"/>
      <c r="B190" s="7"/>
      <c r="C190" s="7"/>
      <c r="D190" s="7"/>
      <c r="E190" s="7"/>
      <c r="F190" s="7"/>
      <c r="G190" s="7"/>
      <c r="H190" s="7"/>
    </row>
    <row r="191">
      <c r="A191" s="7"/>
      <c r="B191" s="7"/>
      <c r="C191" s="7"/>
      <c r="D191" s="7"/>
      <c r="E191" s="7"/>
      <c r="F191" s="7"/>
      <c r="G191" s="7"/>
      <c r="H191" s="7"/>
    </row>
    <row r="192">
      <c r="A192" s="7"/>
      <c r="B192" s="7"/>
      <c r="C192" s="7"/>
      <c r="D192" s="7"/>
      <c r="E192" s="7"/>
      <c r="F192" s="7"/>
      <c r="G192" s="7"/>
      <c r="H192" s="7"/>
    </row>
    <row r="193">
      <c r="A193" s="7"/>
      <c r="B193" s="7"/>
      <c r="C193" s="7"/>
      <c r="D193" s="7"/>
      <c r="E193" s="7"/>
      <c r="F193" s="7"/>
      <c r="G193" s="7"/>
      <c r="H193" s="7"/>
    </row>
    <row r="194">
      <c r="A194" s="7"/>
      <c r="B194" s="7"/>
      <c r="C194" s="7"/>
      <c r="D194" s="7"/>
      <c r="E194" s="7"/>
      <c r="F194" s="7"/>
      <c r="G194" s="7"/>
      <c r="H194" s="7"/>
    </row>
    <row r="195">
      <c r="A195" s="7"/>
      <c r="B195" s="7"/>
      <c r="C195" s="7"/>
      <c r="D195" s="7"/>
      <c r="E195" s="7"/>
      <c r="F195" s="7"/>
      <c r="G195" s="7"/>
      <c r="H195" s="7"/>
    </row>
    <row r="196">
      <c r="A196" s="7"/>
      <c r="B196" s="7"/>
      <c r="C196" s="7"/>
      <c r="D196" s="7"/>
      <c r="E196" s="7"/>
      <c r="F196" s="7"/>
      <c r="G196" s="7"/>
      <c r="H196" s="7"/>
    </row>
    <row r="197">
      <c r="A197" s="7"/>
      <c r="B197" s="7"/>
      <c r="C197" s="7"/>
      <c r="D197" s="7"/>
      <c r="E197" s="7"/>
      <c r="F197" s="7"/>
      <c r="G197" s="7"/>
      <c r="H197" s="7"/>
    </row>
    <row r="198">
      <c r="A198" s="7"/>
      <c r="B198" s="7"/>
      <c r="C198" s="7"/>
      <c r="D198" s="7"/>
      <c r="E198" s="7"/>
      <c r="F198" s="7"/>
      <c r="G198" s="7"/>
      <c r="H198" s="7"/>
    </row>
    <row r="199">
      <c r="A199" s="7"/>
      <c r="B199" s="7"/>
      <c r="C199" s="7"/>
      <c r="D199" s="7"/>
      <c r="E199" s="7"/>
      <c r="F199" s="7"/>
      <c r="G199" s="7"/>
      <c r="H199" s="7"/>
    </row>
    <row r="200">
      <c r="A200" s="7"/>
      <c r="B200" s="7"/>
      <c r="C200" s="7"/>
      <c r="D200" s="7"/>
      <c r="E200" s="7"/>
      <c r="F200" s="7"/>
      <c r="G200" s="7"/>
      <c r="H200" s="7"/>
    </row>
    <row r="201">
      <c r="A201" s="7"/>
      <c r="B201" s="7"/>
      <c r="C201" s="7"/>
      <c r="D201" s="7"/>
      <c r="E201" s="7"/>
      <c r="F201" s="7"/>
      <c r="G201" s="7"/>
      <c r="H201" s="7"/>
    </row>
    <row r="202">
      <c r="A202" s="7"/>
      <c r="B202" s="7"/>
      <c r="C202" s="7"/>
      <c r="D202" s="7"/>
      <c r="E202" s="7"/>
      <c r="F202" s="7"/>
      <c r="G202" s="7"/>
      <c r="H202" s="7"/>
    </row>
    <row r="203">
      <c r="A203" s="7"/>
      <c r="B203" s="7"/>
      <c r="C203" s="7"/>
      <c r="D203" s="7"/>
      <c r="E203" s="7"/>
      <c r="F203" s="7"/>
      <c r="G203" s="7"/>
      <c r="H203" s="7"/>
    </row>
    <row r="204">
      <c r="A204" s="7"/>
      <c r="B204" s="7"/>
      <c r="C204" s="7"/>
      <c r="D204" s="7"/>
      <c r="E204" s="7"/>
      <c r="F204" s="7"/>
      <c r="G204" s="7"/>
      <c r="H204" s="7"/>
    </row>
    <row r="205">
      <c r="A205" s="7"/>
      <c r="B205" s="7"/>
      <c r="C205" s="7"/>
      <c r="D205" s="7"/>
      <c r="E205" s="7"/>
      <c r="F205" s="7"/>
      <c r="G205" s="7"/>
      <c r="H205" s="7"/>
    </row>
    <row r="206">
      <c r="A206" s="7"/>
      <c r="B206" s="7"/>
      <c r="C206" s="7"/>
      <c r="D206" s="7"/>
      <c r="E206" s="7"/>
      <c r="F206" s="7"/>
      <c r="G206" s="7"/>
      <c r="H206" s="7"/>
    </row>
    <row r="207">
      <c r="A207" s="7"/>
      <c r="B207" s="7"/>
      <c r="C207" s="7"/>
      <c r="D207" s="7"/>
      <c r="E207" s="7"/>
      <c r="F207" s="7"/>
      <c r="G207" s="7"/>
      <c r="H207" s="7"/>
    </row>
    <row r="208">
      <c r="A208" s="7"/>
      <c r="B208" s="7"/>
      <c r="C208" s="7"/>
      <c r="D208" s="7"/>
      <c r="E208" s="7"/>
      <c r="F208" s="7"/>
      <c r="G208" s="7"/>
      <c r="H208" s="7"/>
    </row>
    <row r="209">
      <c r="A209" s="7"/>
      <c r="B209" s="7"/>
      <c r="C209" s="7"/>
      <c r="D209" s="7"/>
      <c r="E209" s="7"/>
      <c r="F209" s="7"/>
      <c r="G209" s="7"/>
      <c r="H209" s="7"/>
    </row>
    <row r="210">
      <c r="A210" s="7"/>
      <c r="B210" s="7"/>
      <c r="C210" s="7"/>
      <c r="D210" s="7"/>
      <c r="E210" s="7"/>
      <c r="F210" s="7"/>
      <c r="G210" s="7"/>
      <c r="H210" s="7"/>
    </row>
    <row r="211">
      <c r="A211" s="7"/>
      <c r="B211" s="7"/>
      <c r="C211" s="7"/>
      <c r="D211" s="7"/>
      <c r="E211" s="7"/>
      <c r="F211" s="7"/>
      <c r="G211" s="7"/>
      <c r="H211" s="7"/>
    </row>
    <row r="212">
      <c r="A212" s="7"/>
      <c r="B212" s="7"/>
      <c r="C212" s="7"/>
      <c r="D212" s="7"/>
      <c r="E212" s="7"/>
      <c r="F212" s="7"/>
      <c r="G212" s="7"/>
      <c r="H212" s="7"/>
    </row>
    <row r="213">
      <c r="A213" s="7"/>
      <c r="B213" s="7"/>
      <c r="C213" s="7"/>
      <c r="D213" s="7"/>
      <c r="E213" s="7"/>
      <c r="F213" s="7"/>
      <c r="G213" s="7"/>
      <c r="H213" s="7"/>
    </row>
    <row r="214">
      <c r="A214" s="7"/>
      <c r="B214" s="7"/>
      <c r="C214" s="7"/>
      <c r="D214" s="7"/>
      <c r="E214" s="7"/>
      <c r="F214" s="7"/>
      <c r="G214" s="7"/>
      <c r="H214" s="7"/>
    </row>
    <row r="215">
      <c r="A215" s="7"/>
      <c r="B215" s="7"/>
      <c r="C215" s="7"/>
      <c r="D215" s="7"/>
      <c r="E215" s="7"/>
      <c r="F215" s="7"/>
      <c r="G215" s="7"/>
      <c r="H215" s="7"/>
    </row>
    <row r="216">
      <c r="A216" s="7"/>
      <c r="B216" s="7"/>
      <c r="C216" s="7"/>
      <c r="D216" s="7"/>
      <c r="E216" s="7"/>
      <c r="F216" s="7"/>
      <c r="G216" s="7"/>
      <c r="H216" s="7"/>
    </row>
    <row r="217">
      <c r="A217" s="7"/>
      <c r="B217" s="7"/>
      <c r="C217" s="7"/>
      <c r="D217" s="7"/>
      <c r="E217" s="7"/>
      <c r="F217" s="7"/>
      <c r="G217" s="7"/>
      <c r="H217" s="7"/>
    </row>
    <row r="218">
      <c r="A218" s="7"/>
      <c r="B218" s="7"/>
      <c r="C218" s="7"/>
      <c r="D218" s="7"/>
      <c r="E218" s="7"/>
      <c r="F218" s="7"/>
      <c r="G218" s="7"/>
      <c r="H218" s="7"/>
    </row>
    <row r="219">
      <c r="A219" s="7"/>
      <c r="B219" s="7"/>
      <c r="C219" s="7"/>
      <c r="D219" s="7"/>
      <c r="E219" s="7"/>
      <c r="F219" s="7"/>
      <c r="G219" s="7"/>
      <c r="H219" s="7"/>
    </row>
    <row r="220">
      <c r="A220" s="7"/>
      <c r="B220" s="7"/>
      <c r="C220" s="7"/>
      <c r="D220" s="7"/>
      <c r="E220" s="7"/>
      <c r="F220" s="7"/>
      <c r="G220" s="7"/>
      <c r="H220" s="7"/>
    </row>
    <row r="221">
      <c r="A221" s="7"/>
      <c r="B221" s="7"/>
      <c r="C221" s="7"/>
      <c r="D221" s="7"/>
      <c r="E221" s="7"/>
      <c r="F221" s="7"/>
      <c r="G221" s="7"/>
      <c r="H221" s="7"/>
    </row>
    <row r="222">
      <c r="A222" s="7"/>
      <c r="B222" s="7"/>
      <c r="C222" s="7"/>
      <c r="D222" s="7"/>
      <c r="E222" s="7"/>
      <c r="F222" s="7"/>
      <c r="G222" s="7"/>
      <c r="H222" s="7"/>
    </row>
    <row r="223">
      <c r="A223" s="7"/>
      <c r="B223" s="7"/>
      <c r="C223" s="7"/>
      <c r="D223" s="7"/>
      <c r="E223" s="7"/>
      <c r="F223" s="7"/>
      <c r="G223" s="7"/>
      <c r="H223" s="7"/>
    </row>
    <row r="224">
      <c r="A224" s="7"/>
      <c r="B224" s="7"/>
      <c r="C224" s="7"/>
      <c r="D224" s="7"/>
      <c r="E224" s="7"/>
      <c r="F224" s="7"/>
      <c r="G224" s="7"/>
      <c r="H224" s="7"/>
    </row>
    <row r="225">
      <c r="A225" s="7"/>
      <c r="B225" s="7"/>
      <c r="C225" s="7"/>
      <c r="D225" s="7"/>
      <c r="E225" s="7"/>
      <c r="F225" s="7"/>
      <c r="G225" s="7"/>
      <c r="H225" s="7"/>
    </row>
    <row r="226">
      <c r="A226" s="7"/>
      <c r="B226" s="7"/>
      <c r="C226" s="7"/>
      <c r="D226" s="7"/>
      <c r="E226" s="7"/>
      <c r="F226" s="7"/>
      <c r="G226" s="7"/>
      <c r="H226" s="7"/>
    </row>
    <row r="227">
      <c r="A227" s="7"/>
      <c r="B227" s="7"/>
      <c r="C227" s="7"/>
      <c r="D227" s="7"/>
      <c r="E227" s="7"/>
      <c r="F227" s="7"/>
      <c r="G227" s="7"/>
      <c r="H227" s="7"/>
    </row>
    <row r="228">
      <c r="A228" s="7"/>
      <c r="B228" s="7"/>
      <c r="C228" s="7"/>
      <c r="D228" s="7"/>
      <c r="E228" s="7"/>
      <c r="F228" s="7"/>
      <c r="G228" s="7"/>
      <c r="H228" s="7"/>
    </row>
    <row r="229">
      <c r="A229" s="7"/>
      <c r="B229" s="7"/>
      <c r="C229" s="7"/>
      <c r="D229" s="7"/>
      <c r="E229" s="7"/>
      <c r="F229" s="7"/>
      <c r="G229" s="7"/>
      <c r="H229" s="7"/>
    </row>
    <row r="230">
      <c r="A230" s="7"/>
      <c r="B230" s="7"/>
      <c r="C230" s="7"/>
      <c r="D230" s="7"/>
      <c r="E230" s="7"/>
      <c r="F230" s="7"/>
      <c r="G230" s="7"/>
      <c r="H230" s="7"/>
    </row>
    <row r="231">
      <c r="A231" s="7"/>
      <c r="B231" s="7"/>
      <c r="C231" s="7"/>
      <c r="D231" s="7"/>
      <c r="E231" s="7"/>
      <c r="F231" s="7"/>
      <c r="G231" s="7"/>
      <c r="H231" s="7"/>
    </row>
    <row r="232">
      <c r="A232" s="7"/>
      <c r="B232" s="7"/>
      <c r="C232" s="7"/>
      <c r="D232" s="7"/>
      <c r="E232" s="7"/>
      <c r="F232" s="7"/>
      <c r="G232" s="7"/>
      <c r="H232" s="7"/>
    </row>
    <row r="233">
      <c r="A233" s="7"/>
      <c r="B233" s="7"/>
      <c r="C233" s="7"/>
      <c r="D233" s="7"/>
      <c r="E233" s="7"/>
      <c r="F233" s="7"/>
      <c r="G233" s="7"/>
      <c r="H233" s="7"/>
    </row>
    <row r="234">
      <c r="A234" s="7"/>
      <c r="B234" s="7"/>
      <c r="C234" s="7"/>
      <c r="D234" s="7"/>
      <c r="E234" s="7"/>
      <c r="F234" s="7"/>
      <c r="G234" s="7"/>
      <c r="H234" s="7"/>
    </row>
    <row r="235">
      <c r="A235" s="7"/>
      <c r="B235" s="7"/>
      <c r="C235" s="7"/>
      <c r="D235" s="7"/>
      <c r="E235" s="7"/>
      <c r="F235" s="7"/>
      <c r="G235" s="7"/>
      <c r="H235" s="7"/>
    </row>
    <row r="236">
      <c r="A236" s="7"/>
      <c r="B236" s="7"/>
      <c r="C236" s="7"/>
      <c r="D236" s="7"/>
      <c r="E236" s="7"/>
      <c r="F236" s="7"/>
      <c r="G236" s="7"/>
      <c r="H236" s="7"/>
    </row>
    <row r="237">
      <c r="A237" s="7"/>
      <c r="B237" s="7"/>
      <c r="C237" s="7"/>
      <c r="D237" s="7"/>
      <c r="E237" s="7"/>
      <c r="F237" s="7"/>
      <c r="G237" s="7"/>
      <c r="H237" s="7"/>
    </row>
    <row r="238">
      <c r="A238" s="7"/>
      <c r="B238" s="7"/>
      <c r="C238" s="7"/>
      <c r="D238" s="7"/>
      <c r="E238" s="7"/>
      <c r="F238" s="7"/>
      <c r="G238" s="7"/>
      <c r="H238" s="7"/>
    </row>
    <row r="239">
      <c r="A239" s="7"/>
      <c r="B239" s="7"/>
      <c r="C239" s="7"/>
      <c r="D239" s="7"/>
      <c r="E239" s="7"/>
      <c r="F239" s="7"/>
      <c r="G239" s="7"/>
      <c r="H239" s="7"/>
    </row>
    <row r="240">
      <c r="A240" s="7"/>
      <c r="B240" s="7"/>
      <c r="C240" s="7"/>
      <c r="D240" s="7"/>
      <c r="E240" s="7"/>
      <c r="F240" s="7"/>
      <c r="G240" s="7"/>
      <c r="H240" s="7"/>
    </row>
    <row r="241">
      <c r="A241" s="7"/>
      <c r="B241" s="7"/>
      <c r="C241" s="7"/>
      <c r="D241" s="7"/>
      <c r="E241" s="7"/>
      <c r="F241" s="7"/>
      <c r="G241" s="7"/>
      <c r="H241" s="7"/>
    </row>
    <row r="242">
      <c r="A242" s="7"/>
      <c r="B242" s="7"/>
      <c r="C242" s="7"/>
      <c r="D242" s="7"/>
      <c r="E242" s="7"/>
      <c r="F242" s="7"/>
      <c r="G242" s="7"/>
      <c r="H242" s="7"/>
    </row>
    <row r="243">
      <c r="A243" s="7"/>
      <c r="B243" s="7"/>
      <c r="C243" s="7"/>
      <c r="D243" s="7"/>
      <c r="E243" s="7"/>
      <c r="F243" s="7"/>
      <c r="G243" s="7"/>
      <c r="H243" s="7"/>
    </row>
    <row r="244">
      <c r="A244" s="7"/>
      <c r="B244" s="7"/>
      <c r="C244" s="7"/>
      <c r="D244" s="7"/>
      <c r="E244" s="7"/>
      <c r="F244" s="7"/>
      <c r="G244" s="7"/>
      <c r="H244" s="7"/>
    </row>
    <row r="245">
      <c r="A245" s="7"/>
      <c r="B245" s="7"/>
      <c r="C245" s="7"/>
      <c r="D245" s="7"/>
      <c r="E245" s="7"/>
      <c r="F245" s="7"/>
      <c r="G245" s="7"/>
      <c r="H245" s="7"/>
    </row>
    <row r="246">
      <c r="A246" s="7"/>
      <c r="B246" s="7"/>
      <c r="C246" s="7"/>
      <c r="D246" s="7"/>
      <c r="E246" s="7"/>
      <c r="F246" s="7"/>
      <c r="G246" s="7"/>
      <c r="H246" s="7"/>
    </row>
    <row r="247">
      <c r="A247" s="7"/>
      <c r="B247" s="7"/>
      <c r="C247" s="7"/>
      <c r="D247" s="7"/>
      <c r="E247" s="7"/>
      <c r="F247" s="7"/>
      <c r="G247" s="7"/>
      <c r="H247" s="7"/>
    </row>
    <row r="248">
      <c r="A248" s="7"/>
      <c r="B248" s="7"/>
      <c r="C248" s="7"/>
      <c r="D248" s="7"/>
      <c r="E248" s="7"/>
      <c r="F248" s="7"/>
      <c r="G248" s="7"/>
      <c r="H248" s="7"/>
    </row>
    <row r="249">
      <c r="A249" s="7"/>
      <c r="B249" s="7"/>
      <c r="C249" s="7"/>
      <c r="D249" s="7"/>
      <c r="E249" s="7"/>
      <c r="F249" s="7"/>
      <c r="G249" s="7"/>
      <c r="H249" s="7"/>
    </row>
    <row r="250">
      <c r="A250" s="7"/>
      <c r="B250" s="7"/>
      <c r="C250" s="7"/>
      <c r="D250" s="7"/>
      <c r="E250" s="7"/>
      <c r="F250" s="7"/>
      <c r="G250" s="7"/>
      <c r="H250" s="7"/>
    </row>
    <row r="251">
      <c r="A251" s="7"/>
      <c r="B251" s="7"/>
      <c r="C251" s="7"/>
      <c r="D251" s="7"/>
      <c r="E251" s="7"/>
      <c r="F251" s="7"/>
      <c r="G251" s="7"/>
      <c r="H251" s="7"/>
    </row>
    <row r="252">
      <c r="A252" s="7"/>
      <c r="B252" s="7"/>
      <c r="C252" s="7"/>
      <c r="D252" s="7"/>
      <c r="E252" s="7"/>
      <c r="F252" s="7"/>
      <c r="G252" s="7"/>
      <c r="H252" s="7"/>
    </row>
    <row r="253">
      <c r="A253" s="7"/>
      <c r="B253" s="7"/>
      <c r="C253" s="7"/>
      <c r="D253" s="7"/>
      <c r="E253" s="7"/>
      <c r="F253" s="7"/>
      <c r="G253" s="7"/>
      <c r="H253" s="7"/>
    </row>
    <row r="254">
      <c r="A254" s="7"/>
      <c r="B254" s="7"/>
      <c r="C254" s="7"/>
      <c r="D254" s="7"/>
      <c r="E254" s="7"/>
      <c r="F254" s="7"/>
      <c r="G254" s="7"/>
      <c r="H254" s="7"/>
    </row>
    <row r="255">
      <c r="A255" s="7"/>
      <c r="B255" s="7"/>
      <c r="C255" s="7"/>
      <c r="D255" s="7"/>
      <c r="E255" s="7"/>
      <c r="F255" s="7"/>
      <c r="G255" s="7"/>
      <c r="H255" s="7"/>
    </row>
    <row r="256">
      <c r="A256" s="7"/>
      <c r="B256" s="7"/>
      <c r="C256" s="7"/>
      <c r="D256" s="7"/>
      <c r="E256" s="7"/>
      <c r="F256" s="7"/>
      <c r="G256" s="7"/>
      <c r="H256" s="7"/>
    </row>
    <row r="257">
      <c r="A257" s="7"/>
      <c r="B257" s="7"/>
      <c r="C257" s="7"/>
      <c r="D257" s="7"/>
      <c r="E257" s="7"/>
      <c r="F257" s="7"/>
      <c r="G257" s="7"/>
      <c r="H257" s="7"/>
    </row>
    <row r="258">
      <c r="A258" s="7"/>
      <c r="B258" s="7"/>
      <c r="C258" s="7"/>
      <c r="D258" s="7"/>
      <c r="E258" s="7"/>
      <c r="F258" s="7"/>
      <c r="G258" s="7"/>
      <c r="H258" s="7"/>
    </row>
    <row r="259">
      <c r="A259" s="7"/>
      <c r="B259" s="7"/>
      <c r="C259" s="7"/>
      <c r="D259" s="7"/>
      <c r="E259" s="7"/>
      <c r="F259" s="7"/>
      <c r="G259" s="7"/>
      <c r="H259" s="7"/>
    </row>
    <row r="260">
      <c r="A260" s="7"/>
      <c r="B260" s="7"/>
      <c r="C260" s="7"/>
      <c r="D260" s="7"/>
      <c r="E260" s="7"/>
      <c r="F260" s="7"/>
      <c r="G260" s="7"/>
      <c r="H260" s="7"/>
    </row>
    <row r="261">
      <c r="A261" s="7"/>
      <c r="B261" s="7"/>
      <c r="C261" s="7"/>
      <c r="D261" s="7"/>
      <c r="E261" s="7"/>
      <c r="F261" s="7"/>
      <c r="G261" s="7"/>
      <c r="H261" s="7"/>
    </row>
    <row r="262">
      <c r="A262" s="7"/>
      <c r="B262" s="7"/>
      <c r="C262" s="7"/>
      <c r="D262" s="7"/>
      <c r="E262" s="7"/>
      <c r="F262" s="7"/>
      <c r="G262" s="7"/>
      <c r="H262" s="7"/>
    </row>
    <row r="263">
      <c r="A263" s="7"/>
      <c r="B263" s="7"/>
      <c r="C263" s="7"/>
      <c r="D263" s="7"/>
      <c r="E263" s="7"/>
      <c r="F263" s="7"/>
      <c r="G263" s="7"/>
      <c r="H263" s="7"/>
    </row>
    <row r="264">
      <c r="A264" s="7"/>
      <c r="B264" s="7"/>
      <c r="C264" s="7"/>
      <c r="D264" s="7"/>
      <c r="E264" s="7"/>
      <c r="F264" s="7"/>
      <c r="G264" s="7"/>
      <c r="H264" s="7"/>
    </row>
    <row r="265">
      <c r="A265" s="7"/>
      <c r="B265" s="7"/>
      <c r="C265" s="7"/>
      <c r="D265" s="7"/>
      <c r="E265" s="7"/>
      <c r="F265" s="7"/>
      <c r="G265" s="7"/>
      <c r="H265" s="7"/>
    </row>
    <row r="266">
      <c r="A266" s="7"/>
      <c r="B266" s="7"/>
      <c r="C266" s="7"/>
      <c r="D266" s="7"/>
      <c r="E266" s="7"/>
      <c r="F266" s="7"/>
      <c r="G266" s="7"/>
      <c r="H266" s="7"/>
    </row>
    <row r="267">
      <c r="A267" s="7"/>
      <c r="B267" s="7"/>
      <c r="C267" s="7"/>
      <c r="D267" s="7"/>
      <c r="E267" s="7"/>
      <c r="F267" s="7"/>
      <c r="G267" s="7"/>
      <c r="H267" s="7"/>
    </row>
    <row r="268">
      <c r="A268" s="7"/>
      <c r="B268" s="7"/>
      <c r="C268" s="7"/>
      <c r="D268" s="7"/>
      <c r="E268" s="7"/>
      <c r="F268" s="7"/>
      <c r="G268" s="7"/>
      <c r="H268" s="7"/>
    </row>
    <row r="269">
      <c r="A269" s="7"/>
      <c r="B269" s="7"/>
      <c r="C269" s="7"/>
      <c r="D269" s="7"/>
      <c r="E269" s="7"/>
      <c r="F269" s="7"/>
      <c r="G269" s="7"/>
      <c r="H269" s="7"/>
    </row>
    <row r="270">
      <c r="A270" s="7"/>
      <c r="B270" s="7"/>
      <c r="C270" s="7"/>
      <c r="D270" s="7"/>
      <c r="E270" s="7"/>
      <c r="F270" s="7"/>
      <c r="G270" s="7"/>
      <c r="H270" s="7"/>
    </row>
    <row r="271">
      <c r="A271" s="7"/>
      <c r="B271" s="7"/>
      <c r="C271" s="7"/>
      <c r="D271" s="7"/>
      <c r="E271" s="7"/>
      <c r="F271" s="7"/>
      <c r="G271" s="7"/>
      <c r="H271" s="7"/>
    </row>
    <row r="272">
      <c r="A272" s="7"/>
      <c r="B272" s="7"/>
      <c r="C272" s="7"/>
      <c r="D272" s="7"/>
      <c r="E272" s="7"/>
      <c r="F272" s="7"/>
      <c r="G272" s="7"/>
      <c r="H272" s="7"/>
    </row>
    <row r="273">
      <c r="A273" s="7"/>
      <c r="B273" s="7"/>
      <c r="C273" s="7"/>
      <c r="D273" s="7"/>
      <c r="E273" s="7"/>
      <c r="F273" s="7"/>
      <c r="G273" s="7"/>
      <c r="H273" s="7"/>
    </row>
    <row r="274">
      <c r="A274" s="7"/>
      <c r="B274" s="7"/>
      <c r="C274" s="7"/>
      <c r="D274" s="7"/>
      <c r="E274" s="7"/>
      <c r="F274" s="7"/>
      <c r="G274" s="7"/>
      <c r="H274" s="7"/>
    </row>
    <row r="275">
      <c r="A275" s="7"/>
      <c r="B275" s="7"/>
      <c r="C275" s="7"/>
      <c r="D275" s="7"/>
      <c r="E275" s="7"/>
      <c r="F275" s="7"/>
      <c r="G275" s="7"/>
      <c r="H275" s="7"/>
    </row>
    <row r="276">
      <c r="A276" s="7"/>
      <c r="B276" s="7"/>
      <c r="C276" s="7"/>
      <c r="D276" s="7"/>
      <c r="E276" s="7"/>
      <c r="F276" s="7"/>
      <c r="G276" s="7"/>
      <c r="H276" s="7"/>
    </row>
    <row r="277">
      <c r="A277" s="7"/>
      <c r="B277" s="7"/>
      <c r="C277" s="7"/>
      <c r="D277" s="7"/>
      <c r="E277" s="7"/>
      <c r="F277" s="7"/>
      <c r="G277" s="7"/>
      <c r="H277" s="7"/>
    </row>
    <row r="278">
      <c r="A278" s="7"/>
      <c r="B278" s="7"/>
      <c r="C278" s="7"/>
      <c r="D278" s="7"/>
      <c r="E278" s="7"/>
      <c r="F278" s="7"/>
      <c r="G278" s="7"/>
      <c r="H278" s="7"/>
    </row>
    <row r="279">
      <c r="A279" s="7"/>
      <c r="B279" s="7"/>
      <c r="C279" s="7"/>
      <c r="D279" s="7"/>
      <c r="E279" s="7"/>
      <c r="F279" s="7"/>
      <c r="G279" s="7"/>
      <c r="H279" s="7"/>
    </row>
    <row r="280">
      <c r="A280" s="7"/>
      <c r="B280" s="7"/>
      <c r="C280" s="7"/>
      <c r="D280" s="7"/>
      <c r="E280" s="7"/>
      <c r="F280" s="7"/>
      <c r="G280" s="7"/>
      <c r="H280" s="7"/>
    </row>
    <row r="281">
      <c r="A281" s="7"/>
      <c r="B281" s="7"/>
      <c r="C281" s="7"/>
      <c r="D281" s="7"/>
      <c r="E281" s="7"/>
      <c r="F281" s="7"/>
      <c r="G281" s="7"/>
      <c r="H281" s="7"/>
    </row>
    <row r="282">
      <c r="A282" s="7"/>
      <c r="B282" s="7"/>
      <c r="C282" s="7"/>
      <c r="D282" s="7"/>
      <c r="E282" s="7"/>
      <c r="F282" s="7"/>
      <c r="G282" s="7"/>
      <c r="H282" s="7"/>
    </row>
    <row r="283">
      <c r="A283" s="7"/>
      <c r="B283" s="7"/>
      <c r="C283" s="7"/>
      <c r="D283" s="7"/>
      <c r="E283" s="7"/>
      <c r="F283" s="7"/>
      <c r="G283" s="7"/>
      <c r="H283" s="7"/>
    </row>
    <row r="284">
      <c r="A284" s="7"/>
      <c r="B284" s="7"/>
      <c r="C284" s="7"/>
      <c r="D284" s="7"/>
      <c r="E284" s="7"/>
      <c r="F284" s="7"/>
      <c r="G284" s="7"/>
      <c r="H284" s="7"/>
    </row>
    <row r="285">
      <c r="A285" s="7"/>
      <c r="B285" s="7"/>
      <c r="C285" s="7"/>
      <c r="D285" s="7"/>
      <c r="E285" s="7"/>
      <c r="F285" s="7"/>
      <c r="G285" s="7"/>
      <c r="H285" s="7"/>
    </row>
    <row r="286">
      <c r="A286" s="7"/>
      <c r="B286" s="7"/>
      <c r="C286" s="7"/>
      <c r="D286" s="7"/>
      <c r="E286" s="7"/>
      <c r="F286" s="7"/>
      <c r="G286" s="7"/>
      <c r="H286" s="7"/>
    </row>
    <row r="287">
      <c r="A287" s="7"/>
      <c r="B287" s="7"/>
      <c r="C287" s="7"/>
      <c r="D287" s="7"/>
      <c r="E287" s="7"/>
      <c r="F287" s="7"/>
      <c r="G287" s="7"/>
      <c r="H287" s="7"/>
    </row>
    <row r="288">
      <c r="A288" s="7"/>
      <c r="B288" s="7"/>
      <c r="C288" s="7"/>
      <c r="D288" s="7"/>
      <c r="E288" s="7"/>
      <c r="F288" s="7"/>
      <c r="G288" s="7"/>
      <c r="H288" s="7"/>
    </row>
    <row r="289">
      <c r="A289" s="7"/>
      <c r="B289" s="7"/>
      <c r="C289" s="7"/>
      <c r="D289" s="7"/>
      <c r="E289" s="7"/>
      <c r="F289" s="7"/>
      <c r="G289" s="7"/>
      <c r="H289" s="7"/>
    </row>
    <row r="290">
      <c r="A290" s="7"/>
      <c r="B290" s="7"/>
      <c r="C290" s="7"/>
      <c r="D290" s="7"/>
      <c r="E290" s="7"/>
      <c r="F290" s="7"/>
      <c r="G290" s="7"/>
      <c r="H290" s="7"/>
    </row>
    <row r="291">
      <c r="A291" s="7"/>
      <c r="B291" s="7"/>
      <c r="C291" s="7"/>
      <c r="D291" s="7"/>
      <c r="E291" s="7"/>
      <c r="F291" s="7"/>
      <c r="G291" s="7"/>
      <c r="H291" s="7"/>
    </row>
    <row r="292">
      <c r="A292" s="7"/>
      <c r="B292" s="7"/>
      <c r="C292" s="7"/>
      <c r="D292" s="7"/>
      <c r="E292" s="7"/>
      <c r="F292" s="7"/>
      <c r="G292" s="7"/>
      <c r="H292" s="7"/>
    </row>
    <row r="293">
      <c r="A293" s="7"/>
      <c r="B293" s="7"/>
      <c r="C293" s="7"/>
      <c r="D293" s="7"/>
      <c r="E293" s="7"/>
      <c r="F293" s="7"/>
      <c r="G293" s="7"/>
      <c r="H293" s="7"/>
    </row>
    <row r="294">
      <c r="A294" s="7"/>
      <c r="B294" s="7"/>
      <c r="C294" s="7"/>
      <c r="D294" s="7"/>
      <c r="E294" s="7"/>
      <c r="F294" s="7"/>
      <c r="G294" s="7"/>
      <c r="H294" s="7"/>
    </row>
    <row r="295">
      <c r="A295" s="7"/>
      <c r="B295" s="7"/>
      <c r="C295" s="7"/>
      <c r="D295" s="7"/>
      <c r="E295" s="7"/>
      <c r="F295" s="7"/>
      <c r="G295" s="7"/>
      <c r="H295" s="7"/>
    </row>
    <row r="296">
      <c r="A296" s="7"/>
      <c r="B296" s="7"/>
      <c r="C296" s="7"/>
      <c r="D296" s="7"/>
      <c r="E296" s="7"/>
      <c r="F296" s="7"/>
      <c r="G296" s="7"/>
      <c r="H296" s="7"/>
    </row>
    <row r="297">
      <c r="A297" s="7"/>
      <c r="B297" s="7"/>
      <c r="C297" s="7"/>
      <c r="D297" s="7"/>
      <c r="E297" s="7"/>
      <c r="F297" s="7"/>
      <c r="G297" s="7"/>
      <c r="H297" s="7"/>
    </row>
    <row r="298">
      <c r="A298" s="7"/>
      <c r="B298" s="7"/>
      <c r="C298" s="7"/>
      <c r="D298" s="7"/>
      <c r="E298" s="7"/>
      <c r="F298" s="7"/>
      <c r="G298" s="7"/>
      <c r="H298" s="7"/>
    </row>
    <row r="299">
      <c r="A299" s="7"/>
      <c r="B299" s="7"/>
      <c r="C299" s="7"/>
      <c r="D299" s="7"/>
      <c r="E299" s="7"/>
      <c r="F299" s="7"/>
      <c r="G299" s="7"/>
      <c r="H299" s="7"/>
    </row>
    <row r="300">
      <c r="A300" s="7"/>
      <c r="B300" s="7"/>
      <c r="C300" s="7"/>
      <c r="D300" s="7"/>
      <c r="E300" s="7"/>
      <c r="F300" s="7"/>
      <c r="G300" s="7"/>
      <c r="H300" s="7"/>
    </row>
    <row r="301">
      <c r="A301" s="7"/>
      <c r="B301" s="7"/>
      <c r="C301" s="7"/>
      <c r="D301" s="7"/>
      <c r="E301" s="7"/>
      <c r="F301" s="7"/>
      <c r="G301" s="7"/>
      <c r="H301" s="7"/>
    </row>
    <row r="302">
      <c r="A302" s="7"/>
      <c r="B302" s="7"/>
      <c r="C302" s="7"/>
      <c r="D302" s="7"/>
      <c r="E302" s="7"/>
      <c r="F302" s="7"/>
      <c r="G302" s="7"/>
      <c r="H302" s="7"/>
    </row>
    <row r="303">
      <c r="A303" s="7"/>
      <c r="B303" s="7"/>
      <c r="C303" s="7"/>
      <c r="D303" s="7"/>
      <c r="E303" s="7"/>
      <c r="F303" s="7"/>
      <c r="G303" s="7"/>
      <c r="H303" s="7"/>
    </row>
    <row r="304">
      <c r="A304" s="7"/>
      <c r="B304" s="7"/>
      <c r="C304" s="7"/>
      <c r="D304" s="7"/>
      <c r="E304" s="7"/>
      <c r="F304" s="7"/>
      <c r="G304" s="7"/>
      <c r="H304" s="7"/>
    </row>
    <row r="305">
      <c r="A305" s="7"/>
      <c r="B305" s="7"/>
      <c r="C305" s="7"/>
      <c r="D305" s="7"/>
      <c r="E305" s="7"/>
      <c r="F305" s="7"/>
      <c r="G305" s="7"/>
      <c r="H305" s="7"/>
    </row>
    <row r="306">
      <c r="A306" s="7"/>
      <c r="B306" s="7"/>
      <c r="C306" s="7"/>
      <c r="D306" s="7"/>
      <c r="E306" s="7"/>
      <c r="F306" s="7"/>
      <c r="G306" s="7"/>
      <c r="H306" s="7"/>
    </row>
    <row r="307">
      <c r="A307" s="7"/>
      <c r="B307" s="7"/>
      <c r="C307" s="7"/>
      <c r="D307" s="7"/>
      <c r="E307" s="7"/>
      <c r="F307" s="7"/>
      <c r="G307" s="7"/>
      <c r="H307" s="7"/>
    </row>
    <row r="308">
      <c r="A308" s="7"/>
      <c r="B308" s="7"/>
      <c r="C308" s="7"/>
      <c r="D308" s="7"/>
      <c r="E308" s="7"/>
      <c r="F308" s="7"/>
      <c r="G308" s="7"/>
      <c r="H308" s="7"/>
    </row>
    <row r="309">
      <c r="A309" s="7"/>
      <c r="B309" s="7"/>
      <c r="C309" s="7"/>
      <c r="D309" s="7"/>
      <c r="E309" s="7"/>
      <c r="F309" s="7"/>
      <c r="G309" s="7"/>
      <c r="H309" s="7"/>
    </row>
    <row r="310">
      <c r="A310" s="7"/>
      <c r="B310" s="7"/>
      <c r="C310" s="7"/>
      <c r="D310" s="7"/>
      <c r="E310" s="7"/>
      <c r="F310" s="7"/>
      <c r="G310" s="7"/>
      <c r="H310" s="7"/>
    </row>
    <row r="311">
      <c r="A311" s="7"/>
      <c r="B311" s="7"/>
      <c r="C311" s="7"/>
      <c r="D311" s="7"/>
      <c r="E311" s="7"/>
      <c r="F311" s="7"/>
      <c r="G311" s="7"/>
      <c r="H311" s="7"/>
    </row>
    <row r="312">
      <c r="A312" s="7"/>
      <c r="B312" s="7"/>
      <c r="C312" s="7"/>
      <c r="D312" s="7"/>
      <c r="E312" s="7"/>
      <c r="F312" s="7"/>
      <c r="G312" s="7"/>
      <c r="H312" s="7"/>
    </row>
    <row r="313">
      <c r="A313" s="7"/>
      <c r="B313" s="7"/>
      <c r="C313" s="7"/>
      <c r="D313" s="7"/>
      <c r="E313" s="7"/>
      <c r="F313" s="7"/>
      <c r="G313" s="7"/>
      <c r="H313" s="7"/>
    </row>
    <row r="314">
      <c r="A314" s="7"/>
      <c r="B314" s="7"/>
      <c r="C314" s="7"/>
      <c r="D314" s="7"/>
      <c r="E314" s="7"/>
      <c r="F314" s="7"/>
      <c r="G314" s="7"/>
      <c r="H314" s="7"/>
    </row>
    <row r="315">
      <c r="A315" s="7"/>
      <c r="B315" s="7"/>
      <c r="C315" s="7"/>
      <c r="D315" s="7"/>
      <c r="E315" s="7"/>
      <c r="F315" s="7"/>
      <c r="G315" s="7"/>
      <c r="H315" s="7"/>
    </row>
    <row r="316">
      <c r="A316" s="7"/>
      <c r="B316" s="7"/>
      <c r="C316" s="7"/>
      <c r="D316" s="7"/>
      <c r="E316" s="7"/>
      <c r="F316" s="7"/>
      <c r="G316" s="7"/>
      <c r="H316" s="7"/>
    </row>
    <row r="317">
      <c r="A317" s="7"/>
      <c r="B317" s="7"/>
      <c r="C317" s="7"/>
      <c r="D317" s="7"/>
      <c r="E317" s="7"/>
      <c r="F317" s="7"/>
      <c r="G317" s="7"/>
      <c r="H317" s="7"/>
    </row>
    <row r="318">
      <c r="A318" s="7"/>
      <c r="B318" s="7"/>
      <c r="C318" s="7"/>
      <c r="D318" s="7"/>
      <c r="E318" s="7"/>
      <c r="F318" s="7"/>
      <c r="G318" s="7"/>
      <c r="H318" s="7"/>
    </row>
    <row r="319">
      <c r="A319" s="7"/>
      <c r="B319" s="7"/>
      <c r="C319" s="7"/>
      <c r="D319" s="7"/>
      <c r="E319" s="7"/>
      <c r="F319" s="7"/>
      <c r="G319" s="7"/>
      <c r="H319" s="7"/>
    </row>
    <row r="320">
      <c r="A320" s="7"/>
      <c r="B320" s="7"/>
      <c r="C320" s="7"/>
      <c r="D320" s="7"/>
      <c r="E320" s="7"/>
      <c r="F320" s="7"/>
      <c r="G320" s="7"/>
      <c r="H320" s="7"/>
    </row>
    <row r="321">
      <c r="A321" s="7"/>
      <c r="B321" s="7"/>
      <c r="C321" s="7"/>
      <c r="D321" s="7"/>
      <c r="E321" s="7"/>
      <c r="F321" s="7"/>
      <c r="G321" s="7"/>
      <c r="H321" s="7"/>
    </row>
    <row r="322">
      <c r="A322" s="7"/>
      <c r="B322" s="7"/>
      <c r="C322" s="7"/>
      <c r="D322" s="7"/>
      <c r="E322" s="7"/>
      <c r="F322" s="7"/>
      <c r="G322" s="7"/>
      <c r="H322" s="7"/>
    </row>
    <row r="323">
      <c r="A323" s="7"/>
      <c r="B323" s="7"/>
      <c r="C323" s="7"/>
      <c r="D323" s="7"/>
      <c r="E323" s="7"/>
      <c r="F323" s="7"/>
      <c r="G323" s="7"/>
      <c r="H323" s="7"/>
    </row>
    <row r="324">
      <c r="A324" s="7"/>
      <c r="B324" s="7"/>
      <c r="C324" s="7"/>
      <c r="D324" s="7"/>
      <c r="E324" s="7"/>
      <c r="F324" s="7"/>
      <c r="G324" s="7"/>
      <c r="H324" s="7"/>
    </row>
    <row r="325">
      <c r="A325" s="7"/>
      <c r="B325" s="7"/>
      <c r="C325" s="7"/>
      <c r="D325" s="7"/>
      <c r="E325" s="7"/>
      <c r="F325" s="7"/>
      <c r="G325" s="7"/>
      <c r="H325" s="7"/>
    </row>
    <row r="326">
      <c r="A326" s="7"/>
      <c r="B326" s="7"/>
      <c r="C326" s="7"/>
      <c r="D326" s="7"/>
      <c r="E326" s="7"/>
      <c r="F326" s="7"/>
      <c r="G326" s="7"/>
      <c r="H326" s="7"/>
    </row>
    <row r="327">
      <c r="A327" s="7"/>
      <c r="B327" s="7"/>
      <c r="C327" s="7"/>
      <c r="D327" s="7"/>
      <c r="E327" s="7"/>
      <c r="F327" s="7"/>
      <c r="G327" s="7"/>
      <c r="H327" s="7"/>
    </row>
    <row r="328">
      <c r="A328" s="7"/>
      <c r="B328" s="7"/>
      <c r="C328" s="7"/>
      <c r="D328" s="7"/>
      <c r="E328" s="7"/>
      <c r="F328" s="7"/>
      <c r="G328" s="7"/>
      <c r="H328" s="7"/>
    </row>
    <row r="329">
      <c r="A329" s="7"/>
      <c r="B329" s="7"/>
      <c r="C329" s="7"/>
      <c r="D329" s="7"/>
      <c r="E329" s="7"/>
      <c r="F329" s="7"/>
      <c r="G329" s="7"/>
      <c r="H329" s="7"/>
    </row>
    <row r="330">
      <c r="A330" s="7"/>
      <c r="B330" s="7"/>
      <c r="C330" s="7"/>
      <c r="D330" s="7"/>
      <c r="E330" s="7"/>
      <c r="F330" s="7"/>
      <c r="G330" s="7"/>
      <c r="H330" s="7"/>
    </row>
    <row r="331">
      <c r="A331" s="7"/>
      <c r="B331" s="7"/>
      <c r="C331" s="7"/>
      <c r="D331" s="7"/>
      <c r="E331" s="7"/>
      <c r="F331" s="7"/>
      <c r="G331" s="7"/>
      <c r="H331" s="7"/>
    </row>
    <row r="332">
      <c r="A332" s="7"/>
      <c r="B332" s="7"/>
      <c r="C332" s="7"/>
      <c r="D332" s="7"/>
      <c r="E332" s="7"/>
      <c r="F332" s="7"/>
      <c r="G332" s="7"/>
      <c r="H332" s="7"/>
    </row>
    <row r="333">
      <c r="A333" s="7"/>
      <c r="B333" s="7"/>
      <c r="C333" s="7"/>
      <c r="D333" s="7"/>
      <c r="E333" s="7"/>
      <c r="F333" s="7"/>
      <c r="G333" s="7"/>
      <c r="H333" s="7"/>
    </row>
    <row r="334">
      <c r="A334" s="7"/>
      <c r="B334" s="7"/>
      <c r="C334" s="7"/>
      <c r="D334" s="7"/>
      <c r="E334" s="7"/>
      <c r="F334" s="7"/>
      <c r="G334" s="7"/>
      <c r="H334" s="7"/>
    </row>
    <row r="335">
      <c r="A335" s="7"/>
      <c r="B335" s="7"/>
      <c r="C335" s="7"/>
      <c r="D335" s="7"/>
      <c r="E335" s="7"/>
      <c r="F335" s="7"/>
      <c r="G335" s="7"/>
      <c r="H335" s="7"/>
    </row>
    <row r="336">
      <c r="A336" s="7"/>
      <c r="B336" s="7"/>
      <c r="C336" s="7"/>
      <c r="D336" s="7"/>
      <c r="E336" s="7"/>
      <c r="F336" s="7"/>
      <c r="G336" s="7"/>
      <c r="H336" s="7"/>
    </row>
    <row r="337">
      <c r="A337" s="7"/>
      <c r="B337" s="7"/>
      <c r="C337" s="7"/>
      <c r="D337" s="7"/>
      <c r="E337" s="7"/>
      <c r="F337" s="7"/>
      <c r="G337" s="7"/>
      <c r="H337" s="7"/>
    </row>
    <row r="338">
      <c r="A338" s="7"/>
      <c r="B338" s="7"/>
      <c r="C338" s="7"/>
      <c r="D338" s="7"/>
      <c r="E338" s="7"/>
      <c r="F338" s="7"/>
      <c r="G338" s="7"/>
      <c r="H338" s="7"/>
    </row>
    <row r="339">
      <c r="A339" s="7"/>
      <c r="B339" s="7"/>
      <c r="C339" s="7"/>
      <c r="D339" s="7"/>
      <c r="E339" s="7"/>
      <c r="F339" s="7"/>
      <c r="G339" s="7"/>
      <c r="H339" s="7"/>
    </row>
    <row r="340">
      <c r="A340" s="7"/>
      <c r="B340" s="7"/>
      <c r="C340" s="7"/>
      <c r="D340" s="7"/>
      <c r="E340" s="7"/>
      <c r="F340" s="7"/>
      <c r="G340" s="7"/>
      <c r="H340" s="7"/>
    </row>
    <row r="341">
      <c r="A341" s="7"/>
      <c r="B341" s="7"/>
      <c r="C341" s="7"/>
      <c r="D341" s="7"/>
      <c r="E341" s="7"/>
      <c r="F341" s="7"/>
      <c r="G341" s="7"/>
      <c r="H341" s="7"/>
    </row>
    <row r="342">
      <c r="A342" s="7"/>
      <c r="B342" s="7"/>
      <c r="C342" s="7"/>
      <c r="D342" s="7"/>
      <c r="E342" s="7"/>
      <c r="F342" s="7"/>
      <c r="G342" s="7"/>
      <c r="H342" s="7"/>
    </row>
    <row r="343">
      <c r="A343" s="7"/>
      <c r="B343" s="7"/>
      <c r="C343" s="7"/>
      <c r="D343" s="7"/>
      <c r="E343" s="7"/>
      <c r="F343" s="7"/>
      <c r="G343" s="7"/>
      <c r="H343" s="7"/>
    </row>
    <row r="344">
      <c r="A344" s="7"/>
      <c r="B344" s="7"/>
      <c r="C344" s="7"/>
      <c r="D344" s="7"/>
      <c r="E344" s="7"/>
      <c r="F344" s="7"/>
      <c r="G344" s="7"/>
      <c r="H344" s="7"/>
    </row>
    <row r="345">
      <c r="A345" s="7"/>
      <c r="B345" s="7"/>
      <c r="C345" s="7"/>
      <c r="D345" s="7"/>
      <c r="E345" s="7"/>
      <c r="F345" s="7"/>
      <c r="G345" s="7"/>
      <c r="H345" s="7"/>
    </row>
    <row r="346">
      <c r="A346" s="7"/>
      <c r="B346" s="7"/>
      <c r="C346" s="7"/>
      <c r="D346" s="7"/>
      <c r="E346" s="7"/>
      <c r="F346" s="7"/>
      <c r="G346" s="7"/>
      <c r="H346" s="7"/>
    </row>
    <row r="347">
      <c r="A347" s="7"/>
      <c r="B347" s="7"/>
      <c r="C347" s="7"/>
      <c r="D347" s="7"/>
      <c r="E347" s="7"/>
      <c r="F347" s="7"/>
      <c r="G347" s="7"/>
      <c r="H347" s="7"/>
    </row>
    <row r="348">
      <c r="A348" s="7"/>
      <c r="B348" s="7"/>
      <c r="C348" s="7"/>
      <c r="D348" s="7"/>
      <c r="E348" s="7"/>
      <c r="F348" s="7"/>
      <c r="G348" s="7"/>
      <c r="H348" s="7"/>
    </row>
    <row r="349">
      <c r="A349" s="7"/>
      <c r="B349" s="7"/>
      <c r="C349" s="7"/>
      <c r="D349" s="7"/>
      <c r="E349" s="7"/>
      <c r="F349" s="7"/>
      <c r="G349" s="7"/>
      <c r="H349" s="7"/>
    </row>
    <row r="350">
      <c r="A350" s="7"/>
      <c r="B350" s="7"/>
      <c r="C350" s="7"/>
      <c r="D350" s="7"/>
      <c r="E350" s="7"/>
      <c r="F350" s="7"/>
      <c r="G350" s="7"/>
      <c r="H350" s="7"/>
    </row>
    <row r="351">
      <c r="A351" s="7"/>
      <c r="B351" s="7"/>
      <c r="C351" s="7"/>
      <c r="D351" s="7"/>
      <c r="E351" s="7"/>
      <c r="F351" s="7"/>
      <c r="G351" s="7"/>
      <c r="H351" s="7"/>
    </row>
    <row r="352">
      <c r="A352" s="7"/>
      <c r="B352" s="7"/>
      <c r="C352" s="7"/>
      <c r="D352" s="7"/>
      <c r="E352" s="7"/>
      <c r="F352" s="7"/>
      <c r="G352" s="7"/>
      <c r="H352" s="7"/>
    </row>
    <row r="353">
      <c r="A353" s="7"/>
      <c r="B353" s="7"/>
      <c r="C353" s="7"/>
      <c r="D353" s="7"/>
      <c r="E353" s="7"/>
      <c r="F353" s="7"/>
      <c r="G353" s="7"/>
      <c r="H353" s="7"/>
    </row>
    <row r="354">
      <c r="A354" s="7"/>
      <c r="B354" s="7"/>
      <c r="C354" s="7"/>
      <c r="D354" s="7"/>
      <c r="E354" s="7"/>
      <c r="F354" s="7"/>
      <c r="G354" s="7"/>
      <c r="H354" s="7"/>
    </row>
    <row r="355">
      <c r="A355" s="7"/>
      <c r="B355" s="7"/>
      <c r="C355" s="7"/>
      <c r="D355" s="7"/>
      <c r="E355" s="7"/>
      <c r="F355" s="7"/>
      <c r="G355" s="7"/>
      <c r="H355" s="7"/>
    </row>
    <row r="356">
      <c r="A356" s="7"/>
      <c r="B356" s="7"/>
      <c r="C356" s="7"/>
      <c r="D356" s="7"/>
      <c r="E356" s="7"/>
      <c r="F356" s="7"/>
      <c r="G356" s="7"/>
      <c r="H356" s="7"/>
    </row>
    <row r="357">
      <c r="A357" s="7"/>
      <c r="B357" s="7"/>
      <c r="C357" s="7"/>
      <c r="D357" s="7"/>
      <c r="E357" s="7"/>
      <c r="F357" s="7"/>
      <c r="G357" s="7"/>
      <c r="H357" s="7"/>
    </row>
    <row r="358">
      <c r="A358" s="7"/>
      <c r="B358" s="7"/>
      <c r="C358" s="7"/>
      <c r="D358" s="7"/>
      <c r="E358" s="7"/>
      <c r="F358" s="7"/>
      <c r="G358" s="7"/>
      <c r="H358" s="7"/>
    </row>
    <row r="359">
      <c r="A359" s="7"/>
      <c r="B359" s="7"/>
      <c r="C359" s="7"/>
      <c r="D359" s="7"/>
      <c r="E359" s="7"/>
      <c r="F359" s="7"/>
      <c r="G359" s="7"/>
      <c r="H359" s="7"/>
    </row>
    <row r="360">
      <c r="A360" s="7"/>
      <c r="B360" s="7"/>
      <c r="C360" s="7"/>
      <c r="D360" s="7"/>
      <c r="E360" s="7"/>
      <c r="F360" s="7"/>
      <c r="G360" s="7"/>
      <c r="H360" s="7"/>
    </row>
    <row r="361">
      <c r="A361" s="7"/>
      <c r="B361" s="7"/>
      <c r="C361" s="7"/>
      <c r="D361" s="7"/>
      <c r="E361" s="7"/>
      <c r="F361" s="7"/>
      <c r="G361" s="7"/>
      <c r="H361" s="7"/>
    </row>
    <row r="362">
      <c r="A362" s="7"/>
      <c r="B362" s="7"/>
      <c r="C362" s="7"/>
      <c r="D362" s="7"/>
      <c r="E362" s="7"/>
      <c r="F362" s="7"/>
      <c r="G362" s="7"/>
      <c r="H362" s="7"/>
    </row>
    <row r="363">
      <c r="A363" s="7"/>
      <c r="B363" s="7"/>
      <c r="C363" s="7"/>
      <c r="D363" s="7"/>
      <c r="E363" s="7"/>
      <c r="F363" s="7"/>
      <c r="G363" s="7"/>
      <c r="H363" s="7"/>
    </row>
    <row r="364">
      <c r="A364" s="7"/>
      <c r="B364" s="7"/>
      <c r="C364" s="7"/>
      <c r="D364" s="7"/>
      <c r="E364" s="7"/>
      <c r="F364" s="7"/>
      <c r="G364" s="7"/>
      <c r="H364" s="7"/>
    </row>
    <row r="365">
      <c r="A365" s="7"/>
      <c r="B365" s="7"/>
      <c r="C365" s="7"/>
      <c r="D365" s="7"/>
      <c r="E365" s="7"/>
      <c r="F365" s="7"/>
      <c r="G365" s="7"/>
      <c r="H365" s="7"/>
    </row>
    <row r="366">
      <c r="A366" s="7"/>
      <c r="B366" s="7"/>
      <c r="C366" s="7"/>
      <c r="D366" s="7"/>
      <c r="E366" s="7"/>
      <c r="F366" s="7"/>
      <c r="G366" s="7"/>
      <c r="H366" s="7"/>
    </row>
    <row r="367">
      <c r="A367" s="7"/>
      <c r="B367" s="7"/>
      <c r="C367" s="7"/>
      <c r="D367" s="7"/>
      <c r="E367" s="7"/>
      <c r="F367" s="7"/>
      <c r="G367" s="7"/>
      <c r="H367" s="7"/>
    </row>
    <row r="368">
      <c r="A368" s="7"/>
      <c r="B368" s="7"/>
      <c r="C368" s="7"/>
      <c r="D368" s="7"/>
      <c r="E368" s="7"/>
      <c r="F368" s="7"/>
      <c r="G368" s="7"/>
      <c r="H368" s="7"/>
    </row>
    <row r="369">
      <c r="A369" s="7"/>
      <c r="B369" s="7"/>
      <c r="C369" s="7"/>
      <c r="D369" s="7"/>
      <c r="E369" s="7"/>
      <c r="F369" s="7"/>
      <c r="G369" s="7"/>
      <c r="H369" s="7"/>
    </row>
    <row r="370">
      <c r="A370" s="7"/>
      <c r="B370" s="7"/>
      <c r="C370" s="7"/>
      <c r="D370" s="7"/>
      <c r="E370" s="7"/>
      <c r="F370" s="7"/>
      <c r="G370" s="7"/>
      <c r="H370" s="7"/>
    </row>
    <row r="371">
      <c r="A371" s="7"/>
      <c r="B371" s="7"/>
      <c r="C371" s="7"/>
      <c r="D371" s="7"/>
      <c r="E371" s="7"/>
      <c r="F371" s="7"/>
      <c r="G371" s="7"/>
      <c r="H371" s="7"/>
    </row>
    <row r="372">
      <c r="A372" s="7"/>
      <c r="B372" s="7"/>
      <c r="C372" s="7"/>
      <c r="D372" s="7"/>
      <c r="E372" s="7"/>
      <c r="F372" s="7"/>
      <c r="G372" s="7"/>
      <c r="H372" s="7"/>
    </row>
    <row r="373">
      <c r="A373" s="7"/>
      <c r="B373" s="7"/>
      <c r="C373" s="7"/>
      <c r="D373" s="7"/>
      <c r="E373" s="7"/>
      <c r="F373" s="7"/>
      <c r="G373" s="7"/>
      <c r="H373" s="7"/>
    </row>
    <row r="374">
      <c r="A374" s="7"/>
      <c r="B374" s="7"/>
      <c r="C374" s="7"/>
      <c r="D374" s="7"/>
      <c r="E374" s="7"/>
      <c r="F374" s="7"/>
      <c r="G374" s="7"/>
      <c r="H374" s="7"/>
    </row>
    <row r="375">
      <c r="A375" s="7"/>
      <c r="B375" s="7"/>
      <c r="C375" s="7"/>
      <c r="D375" s="7"/>
      <c r="E375" s="7"/>
      <c r="F375" s="7"/>
      <c r="G375" s="7"/>
      <c r="H375" s="7"/>
    </row>
    <row r="376">
      <c r="A376" s="7"/>
      <c r="B376" s="7"/>
      <c r="C376" s="7"/>
      <c r="D376" s="7"/>
      <c r="E376" s="7"/>
      <c r="F376" s="7"/>
      <c r="G376" s="7"/>
      <c r="H376" s="7"/>
    </row>
    <row r="377">
      <c r="A377" s="7"/>
      <c r="B377" s="7"/>
      <c r="C377" s="7"/>
      <c r="D377" s="7"/>
      <c r="E377" s="7"/>
      <c r="F377" s="7"/>
      <c r="G377" s="7"/>
      <c r="H377" s="7"/>
    </row>
    <row r="378">
      <c r="A378" s="7"/>
      <c r="B378" s="7"/>
      <c r="C378" s="7"/>
      <c r="D378" s="7"/>
      <c r="E378" s="7"/>
      <c r="F378" s="7"/>
      <c r="G378" s="7"/>
      <c r="H378" s="7"/>
    </row>
    <row r="379">
      <c r="A379" s="7"/>
      <c r="B379" s="7"/>
      <c r="C379" s="7"/>
      <c r="D379" s="7"/>
      <c r="E379" s="7"/>
      <c r="F379" s="7"/>
      <c r="G379" s="7"/>
      <c r="H379" s="7"/>
    </row>
    <row r="380">
      <c r="A380" s="7"/>
      <c r="B380" s="7"/>
      <c r="C380" s="7"/>
      <c r="D380" s="7"/>
      <c r="E380" s="7"/>
      <c r="F380" s="7"/>
      <c r="G380" s="7"/>
      <c r="H380" s="7"/>
    </row>
    <row r="381">
      <c r="A381" s="7"/>
      <c r="B381" s="7"/>
      <c r="C381" s="7"/>
      <c r="D381" s="7"/>
      <c r="E381" s="7"/>
      <c r="F381" s="7"/>
      <c r="G381" s="7"/>
      <c r="H381" s="7"/>
    </row>
    <row r="382">
      <c r="A382" s="7"/>
      <c r="B382" s="7"/>
      <c r="C382" s="7"/>
      <c r="D382" s="7"/>
      <c r="E382" s="7"/>
      <c r="F382" s="7"/>
      <c r="G382" s="7"/>
      <c r="H382" s="7"/>
    </row>
    <row r="383">
      <c r="A383" s="7"/>
      <c r="B383" s="7"/>
      <c r="C383" s="7"/>
      <c r="D383" s="7"/>
      <c r="E383" s="7"/>
      <c r="F383" s="7"/>
      <c r="G383" s="7"/>
      <c r="H383" s="7"/>
    </row>
    <row r="384">
      <c r="A384" s="7"/>
      <c r="B384" s="7"/>
      <c r="C384" s="7"/>
      <c r="D384" s="7"/>
      <c r="E384" s="7"/>
      <c r="F384" s="7"/>
      <c r="G384" s="7"/>
      <c r="H384" s="7"/>
    </row>
    <row r="385">
      <c r="A385" s="7"/>
      <c r="B385" s="7"/>
      <c r="C385" s="7"/>
      <c r="D385" s="7"/>
      <c r="E385" s="7"/>
      <c r="F385" s="7"/>
      <c r="G385" s="7"/>
      <c r="H385" s="7"/>
    </row>
    <row r="386">
      <c r="A386" s="7"/>
      <c r="B386" s="7"/>
      <c r="C386" s="7"/>
      <c r="D386" s="7"/>
      <c r="E386" s="7"/>
      <c r="F386" s="7"/>
      <c r="G386" s="7"/>
      <c r="H386" s="7"/>
    </row>
    <row r="387">
      <c r="A387" s="7"/>
      <c r="B387" s="7"/>
      <c r="C387" s="7"/>
      <c r="D387" s="7"/>
      <c r="E387" s="7"/>
      <c r="F387" s="7"/>
      <c r="G387" s="7"/>
      <c r="H387" s="7"/>
    </row>
    <row r="388">
      <c r="A388" s="7"/>
      <c r="B388" s="7"/>
      <c r="C388" s="7"/>
      <c r="D388" s="7"/>
      <c r="E388" s="7"/>
      <c r="F388" s="7"/>
      <c r="G388" s="7"/>
      <c r="H388" s="7"/>
    </row>
    <row r="389">
      <c r="A389" s="7"/>
      <c r="B389" s="7"/>
      <c r="C389" s="7"/>
      <c r="D389" s="7"/>
      <c r="E389" s="7"/>
      <c r="F389" s="7"/>
      <c r="G389" s="7"/>
      <c r="H389" s="7"/>
    </row>
    <row r="390">
      <c r="A390" s="7"/>
      <c r="B390" s="7"/>
      <c r="C390" s="7"/>
      <c r="D390" s="7"/>
      <c r="E390" s="7"/>
      <c r="F390" s="7"/>
      <c r="G390" s="7"/>
      <c r="H390" s="7"/>
    </row>
    <row r="391">
      <c r="A391" s="7"/>
      <c r="B391" s="7"/>
      <c r="C391" s="7"/>
      <c r="D391" s="7"/>
      <c r="E391" s="7"/>
      <c r="F391" s="7"/>
      <c r="G391" s="7"/>
      <c r="H391" s="7"/>
    </row>
    <row r="392">
      <c r="A392" s="7"/>
      <c r="B392" s="7"/>
      <c r="C392" s="7"/>
      <c r="D392" s="7"/>
      <c r="E392" s="7"/>
      <c r="F392" s="7"/>
      <c r="G392" s="7"/>
      <c r="H392" s="7"/>
    </row>
    <row r="393">
      <c r="A393" s="7"/>
      <c r="B393" s="7"/>
      <c r="C393" s="7"/>
      <c r="D393" s="7"/>
      <c r="E393" s="7"/>
      <c r="F393" s="7"/>
      <c r="G393" s="7"/>
      <c r="H393" s="7"/>
    </row>
    <row r="394">
      <c r="A394" s="7"/>
      <c r="B394" s="7"/>
      <c r="C394" s="7"/>
      <c r="D394" s="7"/>
      <c r="E394" s="7"/>
      <c r="F394" s="7"/>
      <c r="G394" s="7"/>
      <c r="H394" s="7"/>
    </row>
    <row r="395">
      <c r="A395" s="7"/>
      <c r="B395" s="7"/>
      <c r="C395" s="7"/>
      <c r="D395" s="7"/>
      <c r="E395" s="7"/>
      <c r="F395" s="7"/>
      <c r="G395" s="7"/>
      <c r="H395" s="7"/>
    </row>
    <row r="396">
      <c r="A396" s="7"/>
      <c r="B396" s="7"/>
      <c r="C396" s="7"/>
      <c r="D396" s="7"/>
      <c r="E396" s="7"/>
      <c r="F396" s="7"/>
      <c r="G396" s="7"/>
      <c r="H396" s="7"/>
    </row>
    <row r="397">
      <c r="A397" s="7"/>
      <c r="B397" s="7"/>
      <c r="C397" s="7"/>
      <c r="D397" s="7"/>
      <c r="E397" s="7"/>
      <c r="F397" s="7"/>
      <c r="G397" s="7"/>
      <c r="H397" s="7"/>
    </row>
    <row r="398">
      <c r="A398" s="7"/>
      <c r="B398" s="7"/>
      <c r="C398" s="7"/>
      <c r="D398" s="7"/>
      <c r="E398" s="7"/>
      <c r="F398" s="7"/>
      <c r="G398" s="7"/>
      <c r="H398" s="7"/>
    </row>
    <row r="399">
      <c r="A399" s="7"/>
      <c r="B399" s="7"/>
      <c r="C399" s="7"/>
      <c r="D399" s="7"/>
      <c r="E399" s="7"/>
      <c r="F399" s="7"/>
      <c r="G399" s="7"/>
      <c r="H399" s="7"/>
    </row>
    <row r="400">
      <c r="A400" s="7"/>
      <c r="B400" s="7"/>
      <c r="C400" s="7"/>
      <c r="D400" s="7"/>
      <c r="E400" s="7"/>
      <c r="F400" s="7"/>
      <c r="G400" s="7"/>
      <c r="H400" s="7"/>
    </row>
    <row r="401">
      <c r="A401" s="7"/>
      <c r="B401" s="7"/>
      <c r="C401" s="7"/>
      <c r="D401" s="7"/>
      <c r="E401" s="7"/>
      <c r="F401" s="7"/>
      <c r="G401" s="7"/>
      <c r="H401" s="7"/>
    </row>
    <row r="402">
      <c r="A402" s="7"/>
      <c r="B402" s="7"/>
      <c r="C402" s="7"/>
      <c r="D402" s="7"/>
      <c r="E402" s="7"/>
      <c r="F402" s="7"/>
      <c r="G402" s="7"/>
      <c r="H402" s="7"/>
    </row>
    <row r="403">
      <c r="A403" s="7"/>
      <c r="B403" s="7"/>
      <c r="C403" s="7"/>
      <c r="D403" s="7"/>
      <c r="E403" s="7"/>
      <c r="F403" s="7"/>
      <c r="G403" s="7"/>
      <c r="H403" s="7"/>
    </row>
    <row r="404">
      <c r="A404" s="7"/>
      <c r="B404" s="7"/>
      <c r="C404" s="7"/>
      <c r="D404" s="7"/>
      <c r="E404" s="7"/>
      <c r="F404" s="7"/>
      <c r="G404" s="7"/>
      <c r="H404" s="7"/>
    </row>
    <row r="405">
      <c r="A405" s="7"/>
      <c r="B405" s="7"/>
      <c r="C405" s="7"/>
      <c r="D405" s="7"/>
      <c r="E405" s="7"/>
      <c r="F405" s="7"/>
      <c r="G405" s="7"/>
      <c r="H405" s="7"/>
    </row>
    <row r="406">
      <c r="A406" s="7"/>
      <c r="B406" s="7"/>
      <c r="C406" s="7"/>
      <c r="D406" s="7"/>
      <c r="E406" s="7"/>
      <c r="F406" s="7"/>
      <c r="G406" s="7"/>
      <c r="H406" s="7"/>
    </row>
    <row r="407">
      <c r="A407" s="7"/>
      <c r="B407" s="7"/>
      <c r="C407" s="7"/>
      <c r="D407" s="7"/>
      <c r="E407" s="7"/>
      <c r="F407" s="7"/>
      <c r="G407" s="7"/>
      <c r="H407" s="7"/>
    </row>
    <row r="408">
      <c r="A408" s="7"/>
      <c r="B408" s="7"/>
      <c r="C408" s="7"/>
      <c r="D408" s="7"/>
      <c r="E408" s="7"/>
      <c r="F408" s="7"/>
      <c r="G408" s="7"/>
      <c r="H408" s="7"/>
    </row>
    <row r="409">
      <c r="A409" s="7"/>
      <c r="B409" s="7"/>
      <c r="C409" s="7"/>
      <c r="D409" s="7"/>
      <c r="E409" s="7"/>
      <c r="F409" s="7"/>
      <c r="G409" s="7"/>
      <c r="H409" s="7"/>
    </row>
    <row r="410">
      <c r="A410" s="7"/>
      <c r="B410" s="7"/>
      <c r="C410" s="7"/>
      <c r="D410" s="7"/>
      <c r="E410" s="7"/>
      <c r="F410" s="7"/>
      <c r="G410" s="7"/>
      <c r="H410" s="7"/>
    </row>
    <row r="411">
      <c r="A411" s="7"/>
      <c r="B411" s="7"/>
      <c r="C411" s="7"/>
      <c r="D411" s="7"/>
      <c r="E411" s="7"/>
      <c r="F411" s="7"/>
      <c r="G411" s="7"/>
      <c r="H411" s="7"/>
    </row>
    <row r="412">
      <c r="A412" s="7"/>
      <c r="B412" s="7"/>
      <c r="C412" s="7"/>
      <c r="D412" s="7"/>
      <c r="E412" s="7"/>
      <c r="F412" s="7"/>
      <c r="G412" s="7"/>
      <c r="H412" s="7"/>
    </row>
    <row r="413">
      <c r="A413" s="7"/>
      <c r="B413" s="7"/>
      <c r="C413" s="7"/>
      <c r="D413" s="7"/>
      <c r="E413" s="7"/>
      <c r="F413" s="7"/>
      <c r="G413" s="7"/>
      <c r="H413" s="7"/>
    </row>
    <row r="414">
      <c r="A414" s="7"/>
      <c r="B414" s="7"/>
      <c r="C414" s="7"/>
      <c r="D414" s="7"/>
      <c r="E414" s="7"/>
      <c r="F414" s="7"/>
      <c r="G414" s="7"/>
      <c r="H414" s="7"/>
    </row>
    <row r="415">
      <c r="A415" s="7"/>
      <c r="B415" s="7"/>
      <c r="C415" s="7"/>
      <c r="D415" s="7"/>
      <c r="E415" s="7"/>
      <c r="F415" s="7"/>
      <c r="G415" s="7"/>
      <c r="H415" s="7"/>
    </row>
    <row r="416">
      <c r="A416" s="7"/>
      <c r="B416" s="7"/>
      <c r="C416" s="7"/>
      <c r="D416" s="7"/>
      <c r="E416" s="7"/>
      <c r="F416" s="7"/>
      <c r="G416" s="7"/>
      <c r="H416" s="7"/>
    </row>
    <row r="417">
      <c r="A417" s="7"/>
      <c r="B417" s="7"/>
      <c r="C417" s="7"/>
      <c r="D417" s="7"/>
      <c r="E417" s="7"/>
      <c r="F417" s="7"/>
      <c r="G417" s="7"/>
      <c r="H417" s="7"/>
    </row>
    <row r="418">
      <c r="A418" s="7"/>
      <c r="B418" s="7"/>
      <c r="C418" s="7"/>
      <c r="D418" s="7"/>
      <c r="E418" s="7"/>
      <c r="F418" s="7"/>
      <c r="G418" s="7"/>
      <c r="H418" s="7"/>
    </row>
    <row r="419">
      <c r="A419" s="7"/>
      <c r="B419" s="7"/>
      <c r="C419" s="7"/>
      <c r="D419" s="7"/>
      <c r="E419" s="7"/>
      <c r="F419" s="7"/>
      <c r="G419" s="7"/>
      <c r="H419" s="7"/>
    </row>
    <row r="420">
      <c r="A420" s="7"/>
      <c r="B420" s="7"/>
      <c r="C420" s="7"/>
      <c r="D420" s="7"/>
      <c r="E420" s="7"/>
      <c r="F420" s="7"/>
      <c r="G420" s="7"/>
      <c r="H420" s="7"/>
    </row>
    <row r="421">
      <c r="A421" s="7"/>
      <c r="B421" s="7"/>
      <c r="C421" s="7"/>
      <c r="D421" s="7"/>
      <c r="E421" s="7"/>
      <c r="F421" s="7"/>
      <c r="G421" s="7"/>
      <c r="H421" s="7"/>
    </row>
    <row r="422">
      <c r="A422" s="7"/>
      <c r="B422" s="7"/>
      <c r="C422" s="7"/>
      <c r="D422" s="7"/>
      <c r="E422" s="7"/>
      <c r="F422" s="7"/>
      <c r="G422" s="7"/>
      <c r="H422" s="7"/>
    </row>
    <row r="423">
      <c r="A423" s="7"/>
      <c r="B423" s="7"/>
      <c r="C423" s="7"/>
      <c r="D423" s="7"/>
      <c r="E423" s="7"/>
      <c r="F423" s="7"/>
      <c r="G423" s="7"/>
      <c r="H423" s="7"/>
    </row>
    <row r="424">
      <c r="A424" s="7"/>
      <c r="B424" s="7"/>
      <c r="C424" s="7"/>
      <c r="D424" s="7"/>
      <c r="E424" s="7"/>
      <c r="F424" s="7"/>
      <c r="G424" s="7"/>
      <c r="H424" s="7"/>
    </row>
    <row r="425">
      <c r="A425" s="7"/>
      <c r="B425" s="7"/>
      <c r="C425" s="7"/>
      <c r="D425" s="7"/>
      <c r="E425" s="7"/>
      <c r="F425" s="7"/>
      <c r="G425" s="7"/>
      <c r="H425" s="7"/>
    </row>
    <row r="426">
      <c r="A426" s="7"/>
      <c r="B426" s="7"/>
      <c r="C426" s="7"/>
      <c r="D426" s="7"/>
      <c r="E426" s="7"/>
      <c r="F426" s="7"/>
      <c r="G426" s="7"/>
      <c r="H426" s="7"/>
    </row>
    <row r="427">
      <c r="A427" s="7"/>
      <c r="B427" s="7"/>
      <c r="C427" s="7"/>
      <c r="D427" s="7"/>
      <c r="E427" s="7"/>
      <c r="F427" s="7"/>
      <c r="G427" s="7"/>
      <c r="H427" s="7"/>
    </row>
    <row r="428">
      <c r="A428" s="7"/>
      <c r="B428" s="7"/>
      <c r="C428" s="7"/>
      <c r="D428" s="7"/>
      <c r="E428" s="7"/>
      <c r="F428" s="7"/>
      <c r="G428" s="7"/>
      <c r="H428" s="7"/>
    </row>
    <row r="429">
      <c r="A429" s="7"/>
      <c r="B429" s="7"/>
      <c r="C429" s="7"/>
      <c r="D429" s="7"/>
      <c r="E429" s="7"/>
      <c r="F429" s="7"/>
      <c r="G429" s="7"/>
      <c r="H429" s="7"/>
    </row>
    <row r="430">
      <c r="A430" s="7"/>
      <c r="B430" s="7"/>
      <c r="C430" s="7"/>
      <c r="D430" s="7"/>
      <c r="E430" s="7"/>
      <c r="F430" s="7"/>
      <c r="G430" s="7"/>
      <c r="H430" s="7"/>
    </row>
    <row r="431">
      <c r="A431" s="7"/>
      <c r="B431" s="7"/>
      <c r="C431" s="7"/>
      <c r="D431" s="7"/>
      <c r="E431" s="7"/>
      <c r="F431" s="7"/>
      <c r="G431" s="7"/>
      <c r="H431" s="7"/>
    </row>
    <row r="432">
      <c r="A432" s="7"/>
      <c r="B432" s="7"/>
      <c r="C432" s="7"/>
      <c r="D432" s="7"/>
      <c r="E432" s="7"/>
      <c r="F432" s="7"/>
      <c r="G432" s="7"/>
      <c r="H432" s="7"/>
    </row>
    <row r="433">
      <c r="A433" s="7"/>
      <c r="B433" s="7"/>
      <c r="C433" s="7"/>
      <c r="D433" s="7"/>
      <c r="E433" s="7"/>
      <c r="F433" s="7"/>
      <c r="G433" s="7"/>
      <c r="H433" s="7"/>
    </row>
    <row r="434">
      <c r="A434" s="7"/>
      <c r="B434" s="7"/>
      <c r="C434" s="7"/>
      <c r="D434" s="7"/>
      <c r="E434" s="7"/>
      <c r="F434" s="7"/>
      <c r="G434" s="7"/>
      <c r="H434" s="7"/>
    </row>
    <row r="435">
      <c r="A435" s="7"/>
      <c r="B435" s="7"/>
      <c r="C435" s="7"/>
      <c r="D435" s="7"/>
      <c r="E435" s="7"/>
      <c r="F435" s="7"/>
      <c r="G435" s="7"/>
      <c r="H435" s="7"/>
    </row>
    <row r="436">
      <c r="A436" s="7"/>
      <c r="B436" s="7"/>
      <c r="C436" s="7"/>
      <c r="D436" s="7"/>
      <c r="E436" s="7"/>
      <c r="F436" s="7"/>
      <c r="G436" s="7"/>
      <c r="H436" s="7"/>
    </row>
    <row r="437">
      <c r="A437" s="7"/>
      <c r="B437" s="7"/>
      <c r="C437" s="7"/>
      <c r="D437" s="7"/>
      <c r="E437" s="7"/>
      <c r="F437" s="7"/>
      <c r="G437" s="7"/>
      <c r="H437" s="7"/>
    </row>
    <row r="438">
      <c r="A438" s="7"/>
      <c r="B438" s="7"/>
      <c r="C438" s="7"/>
      <c r="D438" s="7"/>
      <c r="E438" s="7"/>
      <c r="F438" s="7"/>
      <c r="G438" s="7"/>
      <c r="H438" s="7"/>
    </row>
    <row r="439">
      <c r="A439" s="7"/>
      <c r="B439" s="7"/>
      <c r="C439" s="7"/>
      <c r="D439" s="7"/>
      <c r="E439" s="7"/>
      <c r="F439" s="7"/>
      <c r="G439" s="7"/>
      <c r="H439" s="7"/>
    </row>
    <row r="440">
      <c r="A440" s="7"/>
      <c r="B440" s="7"/>
      <c r="C440" s="7"/>
      <c r="D440" s="7"/>
      <c r="E440" s="7"/>
      <c r="F440" s="7"/>
      <c r="G440" s="7"/>
      <c r="H440" s="7"/>
    </row>
    <row r="441">
      <c r="A441" s="7"/>
      <c r="B441" s="7"/>
      <c r="C441" s="7"/>
      <c r="D441" s="7"/>
      <c r="E441" s="7"/>
      <c r="F441" s="7"/>
      <c r="G441" s="7"/>
      <c r="H441" s="7"/>
    </row>
    <row r="442">
      <c r="A442" s="7"/>
      <c r="B442" s="7"/>
      <c r="C442" s="7"/>
      <c r="D442" s="7"/>
      <c r="E442" s="7"/>
      <c r="F442" s="7"/>
      <c r="G442" s="7"/>
      <c r="H442" s="7"/>
    </row>
    <row r="443">
      <c r="A443" s="7"/>
      <c r="B443" s="7"/>
      <c r="C443" s="7"/>
      <c r="D443" s="7"/>
      <c r="E443" s="7"/>
      <c r="F443" s="7"/>
      <c r="G443" s="7"/>
      <c r="H443" s="7"/>
    </row>
    <row r="444">
      <c r="A444" s="7"/>
      <c r="B444" s="7"/>
      <c r="C444" s="7"/>
      <c r="D444" s="7"/>
      <c r="E444" s="7"/>
      <c r="F444" s="7"/>
      <c r="G444" s="7"/>
      <c r="H444" s="7"/>
    </row>
    <row r="445">
      <c r="A445" s="7"/>
      <c r="B445" s="7"/>
      <c r="C445" s="7"/>
      <c r="D445" s="7"/>
      <c r="E445" s="7"/>
      <c r="F445" s="7"/>
      <c r="G445" s="7"/>
      <c r="H445" s="7"/>
    </row>
    <row r="446">
      <c r="A446" s="7"/>
      <c r="B446" s="7"/>
      <c r="C446" s="7"/>
      <c r="D446" s="7"/>
      <c r="E446" s="7"/>
      <c r="F446" s="7"/>
      <c r="G446" s="7"/>
      <c r="H446" s="7"/>
    </row>
    <row r="447">
      <c r="A447" s="7"/>
      <c r="B447" s="7"/>
      <c r="C447" s="7"/>
      <c r="D447" s="7"/>
      <c r="E447" s="7"/>
      <c r="F447" s="7"/>
      <c r="G447" s="7"/>
      <c r="H447" s="7"/>
    </row>
    <row r="448">
      <c r="A448" s="7"/>
      <c r="B448" s="7"/>
      <c r="C448" s="7"/>
      <c r="D448" s="7"/>
      <c r="E448" s="7"/>
      <c r="F448" s="7"/>
      <c r="G448" s="7"/>
      <c r="H448" s="7"/>
    </row>
    <row r="449">
      <c r="A449" s="7"/>
      <c r="B449" s="7"/>
      <c r="C449" s="7"/>
      <c r="D449" s="7"/>
      <c r="E449" s="7"/>
      <c r="F449" s="7"/>
      <c r="G449" s="7"/>
      <c r="H449" s="7"/>
    </row>
    <row r="450">
      <c r="A450" s="7"/>
      <c r="B450" s="7"/>
      <c r="C450" s="7"/>
      <c r="D450" s="7"/>
      <c r="E450" s="7"/>
      <c r="F450" s="7"/>
      <c r="G450" s="7"/>
      <c r="H450" s="7"/>
    </row>
    <row r="451">
      <c r="A451" s="7"/>
      <c r="B451" s="7"/>
      <c r="C451" s="7"/>
      <c r="D451" s="7"/>
      <c r="E451" s="7"/>
      <c r="F451" s="7"/>
      <c r="G451" s="7"/>
      <c r="H451" s="7"/>
    </row>
    <row r="452">
      <c r="A452" s="7"/>
      <c r="B452" s="7"/>
      <c r="C452" s="7"/>
      <c r="D452" s="7"/>
      <c r="E452" s="7"/>
      <c r="F452" s="7"/>
      <c r="G452" s="7"/>
      <c r="H452" s="7"/>
    </row>
    <row r="453">
      <c r="A453" s="7"/>
      <c r="B453" s="7"/>
      <c r="C453" s="7"/>
      <c r="D453" s="7"/>
      <c r="E453" s="7"/>
      <c r="F453" s="7"/>
      <c r="G453" s="7"/>
      <c r="H453" s="7"/>
    </row>
    <row r="454">
      <c r="A454" s="7"/>
      <c r="B454" s="7"/>
      <c r="C454" s="7"/>
      <c r="D454" s="7"/>
      <c r="E454" s="7"/>
      <c r="F454" s="7"/>
      <c r="G454" s="7"/>
      <c r="H454" s="7"/>
    </row>
    <row r="455">
      <c r="A455" s="7"/>
      <c r="B455" s="7"/>
      <c r="C455" s="7"/>
      <c r="D455" s="7"/>
      <c r="E455" s="7"/>
      <c r="F455" s="7"/>
      <c r="G455" s="7"/>
      <c r="H455" s="7"/>
    </row>
    <row r="456">
      <c r="A456" s="7"/>
      <c r="B456" s="7"/>
      <c r="C456" s="7"/>
      <c r="D456" s="7"/>
      <c r="E456" s="7"/>
      <c r="F456" s="7"/>
      <c r="G456" s="7"/>
      <c r="H456" s="7"/>
    </row>
    <row r="457">
      <c r="A457" s="7"/>
      <c r="B457" s="7"/>
      <c r="C457" s="7"/>
      <c r="D457" s="7"/>
      <c r="E457" s="7"/>
      <c r="F457" s="7"/>
      <c r="G457" s="7"/>
      <c r="H457" s="7"/>
    </row>
    <row r="458">
      <c r="A458" s="7"/>
      <c r="B458" s="7"/>
      <c r="C458" s="7"/>
      <c r="D458" s="7"/>
      <c r="E458" s="7"/>
      <c r="F458" s="7"/>
      <c r="G458" s="7"/>
      <c r="H458" s="7"/>
    </row>
    <row r="459">
      <c r="A459" s="7"/>
      <c r="B459" s="7"/>
      <c r="C459" s="7"/>
      <c r="D459" s="7"/>
      <c r="E459" s="7"/>
      <c r="F459" s="7"/>
      <c r="G459" s="7"/>
      <c r="H459" s="7"/>
    </row>
    <row r="460">
      <c r="A460" s="7"/>
      <c r="B460" s="7"/>
      <c r="C460" s="7"/>
      <c r="D460" s="7"/>
      <c r="E460" s="7"/>
      <c r="F460" s="7"/>
      <c r="G460" s="7"/>
      <c r="H460" s="7"/>
    </row>
    <row r="461">
      <c r="A461" s="7"/>
      <c r="B461" s="7"/>
      <c r="C461" s="7"/>
      <c r="D461" s="7"/>
      <c r="E461" s="7"/>
      <c r="F461" s="7"/>
      <c r="G461" s="7"/>
      <c r="H461" s="7"/>
    </row>
    <row r="462">
      <c r="A462" s="7"/>
      <c r="B462" s="7"/>
      <c r="C462" s="7"/>
      <c r="D462" s="7"/>
      <c r="E462" s="7"/>
      <c r="F462" s="7"/>
      <c r="G462" s="7"/>
      <c r="H462" s="7"/>
    </row>
    <row r="463">
      <c r="A463" s="7"/>
      <c r="B463" s="7"/>
      <c r="C463" s="7"/>
      <c r="D463" s="7"/>
      <c r="E463" s="7"/>
      <c r="F463" s="7"/>
      <c r="G463" s="7"/>
      <c r="H463" s="7"/>
    </row>
    <row r="464">
      <c r="A464" s="7"/>
      <c r="B464" s="7"/>
      <c r="C464" s="7"/>
      <c r="D464" s="7"/>
      <c r="E464" s="7"/>
      <c r="F464" s="7"/>
      <c r="G464" s="7"/>
      <c r="H464" s="7"/>
    </row>
    <row r="465">
      <c r="A465" s="7"/>
      <c r="B465" s="7"/>
      <c r="C465" s="7"/>
      <c r="D465" s="7"/>
      <c r="E465" s="7"/>
      <c r="F465" s="7"/>
      <c r="G465" s="7"/>
      <c r="H465" s="7"/>
    </row>
    <row r="466">
      <c r="A466" s="7"/>
      <c r="B466" s="7"/>
      <c r="C466" s="7"/>
      <c r="D466" s="7"/>
      <c r="E466" s="7"/>
      <c r="F466" s="7"/>
      <c r="G466" s="7"/>
      <c r="H466" s="7"/>
    </row>
    <row r="467">
      <c r="A467" s="7"/>
      <c r="B467" s="7"/>
      <c r="C467" s="7"/>
      <c r="D467" s="7"/>
      <c r="E467" s="7"/>
      <c r="F467" s="7"/>
      <c r="G467" s="7"/>
      <c r="H467" s="7"/>
    </row>
    <row r="468">
      <c r="A468" s="7"/>
      <c r="B468" s="7"/>
      <c r="C468" s="7"/>
      <c r="D468" s="7"/>
      <c r="E468" s="7"/>
      <c r="F468" s="7"/>
      <c r="G468" s="7"/>
      <c r="H468" s="7"/>
    </row>
    <row r="469">
      <c r="A469" s="7"/>
      <c r="B469" s="7"/>
      <c r="C469" s="7"/>
      <c r="D469" s="7"/>
      <c r="E469" s="7"/>
      <c r="F469" s="7"/>
      <c r="G469" s="7"/>
      <c r="H469" s="7"/>
    </row>
    <row r="470">
      <c r="A470" s="7"/>
      <c r="B470" s="7"/>
      <c r="C470" s="7"/>
      <c r="D470" s="7"/>
      <c r="E470" s="7"/>
      <c r="F470" s="7"/>
      <c r="G470" s="7"/>
      <c r="H470" s="7"/>
    </row>
    <row r="471">
      <c r="A471" s="7"/>
      <c r="B471" s="7"/>
      <c r="C471" s="7"/>
      <c r="D471" s="7"/>
      <c r="E471" s="7"/>
      <c r="F471" s="7"/>
      <c r="G471" s="7"/>
      <c r="H471" s="7"/>
    </row>
    <row r="472">
      <c r="A472" s="7"/>
      <c r="B472" s="7"/>
      <c r="C472" s="7"/>
      <c r="D472" s="7"/>
      <c r="E472" s="7"/>
      <c r="F472" s="7"/>
      <c r="G472" s="7"/>
      <c r="H472" s="7"/>
    </row>
    <row r="473">
      <c r="A473" s="7"/>
      <c r="B473" s="7"/>
      <c r="C473" s="7"/>
      <c r="D473" s="7"/>
      <c r="E473" s="7"/>
      <c r="F473" s="7"/>
      <c r="G473" s="7"/>
      <c r="H473" s="7"/>
    </row>
    <row r="474">
      <c r="A474" s="7"/>
      <c r="B474" s="7"/>
      <c r="C474" s="7"/>
      <c r="D474" s="7"/>
      <c r="E474" s="7"/>
      <c r="F474" s="7"/>
      <c r="G474" s="7"/>
      <c r="H474" s="7"/>
    </row>
    <row r="475">
      <c r="A475" s="7"/>
      <c r="B475" s="7"/>
      <c r="C475" s="7"/>
      <c r="D475" s="7"/>
      <c r="E475" s="7"/>
      <c r="F475" s="7"/>
      <c r="G475" s="7"/>
      <c r="H475" s="7"/>
    </row>
    <row r="476">
      <c r="A476" s="7"/>
      <c r="B476" s="7"/>
      <c r="C476" s="7"/>
      <c r="D476" s="7"/>
      <c r="E476" s="7"/>
      <c r="F476" s="7"/>
      <c r="G476" s="7"/>
      <c r="H476" s="7"/>
    </row>
    <row r="477">
      <c r="A477" s="7"/>
      <c r="B477" s="7"/>
      <c r="C477" s="7"/>
      <c r="D477" s="7"/>
      <c r="E477" s="7"/>
      <c r="F477" s="7"/>
      <c r="G477" s="7"/>
      <c r="H477" s="7"/>
    </row>
    <row r="478">
      <c r="A478" s="7"/>
      <c r="B478" s="7"/>
      <c r="C478" s="7"/>
      <c r="D478" s="7"/>
      <c r="E478" s="7"/>
      <c r="F478" s="7"/>
      <c r="G478" s="7"/>
      <c r="H478" s="7"/>
    </row>
    <row r="479">
      <c r="A479" s="7"/>
      <c r="B479" s="7"/>
      <c r="C479" s="7"/>
      <c r="D479" s="7"/>
      <c r="E479" s="7"/>
      <c r="F479" s="7"/>
      <c r="G479" s="7"/>
      <c r="H479" s="7"/>
    </row>
    <row r="480">
      <c r="A480" s="7"/>
      <c r="B480" s="7"/>
      <c r="C480" s="7"/>
      <c r="D480" s="7"/>
      <c r="E480" s="7"/>
      <c r="F480" s="7"/>
      <c r="G480" s="7"/>
      <c r="H480" s="7"/>
    </row>
    <row r="481">
      <c r="A481" s="7"/>
      <c r="B481" s="7"/>
      <c r="C481" s="7"/>
      <c r="D481" s="7"/>
      <c r="E481" s="7"/>
      <c r="F481" s="7"/>
      <c r="G481" s="7"/>
      <c r="H481" s="7"/>
    </row>
    <row r="482">
      <c r="A482" s="7"/>
      <c r="B482" s="7"/>
      <c r="C482" s="7"/>
      <c r="D482" s="7"/>
      <c r="E482" s="7"/>
      <c r="F482" s="7"/>
      <c r="G482" s="7"/>
      <c r="H482" s="7"/>
    </row>
    <row r="483">
      <c r="A483" s="7"/>
      <c r="B483" s="7"/>
      <c r="C483" s="7"/>
      <c r="D483" s="7"/>
      <c r="E483" s="7"/>
      <c r="F483" s="7"/>
      <c r="G483" s="7"/>
      <c r="H483" s="7"/>
    </row>
    <row r="484">
      <c r="A484" s="7"/>
      <c r="B484" s="7"/>
      <c r="C484" s="7"/>
      <c r="D484" s="7"/>
      <c r="E484" s="7"/>
      <c r="F484" s="7"/>
      <c r="G484" s="7"/>
      <c r="H484" s="7"/>
    </row>
    <row r="485">
      <c r="A485" s="7"/>
      <c r="B485" s="7"/>
      <c r="C485" s="7"/>
      <c r="D485" s="7"/>
      <c r="E485" s="7"/>
      <c r="F485" s="7"/>
      <c r="G485" s="7"/>
      <c r="H485" s="7"/>
    </row>
    <row r="486">
      <c r="A486" s="7"/>
      <c r="B486" s="7"/>
      <c r="C486" s="7"/>
      <c r="D486" s="7"/>
      <c r="E486" s="7"/>
      <c r="F486" s="7"/>
      <c r="G486" s="7"/>
      <c r="H486" s="7"/>
    </row>
    <row r="487">
      <c r="A487" s="7"/>
      <c r="B487" s="7"/>
      <c r="C487" s="7"/>
      <c r="D487" s="7"/>
      <c r="E487" s="7"/>
      <c r="F487" s="7"/>
      <c r="G487" s="7"/>
      <c r="H487" s="7"/>
    </row>
    <row r="488">
      <c r="A488" s="7"/>
      <c r="B488" s="7"/>
      <c r="C488" s="7"/>
      <c r="D488" s="7"/>
      <c r="E488" s="7"/>
      <c r="F488" s="7"/>
      <c r="G488" s="7"/>
      <c r="H488" s="7"/>
    </row>
    <row r="489">
      <c r="A489" s="7"/>
      <c r="B489" s="7"/>
      <c r="C489" s="7"/>
      <c r="D489" s="7"/>
      <c r="E489" s="7"/>
      <c r="F489" s="7"/>
      <c r="G489" s="7"/>
      <c r="H489" s="7"/>
    </row>
    <row r="490">
      <c r="A490" s="7"/>
      <c r="B490" s="7"/>
      <c r="C490" s="7"/>
      <c r="D490" s="7"/>
      <c r="E490" s="7"/>
      <c r="F490" s="7"/>
      <c r="G490" s="7"/>
      <c r="H490" s="7"/>
    </row>
    <row r="491">
      <c r="A491" s="7"/>
      <c r="B491" s="7"/>
      <c r="C491" s="7"/>
      <c r="D491" s="7"/>
      <c r="E491" s="7"/>
      <c r="F491" s="7"/>
      <c r="G491" s="7"/>
      <c r="H491" s="7"/>
    </row>
    <row r="492">
      <c r="A492" s="7"/>
      <c r="B492" s="7"/>
      <c r="C492" s="7"/>
      <c r="D492" s="7"/>
      <c r="E492" s="7"/>
      <c r="F492" s="7"/>
      <c r="G492" s="7"/>
      <c r="H492" s="7"/>
    </row>
    <row r="493">
      <c r="A493" s="7"/>
      <c r="B493" s="7"/>
      <c r="C493" s="7"/>
      <c r="D493" s="7"/>
      <c r="E493" s="7"/>
      <c r="F493" s="7"/>
      <c r="G493" s="7"/>
      <c r="H493" s="7"/>
    </row>
    <row r="494">
      <c r="A494" s="7"/>
      <c r="B494" s="7"/>
      <c r="C494" s="7"/>
      <c r="D494" s="7"/>
      <c r="E494" s="7"/>
      <c r="F494" s="7"/>
      <c r="G494" s="7"/>
      <c r="H494" s="7"/>
    </row>
    <row r="495">
      <c r="A495" s="7"/>
      <c r="B495" s="7"/>
      <c r="C495" s="7"/>
      <c r="D495" s="7"/>
      <c r="E495" s="7"/>
      <c r="F495" s="7"/>
      <c r="G495" s="7"/>
      <c r="H495" s="7"/>
    </row>
    <row r="496">
      <c r="A496" s="7"/>
      <c r="B496" s="7"/>
      <c r="C496" s="7"/>
      <c r="D496" s="7"/>
      <c r="E496" s="7"/>
      <c r="F496" s="7"/>
      <c r="G496" s="7"/>
      <c r="H496" s="7"/>
    </row>
    <row r="497">
      <c r="A497" s="7"/>
      <c r="B497" s="7"/>
      <c r="C497" s="7"/>
      <c r="D497" s="7"/>
      <c r="E497" s="7"/>
      <c r="F497" s="7"/>
      <c r="G497" s="7"/>
      <c r="H497" s="7"/>
    </row>
    <row r="498">
      <c r="A498" s="7"/>
      <c r="B498" s="7"/>
      <c r="C498" s="7"/>
      <c r="D498" s="7"/>
      <c r="E498" s="7"/>
      <c r="F498" s="7"/>
      <c r="G498" s="7"/>
      <c r="H498" s="7"/>
    </row>
    <row r="499">
      <c r="A499" s="7"/>
      <c r="B499" s="7"/>
      <c r="C499" s="7"/>
      <c r="D499" s="7"/>
      <c r="E499" s="7"/>
      <c r="F499" s="7"/>
      <c r="G499" s="7"/>
      <c r="H499" s="7"/>
    </row>
    <row r="500">
      <c r="A500" s="7"/>
      <c r="B500" s="7"/>
      <c r="C500" s="7"/>
      <c r="D500" s="7"/>
      <c r="E500" s="7"/>
      <c r="F500" s="7"/>
      <c r="G500" s="7"/>
      <c r="H500" s="7"/>
    </row>
    <row r="501">
      <c r="A501" s="7"/>
      <c r="B501" s="7"/>
      <c r="C501" s="7"/>
      <c r="D501" s="7"/>
      <c r="E501" s="7"/>
      <c r="F501" s="7"/>
      <c r="G501" s="7"/>
      <c r="H501" s="7"/>
    </row>
    <row r="502">
      <c r="A502" s="7"/>
      <c r="B502" s="7"/>
      <c r="C502" s="7"/>
      <c r="D502" s="7"/>
      <c r="E502" s="7"/>
      <c r="F502" s="7"/>
      <c r="G502" s="7"/>
      <c r="H502" s="7"/>
    </row>
    <row r="503">
      <c r="A503" s="7"/>
      <c r="B503" s="7"/>
      <c r="C503" s="7"/>
      <c r="D503" s="7"/>
      <c r="E503" s="7"/>
      <c r="F503" s="7"/>
      <c r="G503" s="7"/>
      <c r="H503" s="7"/>
    </row>
    <row r="504">
      <c r="A504" s="7"/>
      <c r="B504" s="7"/>
      <c r="C504" s="7"/>
      <c r="D504" s="7"/>
      <c r="E504" s="7"/>
      <c r="F504" s="7"/>
      <c r="G504" s="7"/>
      <c r="H504" s="7"/>
    </row>
    <row r="505">
      <c r="A505" s="7"/>
      <c r="B505" s="7"/>
      <c r="C505" s="7"/>
      <c r="D505" s="7"/>
      <c r="E505" s="7"/>
      <c r="F505" s="7"/>
      <c r="G505" s="7"/>
      <c r="H505" s="7"/>
    </row>
    <row r="506">
      <c r="A506" s="7"/>
      <c r="B506" s="7"/>
      <c r="C506" s="7"/>
      <c r="D506" s="7"/>
      <c r="E506" s="7"/>
      <c r="F506" s="7"/>
      <c r="G506" s="7"/>
      <c r="H506" s="7"/>
    </row>
    <row r="507">
      <c r="A507" s="7"/>
      <c r="B507" s="7"/>
      <c r="C507" s="7"/>
      <c r="D507" s="7"/>
      <c r="E507" s="7"/>
      <c r="F507" s="7"/>
      <c r="G507" s="7"/>
      <c r="H507" s="7"/>
    </row>
    <row r="508">
      <c r="A508" s="7"/>
      <c r="B508" s="7"/>
      <c r="C508" s="7"/>
      <c r="D508" s="7"/>
      <c r="E508" s="7"/>
      <c r="F508" s="7"/>
      <c r="G508" s="7"/>
      <c r="H508" s="7"/>
    </row>
    <row r="509">
      <c r="A509" s="7"/>
      <c r="B509" s="7"/>
      <c r="C509" s="7"/>
      <c r="D509" s="7"/>
      <c r="E509" s="7"/>
      <c r="F509" s="7"/>
      <c r="G509" s="7"/>
      <c r="H509" s="7"/>
    </row>
    <row r="510">
      <c r="A510" s="7"/>
      <c r="B510" s="7"/>
      <c r="C510" s="7"/>
      <c r="D510" s="7"/>
      <c r="E510" s="7"/>
      <c r="F510" s="7"/>
      <c r="G510" s="7"/>
      <c r="H510" s="7"/>
    </row>
    <row r="511">
      <c r="A511" s="7"/>
      <c r="B511" s="7"/>
      <c r="C511" s="7"/>
      <c r="D511" s="7"/>
      <c r="E511" s="7"/>
      <c r="F511" s="7"/>
      <c r="G511" s="7"/>
      <c r="H511" s="7"/>
    </row>
    <row r="512">
      <c r="A512" s="7"/>
      <c r="B512" s="7"/>
      <c r="C512" s="7"/>
      <c r="D512" s="7"/>
      <c r="E512" s="7"/>
      <c r="F512" s="7"/>
      <c r="G512" s="7"/>
      <c r="H512" s="7"/>
    </row>
    <row r="513">
      <c r="A513" s="7"/>
      <c r="B513" s="7"/>
      <c r="C513" s="7"/>
      <c r="D513" s="7"/>
      <c r="E513" s="7"/>
      <c r="F513" s="7"/>
      <c r="G513" s="7"/>
      <c r="H513" s="7"/>
    </row>
    <row r="514">
      <c r="A514" s="7"/>
      <c r="B514" s="7"/>
      <c r="C514" s="7"/>
      <c r="D514" s="7"/>
      <c r="E514" s="7"/>
      <c r="F514" s="7"/>
      <c r="G514" s="7"/>
      <c r="H514" s="7"/>
    </row>
    <row r="515">
      <c r="A515" s="7"/>
      <c r="B515" s="7"/>
      <c r="C515" s="7"/>
      <c r="D515" s="7"/>
      <c r="E515" s="7"/>
      <c r="F515" s="7"/>
      <c r="G515" s="7"/>
      <c r="H515" s="7"/>
    </row>
    <row r="516">
      <c r="A516" s="7"/>
      <c r="B516" s="7"/>
      <c r="C516" s="7"/>
      <c r="D516" s="7"/>
      <c r="E516" s="7"/>
      <c r="F516" s="7"/>
      <c r="G516" s="7"/>
      <c r="H516" s="7"/>
    </row>
    <row r="517">
      <c r="A517" s="7"/>
      <c r="B517" s="7"/>
      <c r="C517" s="7"/>
      <c r="D517" s="7"/>
      <c r="E517" s="7"/>
      <c r="F517" s="7"/>
      <c r="G517" s="7"/>
      <c r="H517" s="7"/>
    </row>
    <row r="518">
      <c r="A518" s="7"/>
      <c r="B518" s="7"/>
      <c r="C518" s="7"/>
      <c r="D518" s="7"/>
      <c r="E518" s="7"/>
      <c r="F518" s="7"/>
      <c r="G518" s="7"/>
      <c r="H518" s="7"/>
    </row>
    <row r="519">
      <c r="A519" s="7"/>
      <c r="B519" s="7"/>
      <c r="C519" s="7"/>
      <c r="D519" s="7"/>
      <c r="E519" s="7"/>
      <c r="F519" s="7"/>
      <c r="G519" s="7"/>
      <c r="H519" s="7"/>
    </row>
    <row r="520">
      <c r="A520" s="7"/>
      <c r="B520" s="7"/>
      <c r="C520" s="7"/>
      <c r="D520" s="7"/>
      <c r="E520" s="7"/>
      <c r="F520" s="7"/>
      <c r="G520" s="7"/>
      <c r="H520" s="7"/>
    </row>
    <row r="521">
      <c r="A521" s="7"/>
      <c r="B521" s="7"/>
      <c r="C521" s="7"/>
      <c r="D521" s="7"/>
      <c r="E521" s="7"/>
      <c r="F521" s="7"/>
      <c r="G521" s="7"/>
      <c r="H521" s="7"/>
    </row>
    <row r="522">
      <c r="A522" s="7"/>
      <c r="B522" s="7"/>
      <c r="C522" s="7"/>
      <c r="D522" s="7"/>
      <c r="E522" s="7"/>
      <c r="F522" s="7"/>
      <c r="G522" s="7"/>
      <c r="H522" s="7"/>
    </row>
    <row r="523">
      <c r="A523" s="7"/>
      <c r="B523" s="7"/>
      <c r="C523" s="7"/>
      <c r="D523" s="7"/>
      <c r="E523" s="7"/>
      <c r="F523" s="7"/>
      <c r="G523" s="7"/>
      <c r="H523" s="7"/>
    </row>
    <row r="524">
      <c r="A524" s="7"/>
      <c r="B524" s="7"/>
      <c r="C524" s="7"/>
      <c r="D524" s="7"/>
      <c r="E524" s="7"/>
      <c r="F524" s="7"/>
      <c r="G524" s="7"/>
      <c r="H524" s="7"/>
    </row>
    <row r="525">
      <c r="A525" s="7"/>
      <c r="B525" s="7"/>
      <c r="C525" s="7"/>
      <c r="D525" s="7"/>
      <c r="E525" s="7"/>
      <c r="F525" s="7"/>
      <c r="G525" s="7"/>
      <c r="H525" s="7"/>
    </row>
    <row r="526">
      <c r="A526" s="7"/>
      <c r="B526" s="7"/>
      <c r="C526" s="7"/>
      <c r="D526" s="7"/>
      <c r="E526" s="7"/>
      <c r="F526" s="7"/>
      <c r="G526" s="7"/>
      <c r="H526" s="7"/>
    </row>
    <row r="527">
      <c r="A527" s="7"/>
      <c r="B527" s="7"/>
      <c r="C527" s="7"/>
      <c r="D527" s="7"/>
      <c r="E527" s="7"/>
      <c r="F527" s="7"/>
      <c r="G527" s="7"/>
      <c r="H527" s="7"/>
    </row>
    <row r="528">
      <c r="A528" s="7"/>
      <c r="B528" s="7"/>
      <c r="C528" s="7"/>
      <c r="D528" s="7"/>
      <c r="E528" s="7"/>
      <c r="F528" s="7"/>
      <c r="G528" s="7"/>
      <c r="H528" s="7"/>
    </row>
    <row r="529">
      <c r="A529" s="7"/>
      <c r="B529" s="7"/>
      <c r="C529" s="7"/>
      <c r="D529" s="7"/>
      <c r="E529" s="7"/>
      <c r="F529" s="7"/>
      <c r="G529" s="7"/>
      <c r="H529" s="7"/>
    </row>
    <row r="530">
      <c r="A530" s="7"/>
      <c r="B530" s="7"/>
      <c r="C530" s="7"/>
      <c r="D530" s="7"/>
      <c r="E530" s="7"/>
      <c r="F530" s="7"/>
      <c r="G530" s="7"/>
      <c r="H530" s="7"/>
    </row>
    <row r="531">
      <c r="A531" s="7"/>
      <c r="B531" s="7"/>
      <c r="C531" s="7"/>
      <c r="D531" s="7"/>
      <c r="E531" s="7"/>
      <c r="F531" s="7"/>
      <c r="G531" s="7"/>
      <c r="H531" s="7"/>
    </row>
    <row r="532">
      <c r="A532" s="7"/>
      <c r="B532" s="7"/>
      <c r="C532" s="7"/>
      <c r="D532" s="7"/>
      <c r="E532" s="7"/>
      <c r="F532" s="7"/>
      <c r="G532" s="7"/>
      <c r="H532" s="7"/>
    </row>
    <row r="533">
      <c r="A533" s="7"/>
      <c r="B533" s="7"/>
      <c r="C533" s="7"/>
      <c r="D533" s="7"/>
      <c r="E533" s="7"/>
      <c r="F533" s="7"/>
      <c r="G533" s="7"/>
      <c r="H533" s="7"/>
    </row>
    <row r="534">
      <c r="A534" s="7"/>
      <c r="B534" s="7"/>
      <c r="C534" s="7"/>
      <c r="D534" s="7"/>
      <c r="E534" s="7"/>
      <c r="F534" s="7"/>
      <c r="G534" s="7"/>
      <c r="H534" s="7"/>
    </row>
    <row r="535">
      <c r="A535" s="7"/>
      <c r="B535" s="7"/>
      <c r="C535" s="7"/>
      <c r="D535" s="7"/>
      <c r="E535" s="7"/>
      <c r="F535" s="7"/>
      <c r="G535" s="7"/>
      <c r="H535" s="7"/>
    </row>
    <row r="536">
      <c r="A536" s="7"/>
      <c r="B536" s="7"/>
      <c r="C536" s="7"/>
      <c r="D536" s="7"/>
      <c r="E536" s="7"/>
      <c r="F536" s="7"/>
      <c r="G536" s="7"/>
      <c r="H536" s="7"/>
    </row>
    <row r="537">
      <c r="A537" s="7"/>
      <c r="B537" s="7"/>
      <c r="C537" s="7"/>
      <c r="D537" s="7"/>
      <c r="E537" s="7"/>
      <c r="F537" s="7"/>
      <c r="G537" s="7"/>
      <c r="H537" s="7"/>
    </row>
    <row r="538">
      <c r="A538" s="7"/>
      <c r="B538" s="7"/>
      <c r="C538" s="7"/>
      <c r="D538" s="7"/>
      <c r="E538" s="7"/>
      <c r="F538" s="7"/>
      <c r="G538" s="7"/>
      <c r="H538" s="7"/>
    </row>
    <row r="539">
      <c r="A539" s="7"/>
      <c r="B539" s="7"/>
      <c r="C539" s="7"/>
      <c r="D539" s="7"/>
      <c r="E539" s="7"/>
      <c r="F539" s="7"/>
      <c r="G539" s="7"/>
      <c r="H539" s="7"/>
    </row>
    <row r="540">
      <c r="A540" s="7"/>
      <c r="B540" s="7"/>
      <c r="C540" s="7"/>
      <c r="D540" s="7"/>
      <c r="E540" s="7"/>
      <c r="F540" s="7"/>
      <c r="G540" s="7"/>
      <c r="H540" s="7"/>
    </row>
    <row r="541">
      <c r="A541" s="7"/>
      <c r="B541" s="7"/>
      <c r="C541" s="7"/>
      <c r="D541" s="7"/>
      <c r="E541" s="7"/>
      <c r="F541" s="7"/>
      <c r="G541" s="7"/>
      <c r="H541" s="7"/>
    </row>
    <row r="542">
      <c r="A542" s="7"/>
      <c r="B542" s="7"/>
      <c r="C542" s="7"/>
      <c r="D542" s="7"/>
      <c r="E542" s="7"/>
      <c r="F542" s="7"/>
      <c r="G542" s="7"/>
      <c r="H542" s="7"/>
    </row>
    <row r="543">
      <c r="A543" s="7"/>
      <c r="B543" s="7"/>
      <c r="C543" s="7"/>
      <c r="D543" s="7"/>
      <c r="E543" s="7"/>
      <c r="F543" s="7"/>
      <c r="G543" s="7"/>
      <c r="H543" s="7"/>
    </row>
    <row r="544">
      <c r="A544" s="7"/>
      <c r="B544" s="7"/>
      <c r="C544" s="7"/>
      <c r="D544" s="7"/>
      <c r="E544" s="7"/>
      <c r="F544" s="7"/>
      <c r="G544" s="7"/>
      <c r="H544" s="7"/>
    </row>
    <row r="545">
      <c r="A545" s="7"/>
      <c r="B545" s="7"/>
      <c r="C545" s="7"/>
      <c r="D545" s="7"/>
      <c r="E545" s="7"/>
      <c r="F545" s="7"/>
      <c r="G545" s="7"/>
      <c r="H545" s="7"/>
    </row>
    <row r="546">
      <c r="A546" s="7"/>
      <c r="B546" s="7"/>
      <c r="C546" s="7"/>
      <c r="D546" s="7"/>
      <c r="E546" s="7"/>
      <c r="F546" s="7"/>
      <c r="G546" s="7"/>
      <c r="H546" s="7"/>
    </row>
    <row r="547">
      <c r="A547" s="7"/>
      <c r="B547" s="7"/>
      <c r="C547" s="7"/>
      <c r="D547" s="7"/>
      <c r="E547" s="7"/>
      <c r="F547" s="7"/>
      <c r="G547" s="7"/>
      <c r="H547" s="7"/>
    </row>
    <row r="548">
      <c r="A548" s="7"/>
      <c r="B548" s="7"/>
      <c r="C548" s="7"/>
      <c r="D548" s="7"/>
      <c r="E548" s="7"/>
      <c r="F548" s="7"/>
      <c r="G548" s="7"/>
      <c r="H548" s="7"/>
    </row>
    <row r="549">
      <c r="A549" s="7"/>
      <c r="B549" s="7"/>
      <c r="C549" s="7"/>
      <c r="D549" s="7"/>
      <c r="E549" s="7"/>
      <c r="F549" s="7"/>
      <c r="G549" s="7"/>
      <c r="H549" s="7"/>
    </row>
    <row r="550">
      <c r="A550" s="7"/>
      <c r="B550" s="7"/>
      <c r="C550" s="7"/>
      <c r="D550" s="7"/>
      <c r="E550" s="7"/>
      <c r="F550" s="7"/>
      <c r="G550" s="7"/>
      <c r="H550" s="7"/>
    </row>
    <row r="551">
      <c r="A551" s="7"/>
      <c r="B551" s="7"/>
      <c r="C551" s="7"/>
      <c r="D551" s="7"/>
      <c r="E551" s="7"/>
      <c r="F551" s="7"/>
      <c r="G551" s="7"/>
      <c r="H551" s="7"/>
    </row>
    <row r="552">
      <c r="A552" s="7"/>
      <c r="B552" s="7"/>
      <c r="C552" s="7"/>
      <c r="D552" s="7"/>
      <c r="E552" s="7"/>
      <c r="F552" s="7"/>
      <c r="G552" s="7"/>
      <c r="H552" s="7"/>
    </row>
    <row r="553">
      <c r="A553" s="7"/>
      <c r="B553" s="7"/>
      <c r="C553" s="7"/>
      <c r="D553" s="7"/>
      <c r="E553" s="7"/>
      <c r="F553" s="7"/>
      <c r="G553" s="7"/>
      <c r="H553" s="7"/>
    </row>
    <row r="554">
      <c r="A554" s="7"/>
      <c r="B554" s="7"/>
      <c r="C554" s="7"/>
      <c r="D554" s="7"/>
      <c r="E554" s="7"/>
      <c r="F554" s="7"/>
      <c r="G554" s="7"/>
      <c r="H554" s="7"/>
    </row>
    <row r="555">
      <c r="A555" s="7"/>
      <c r="B555" s="7"/>
      <c r="C555" s="7"/>
      <c r="D555" s="7"/>
      <c r="E555" s="7"/>
      <c r="F555" s="7"/>
      <c r="G555" s="7"/>
      <c r="H555" s="7"/>
    </row>
    <row r="556">
      <c r="A556" s="7"/>
      <c r="B556" s="7"/>
      <c r="C556" s="7"/>
      <c r="D556" s="7"/>
      <c r="E556" s="7"/>
      <c r="F556" s="7"/>
      <c r="G556" s="7"/>
      <c r="H556" s="7"/>
    </row>
    <row r="557">
      <c r="A557" s="7"/>
      <c r="B557" s="7"/>
      <c r="C557" s="7"/>
      <c r="D557" s="7"/>
      <c r="E557" s="7"/>
      <c r="F557" s="7"/>
      <c r="G557" s="7"/>
      <c r="H557" s="7"/>
    </row>
    <row r="558">
      <c r="A558" s="7"/>
      <c r="B558" s="7"/>
      <c r="C558" s="7"/>
      <c r="D558" s="7"/>
      <c r="E558" s="7"/>
      <c r="F558" s="7"/>
      <c r="G558" s="7"/>
      <c r="H558" s="7"/>
    </row>
    <row r="559">
      <c r="A559" s="7"/>
      <c r="B559" s="7"/>
      <c r="C559" s="7"/>
      <c r="D559" s="7"/>
      <c r="E559" s="7"/>
      <c r="F559" s="7"/>
      <c r="G559" s="7"/>
      <c r="H559" s="7"/>
    </row>
    <row r="560">
      <c r="A560" s="7"/>
      <c r="B560" s="7"/>
      <c r="C560" s="7"/>
      <c r="D560" s="7"/>
      <c r="E560" s="7"/>
      <c r="F560" s="7"/>
      <c r="G560" s="7"/>
      <c r="H560" s="7"/>
    </row>
    <row r="561">
      <c r="A561" s="7"/>
      <c r="B561" s="7"/>
      <c r="C561" s="7"/>
      <c r="D561" s="7"/>
      <c r="E561" s="7"/>
      <c r="F561" s="7"/>
      <c r="G561" s="7"/>
      <c r="H561" s="7"/>
    </row>
    <row r="562">
      <c r="A562" s="7"/>
      <c r="B562" s="7"/>
      <c r="C562" s="7"/>
      <c r="D562" s="7"/>
      <c r="E562" s="7"/>
      <c r="F562" s="7"/>
      <c r="G562" s="7"/>
      <c r="H562" s="7"/>
    </row>
    <row r="563">
      <c r="A563" s="7"/>
      <c r="B563" s="7"/>
      <c r="C563" s="7"/>
      <c r="D563" s="7"/>
      <c r="E563" s="7"/>
      <c r="F563" s="7"/>
      <c r="G563" s="7"/>
      <c r="H563" s="7"/>
    </row>
    <row r="564">
      <c r="A564" s="7"/>
      <c r="B564" s="7"/>
      <c r="C564" s="7"/>
      <c r="D564" s="7"/>
      <c r="E564" s="7"/>
      <c r="F564" s="7"/>
      <c r="G564" s="7"/>
      <c r="H564" s="7"/>
    </row>
    <row r="565">
      <c r="A565" s="7"/>
      <c r="B565" s="7"/>
      <c r="C565" s="7"/>
      <c r="D565" s="7"/>
      <c r="E565" s="7"/>
      <c r="F565" s="7"/>
      <c r="G565" s="7"/>
      <c r="H565" s="7"/>
    </row>
    <row r="566">
      <c r="A566" s="7"/>
      <c r="B566" s="7"/>
      <c r="C566" s="7"/>
      <c r="D566" s="7"/>
      <c r="E566" s="7"/>
      <c r="F566" s="7"/>
      <c r="G566" s="7"/>
      <c r="H566" s="7"/>
    </row>
    <row r="567">
      <c r="A567" s="7"/>
      <c r="B567" s="7"/>
      <c r="C567" s="7"/>
      <c r="D567" s="7"/>
      <c r="E567" s="7"/>
      <c r="F567" s="7"/>
      <c r="G567" s="7"/>
      <c r="H567" s="7"/>
    </row>
    <row r="568">
      <c r="A568" s="7"/>
      <c r="B568" s="7"/>
      <c r="C568" s="7"/>
      <c r="D568" s="7"/>
      <c r="E568" s="7"/>
      <c r="F568" s="7"/>
      <c r="G568" s="7"/>
      <c r="H568" s="7"/>
    </row>
    <row r="569">
      <c r="A569" s="7"/>
      <c r="B569" s="7"/>
      <c r="C569" s="7"/>
      <c r="D569" s="7"/>
      <c r="E569" s="7"/>
      <c r="F569" s="7"/>
      <c r="G569" s="7"/>
      <c r="H569" s="7"/>
    </row>
    <row r="570">
      <c r="A570" s="7"/>
      <c r="B570" s="7"/>
      <c r="C570" s="7"/>
      <c r="D570" s="7"/>
      <c r="E570" s="7"/>
      <c r="F570" s="7"/>
      <c r="G570" s="7"/>
      <c r="H570" s="7"/>
    </row>
    <row r="571">
      <c r="A571" s="7"/>
      <c r="B571" s="7"/>
      <c r="C571" s="7"/>
      <c r="D571" s="7"/>
      <c r="E571" s="7"/>
      <c r="F571" s="7"/>
      <c r="G571" s="7"/>
      <c r="H571" s="7"/>
    </row>
    <row r="572">
      <c r="A572" s="7"/>
      <c r="B572" s="7"/>
      <c r="C572" s="7"/>
      <c r="D572" s="7"/>
      <c r="E572" s="7"/>
      <c r="F572" s="7"/>
      <c r="G572" s="7"/>
      <c r="H572" s="7"/>
    </row>
    <row r="573">
      <c r="A573" s="7"/>
      <c r="B573" s="7"/>
      <c r="C573" s="7"/>
      <c r="D573" s="7"/>
      <c r="E573" s="7"/>
      <c r="F573" s="7"/>
      <c r="G573" s="7"/>
      <c r="H573" s="7"/>
    </row>
    <row r="574">
      <c r="A574" s="7"/>
      <c r="B574" s="7"/>
      <c r="C574" s="7"/>
      <c r="D574" s="7"/>
      <c r="E574" s="7"/>
      <c r="F574" s="7"/>
      <c r="G574" s="7"/>
      <c r="H574" s="7"/>
    </row>
    <row r="575">
      <c r="A575" s="7"/>
      <c r="B575" s="7"/>
      <c r="C575" s="7"/>
      <c r="D575" s="7"/>
      <c r="E575" s="7"/>
      <c r="F575" s="7"/>
      <c r="G575" s="7"/>
      <c r="H575" s="7"/>
    </row>
    <row r="576">
      <c r="A576" s="7"/>
      <c r="B576" s="7"/>
      <c r="C576" s="7"/>
      <c r="D576" s="7"/>
      <c r="E576" s="7"/>
      <c r="F576" s="7"/>
      <c r="G576" s="7"/>
      <c r="H576" s="7"/>
    </row>
    <row r="577">
      <c r="A577" s="7"/>
      <c r="B577" s="7"/>
      <c r="C577" s="7"/>
      <c r="D577" s="7"/>
      <c r="E577" s="7"/>
      <c r="F577" s="7"/>
      <c r="G577" s="7"/>
      <c r="H577" s="7"/>
    </row>
    <row r="578">
      <c r="A578" s="7"/>
      <c r="B578" s="7"/>
      <c r="C578" s="7"/>
      <c r="D578" s="7"/>
      <c r="E578" s="7"/>
      <c r="F578" s="7"/>
      <c r="G578" s="7"/>
      <c r="H578" s="7"/>
    </row>
    <row r="579">
      <c r="A579" s="7"/>
      <c r="B579" s="7"/>
      <c r="C579" s="7"/>
      <c r="D579" s="7"/>
      <c r="E579" s="7"/>
      <c r="F579" s="7"/>
      <c r="G579" s="7"/>
      <c r="H579" s="7"/>
    </row>
    <row r="580">
      <c r="A580" s="7"/>
      <c r="B580" s="7"/>
      <c r="C580" s="7"/>
      <c r="D580" s="7"/>
      <c r="E580" s="7"/>
      <c r="F580" s="7"/>
      <c r="G580" s="7"/>
      <c r="H580" s="7"/>
    </row>
    <row r="581">
      <c r="A581" s="7"/>
      <c r="B581" s="7"/>
      <c r="C581" s="7"/>
      <c r="D581" s="7"/>
      <c r="E581" s="7"/>
      <c r="F581" s="7"/>
      <c r="G581" s="7"/>
      <c r="H581" s="7"/>
    </row>
    <row r="582">
      <c r="A582" s="7"/>
      <c r="B582" s="7"/>
      <c r="C582" s="7"/>
      <c r="D582" s="7"/>
      <c r="E582" s="7"/>
      <c r="F582" s="7"/>
      <c r="G582" s="7"/>
      <c r="H582" s="7"/>
    </row>
    <row r="583">
      <c r="A583" s="7"/>
      <c r="B583" s="7"/>
      <c r="C583" s="7"/>
      <c r="D583" s="7"/>
      <c r="E583" s="7"/>
      <c r="F583" s="7"/>
      <c r="G583" s="7"/>
      <c r="H583" s="7"/>
    </row>
    <row r="584">
      <c r="A584" s="7"/>
      <c r="B584" s="7"/>
      <c r="C584" s="7"/>
      <c r="D584" s="7"/>
      <c r="E584" s="7"/>
      <c r="F584" s="7"/>
      <c r="G584" s="7"/>
      <c r="H584" s="7"/>
    </row>
    <row r="585">
      <c r="A585" s="7"/>
      <c r="B585" s="7"/>
      <c r="C585" s="7"/>
      <c r="D585" s="7"/>
      <c r="E585" s="7"/>
      <c r="F585" s="7"/>
      <c r="G585" s="7"/>
      <c r="H585" s="7"/>
    </row>
    <row r="586">
      <c r="A586" s="7"/>
      <c r="B586" s="7"/>
      <c r="C586" s="7"/>
      <c r="D586" s="7"/>
      <c r="E586" s="7"/>
      <c r="F586" s="7"/>
      <c r="G586" s="7"/>
      <c r="H586" s="7"/>
    </row>
    <row r="587">
      <c r="A587" s="7"/>
      <c r="B587" s="7"/>
      <c r="C587" s="7"/>
      <c r="D587" s="7"/>
      <c r="E587" s="7"/>
      <c r="F587" s="7"/>
      <c r="G587" s="7"/>
      <c r="H587" s="7"/>
    </row>
    <row r="588">
      <c r="A588" s="7"/>
      <c r="B588" s="7"/>
      <c r="C588" s="7"/>
      <c r="D588" s="7"/>
      <c r="E588" s="7"/>
      <c r="F588" s="7"/>
      <c r="G588" s="7"/>
      <c r="H588" s="7"/>
    </row>
    <row r="589">
      <c r="A589" s="7"/>
      <c r="B589" s="7"/>
      <c r="C589" s="7"/>
      <c r="D589" s="7"/>
      <c r="E589" s="7"/>
      <c r="F589" s="7"/>
      <c r="G589" s="7"/>
      <c r="H589" s="7"/>
    </row>
    <row r="590">
      <c r="A590" s="7"/>
      <c r="B590" s="7"/>
      <c r="C590" s="7"/>
      <c r="D590" s="7"/>
      <c r="E590" s="7"/>
      <c r="F590" s="7"/>
      <c r="G590" s="7"/>
      <c r="H590" s="7"/>
    </row>
    <row r="591">
      <c r="A591" s="7"/>
      <c r="B591" s="7"/>
      <c r="C591" s="7"/>
      <c r="D591" s="7"/>
      <c r="E591" s="7"/>
      <c r="F591" s="7"/>
      <c r="G591" s="7"/>
      <c r="H591" s="7"/>
    </row>
    <row r="592">
      <c r="A592" s="7"/>
      <c r="B592" s="7"/>
      <c r="C592" s="7"/>
      <c r="D592" s="7"/>
      <c r="E592" s="7"/>
      <c r="F592" s="7"/>
      <c r="G592" s="7"/>
      <c r="H592" s="7"/>
    </row>
    <row r="593">
      <c r="A593" s="7"/>
      <c r="B593" s="7"/>
      <c r="C593" s="7"/>
      <c r="D593" s="7"/>
      <c r="E593" s="7"/>
      <c r="F593" s="7"/>
      <c r="G593" s="7"/>
      <c r="H593" s="7"/>
    </row>
    <row r="594">
      <c r="A594" s="7"/>
      <c r="B594" s="7"/>
      <c r="C594" s="7"/>
      <c r="D594" s="7"/>
      <c r="E594" s="7"/>
      <c r="F594" s="7"/>
      <c r="G594" s="7"/>
      <c r="H594" s="7"/>
    </row>
    <row r="595">
      <c r="A595" s="7"/>
      <c r="B595" s="7"/>
      <c r="C595" s="7"/>
      <c r="D595" s="7"/>
      <c r="E595" s="7"/>
      <c r="F595" s="7"/>
      <c r="G595" s="7"/>
      <c r="H595" s="7"/>
    </row>
    <row r="596">
      <c r="A596" s="7"/>
      <c r="B596" s="7"/>
      <c r="C596" s="7"/>
      <c r="D596" s="7"/>
      <c r="E596" s="7"/>
      <c r="F596" s="7"/>
      <c r="G596" s="7"/>
      <c r="H596" s="7"/>
    </row>
    <row r="597">
      <c r="A597" s="7"/>
      <c r="B597" s="7"/>
      <c r="C597" s="7"/>
      <c r="D597" s="7"/>
      <c r="E597" s="7"/>
      <c r="F597" s="7"/>
      <c r="G597" s="7"/>
      <c r="H597" s="7"/>
    </row>
    <row r="598">
      <c r="A598" s="7"/>
      <c r="B598" s="7"/>
      <c r="C598" s="7"/>
      <c r="D598" s="7"/>
      <c r="E598" s="7"/>
      <c r="F598" s="7"/>
      <c r="G598" s="7"/>
      <c r="H598" s="7"/>
    </row>
    <row r="599">
      <c r="A599" s="7"/>
      <c r="B599" s="7"/>
      <c r="C599" s="7"/>
      <c r="D599" s="7"/>
      <c r="E599" s="7"/>
      <c r="F599" s="7"/>
      <c r="G599" s="7"/>
      <c r="H599" s="7"/>
    </row>
    <row r="600">
      <c r="A600" s="7"/>
      <c r="B600" s="7"/>
      <c r="C600" s="7"/>
      <c r="D600" s="7"/>
      <c r="E600" s="7"/>
      <c r="F600" s="7"/>
      <c r="G600" s="7"/>
      <c r="H600" s="7"/>
    </row>
    <row r="601">
      <c r="A601" s="7"/>
      <c r="B601" s="7"/>
      <c r="C601" s="7"/>
      <c r="D601" s="7"/>
      <c r="E601" s="7"/>
      <c r="F601" s="7"/>
      <c r="G601" s="7"/>
      <c r="H601" s="7"/>
    </row>
    <row r="602">
      <c r="A602" s="7"/>
      <c r="B602" s="7"/>
      <c r="C602" s="7"/>
      <c r="D602" s="7"/>
      <c r="E602" s="7"/>
      <c r="F602" s="7"/>
      <c r="G602" s="7"/>
      <c r="H602" s="7"/>
    </row>
    <row r="603">
      <c r="A603" s="7"/>
      <c r="B603" s="7"/>
      <c r="C603" s="7"/>
      <c r="D603" s="7"/>
      <c r="E603" s="7"/>
      <c r="F603" s="7"/>
      <c r="G603" s="7"/>
      <c r="H603" s="7"/>
    </row>
    <row r="604">
      <c r="A604" s="7"/>
      <c r="B604" s="7"/>
      <c r="C604" s="7"/>
      <c r="D604" s="7"/>
      <c r="E604" s="7"/>
      <c r="F604" s="7"/>
      <c r="G604" s="7"/>
      <c r="H604" s="7"/>
    </row>
    <row r="605">
      <c r="A605" s="7"/>
      <c r="B605" s="7"/>
      <c r="C605" s="7"/>
      <c r="D605" s="7"/>
      <c r="E605" s="7"/>
      <c r="F605" s="7"/>
      <c r="G605" s="7"/>
      <c r="H605" s="7"/>
    </row>
    <row r="606">
      <c r="A606" s="7"/>
      <c r="B606" s="7"/>
      <c r="C606" s="7"/>
      <c r="D606" s="7"/>
      <c r="E606" s="7"/>
      <c r="F606" s="7"/>
      <c r="G606" s="7"/>
      <c r="H606" s="7"/>
    </row>
    <row r="607">
      <c r="A607" s="7"/>
      <c r="B607" s="7"/>
      <c r="C607" s="7"/>
      <c r="D607" s="7"/>
      <c r="E607" s="7"/>
      <c r="F607" s="7"/>
      <c r="G607" s="7"/>
      <c r="H607" s="7"/>
    </row>
    <row r="608">
      <c r="A608" s="7"/>
      <c r="B608" s="7"/>
      <c r="C608" s="7"/>
      <c r="D608" s="7"/>
      <c r="E608" s="7"/>
      <c r="F608" s="7"/>
      <c r="G608" s="7"/>
      <c r="H608" s="7"/>
    </row>
    <row r="609">
      <c r="A609" s="7"/>
      <c r="B609" s="7"/>
      <c r="C609" s="7"/>
      <c r="D609" s="7"/>
      <c r="E609" s="7"/>
      <c r="F609" s="7"/>
      <c r="G609" s="7"/>
      <c r="H609" s="7"/>
    </row>
    <row r="610">
      <c r="A610" s="7"/>
      <c r="B610" s="7"/>
      <c r="C610" s="7"/>
      <c r="D610" s="7"/>
      <c r="E610" s="7"/>
      <c r="F610" s="7"/>
      <c r="G610" s="7"/>
      <c r="H610" s="7"/>
    </row>
    <row r="611">
      <c r="A611" s="7"/>
      <c r="B611" s="7"/>
      <c r="C611" s="7"/>
      <c r="D611" s="7"/>
      <c r="E611" s="7"/>
      <c r="F611" s="7"/>
      <c r="G611" s="7"/>
      <c r="H611" s="7"/>
    </row>
    <row r="612">
      <c r="A612" s="7"/>
      <c r="B612" s="7"/>
      <c r="C612" s="7"/>
      <c r="D612" s="7"/>
      <c r="E612" s="7"/>
      <c r="F612" s="7"/>
      <c r="G612" s="7"/>
      <c r="H612" s="7"/>
    </row>
    <row r="613">
      <c r="A613" s="7"/>
      <c r="B613" s="7"/>
      <c r="C613" s="7"/>
      <c r="D613" s="7"/>
      <c r="E613" s="7"/>
      <c r="F613" s="7"/>
      <c r="G613" s="7"/>
      <c r="H613" s="7"/>
    </row>
    <row r="614">
      <c r="A614" s="7"/>
      <c r="B614" s="7"/>
      <c r="C614" s="7"/>
      <c r="D614" s="7"/>
      <c r="E614" s="7"/>
      <c r="F614" s="7"/>
      <c r="G614" s="7"/>
      <c r="H614" s="7"/>
    </row>
    <row r="615">
      <c r="A615" s="7"/>
      <c r="B615" s="7"/>
      <c r="C615" s="7"/>
      <c r="D615" s="7"/>
      <c r="E615" s="7"/>
      <c r="F615" s="7"/>
      <c r="G615" s="7"/>
      <c r="H615" s="7"/>
    </row>
    <row r="616">
      <c r="A616" s="7"/>
      <c r="B616" s="7"/>
      <c r="C616" s="7"/>
      <c r="D616" s="7"/>
      <c r="E616" s="7"/>
      <c r="F616" s="7"/>
      <c r="G616" s="7"/>
      <c r="H616" s="7"/>
    </row>
    <row r="617">
      <c r="A617" s="7"/>
      <c r="B617" s="7"/>
      <c r="C617" s="7"/>
      <c r="D617" s="7"/>
      <c r="E617" s="7"/>
      <c r="F617" s="7"/>
      <c r="G617" s="7"/>
      <c r="H617" s="7"/>
    </row>
    <row r="618">
      <c r="A618" s="7"/>
      <c r="B618" s="7"/>
      <c r="C618" s="7"/>
      <c r="D618" s="7"/>
      <c r="E618" s="7"/>
      <c r="F618" s="7"/>
      <c r="G618" s="7"/>
      <c r="H618" s="7"/>
    </row>
    <row r="619">
      <c r="A619" s="7"/>
      <c r="B619" s="7"/>
      <c r="C619" s="7"/>
      <c r="D619" s="7"/>
      <c r="E619" s="7"/>
      <c r="F619" s="7"/>
      <c r="G619" s="7"/>
      <c r="H619" s="7"/>
    </row>
    <row r="620">
      <c r="A620" s="7"/>
      <c r="B620" s="7"/>
      <c r="C620" s="7"/>
      <c r="D620" s="7"/>
      <c r="E620" s="7"/>
      <c r="F620" s="7"/>
      <c r="G620" s="7"/>
      <c r="H620" s="7"/>
    </row>
    <row r="621">
      <c r="A621" s="7"/>
      <c r="B621" s="7"/>
      <c r="C621" s="7"/>
      <c r="D621" s="7"/>
      <c r="E621" s="7"/>
      <c r="F621" s="7"/>
      <c r="G621" s="7"/>
      <c r="H621" s="7"/>
    </row>
    <row r="622">
      <c r="A622" s="7"/>
      <c r="B622" s="7"/>
      <c r="C622" s="7"/>
      <c r="D622" s="7"/>
      <c r="E622" s="7"/>
      <c r="F622" s="7"/>
      <c r="G622" s="7"/>
      <c r="H622" s="7"/>
    </row>
    <row r="623">
      <c r="A623" s="7"/>
      <c r="B623" s="7"/>
      <c r="C623" s="7"/>
      <c r="D623" s="7"/>
      <c r="E623" s="7"/>
      <c r="F623" s="7"/>
      <c r="G623" s="7"/>
      <c r="H623" s="7"/>
    </row>
    <row r="624">
      <c r="A624" s="7"/>
      <c r="B624" s="7"/>
      <c r="C624" s="7"/>
      <c r="D624" s="7"/>
      <c r="E624" s="7"/>
      <c r="F624" s="7"/>
      <c r="G624" s="7"/>
      <c r="H624" s="7"/>
    </row>
    <row r="625">
      <c r="A625" s="7"/>
      <c r="B625" s="7"/>
      <c r="C625" s="7"/>
      <c r="D625" s="7"/>
      <c r="E625" s="7"/>
      <c r="F625" s="7"/>
      <c r="G625" s="7"/>
      <c r="H625" s="7"/>
    </row>
    <row r="626">
      <c r="A626" s="7"/>
      <c r="B626" s="7"/>
      <c r="C626" s="7"/>
      <c r="D626" s="7"/>
      <c r="E626" s="7"/>
      <c r="F626" s="7"/>
      <c r="G626" s="7"/>
      <c r="H626" s="7"/>
    </row>
    <row r="627">
      <c r="A627" s="7"/>
      <c r="B627" s="7"/>
      <c r="C627" s="7"/>
      <c r="D627" s="7"/>
      <c r="E627" s="7"/>
      <c r="F627" s="7"/>
      <c r="G627" s="7"/>
      <c r="H627" s="7"/>
    </row>
    <row r="628">
      <c r="A628" s="7"/>
      <c r="B628" s="7"/>
      <c r="C628" s="7"/>
      <c r="D628" s="7"/>
      <c r="E628" s="7"/>
      <c r="F628" s="7"/>
      <c r="G628" s="7"/>
      <c r="H628" s="7"/>
    </row>
    <row r="629">
      <c r="A629" s="7"/>
      <c r="B629" s="7"/>
      <c r="C629" s="7"/>
      <c r="D629" s="7"/>
      <c r="E629" s="7"/>
      <c r="F629" s="7"/>
      <c r="G629" s="7"/>
      <c r="H629" s="7"/>
    </row>
    <row r="630">
      <c r="A630" s="7"/>
      <c r="B630" s="7"/>
      <c r="C630" s="7"/>
      <c r="D630" s="7"/>
      <c r="E630" s="7"/>
      <c r="F630" s="7"/>
      <c r="G630" s="7"/>
      <c r="H630" s="7"/>
    </row>
    <row r="631">
      <c r="A631" s="7"/>
      <c r="B631" s="7"/>
      <c r="C631" s="7"/>
      <c r="D631" s="7"/>
      <c r="E631" s="7"/>
      <c r="F631" s="7"/>
      <c r="G631" s="7"/>
      <c r="H631" s="7"/>
    </row>
    <row r="632">
      <c r="A632" s="7"/>
      <c r="B632" s="7"/>
      <c r="C632" s="7"/>
      <c r="D632" s="7"/>
      <c r="E632" s="7"/>
      <c r="F632" s="7"/>
      <c r="G632" s="7"/>
      <c r="H632" s="7"/>
    </row>
    <row r="633">
      <c r="A633" s="7"/>
      <c r="B633" s="7"/>
      <c r="C633" s="7"/>
      <c r="D633" s="7"/>
      <c r="E633" s="7"/>
      <c r="F633" s="7"/>
      <c r="G633" s="7"/>
      <c r="H633" s="7"/>
    </row>
    <row r="634">
      <c r="A634" s="7"/>
      <c r="B634" s="7"/>
      <c r="C634" s="7"/>
      <c r="D634" s="7"/>
      <c r="E634" s="7"/>
      <c r="F634" s="7"/>
      <c r="G634" s="7"/>
      <c r="H634" s="7"/>
    </row>
    <row r="635">
      <c r="A635" s="7"/>
      <c r="B635" s="7"/>
      <c r="C635" s="7"/>
      <c r="D635" s="7"/>
      <c r="E635" s="7"/>
      <c r="F635" s="7"/>
      <c r="G635" s="7"/>
      <c r="H635" s="7"/>
    </row>
    <row r="636">
      <c r="A636" s="7"/>
      <c r="B636" s="7"/>
      <c r="C636" s="7"/>
      <c r="D636" s="7"/>
      <c r="E636" s="7"/>
      <c r="F636" s="7"/>
      <c r="G636" s="7"/>
      <c r="H636" s="7"/>
    </row>
    <row r="637">
      <c r="A637" s="7"/>
      <c r="B637" s="7"/>
      <c r="C637" s="7"/>
      <c r="D637" s="7"/>
      <c r="E637" s="7"/>
      <c r="F637" s="7"/>
      <c r="G637" s="7"/>
      <c r="H637" s="7"/>
    </row>
    <row r="638">
      <c r="A638" s="7"/>
      <c r="B638" s="7"/>
      <c r="C638" s="7"/>
      <c r="D638" s="7"/>
      <c r="E638" s="7"/>
      <c r="F638" s="7"/>
      <c r="G638" s="7"/>
      <c r="H638" s="7"/>
    </row>
    <row r="639">
      <c r="A639" s="7"/>
      <c r="B639" s="7"/>
      <c r="C639" s="7"/>
      <c r="D639" s="7"/>
      <c r="E639" s="7"/>
      <c r="F639" s="7"/>
      <c r="G639" s="7"/>
      <c r="H639" s="7"/>
    </row>
    <row r="640">
      <c r="A640" s="7"/>
      <c r="B640" s="7"/>
      <c r="C640" s="7"/>
      <c r="D640" s="7"/>
      <c r="E640" s="7"/>
      <c r="F640" s="7"/>
      <c r="G640" s="7"/>
      <c r="H640" s="7"/>
    </row>
    <row r="641">
      <c r="A641" s="7"/>
      <c r="B641" s="7"/>
      <c r="C641" s="7"/>
      <c r="D641" s="7"/>
      <c r="E641" s="7"/>
      <c r="F641" s="7"/>
      <c r="G641" s="7"/>
      <c r="H641" s="7"/>
    </row>
    <row r="642">
      <c r="A642" s="7"/>
      <c r="B642" s="7"/>
      <c r="C642" s="7"/>
      <c r="D642" s="7"/>
      <c r="E642" s="7"/>
      <c r="F642" s="7"/>
      <c r="G642" s="7"/>
      <c r="H642" s="7"/>
    </row>
    <row r="643">
      <c r="A643" s="7"/>
      <c r="B643" s="7"/>
      <c r="C643" s="7"/>
      <c r="D643" s="7"/>
      <c r="E643" s="7"/>
      <c r="F643" s="7"/>
      <c r="G643" s="7"/>
      <c r="H643" s="7"/>
    </row>
    <row r="644">
      <c r="A644" s="7"/>
      <c r="B644" s="7"/>
      <c r="C644" s="7"/>
      <c r="D644" s="7"/>
      <c r="E644" s="7"/>
      <c r="F644" s="7"/>
      <c r="G644" s="7"/>
      <c r="H644" s="7"/>
    </row>
    <row r="645">
      <c r="A645" s="7"/>
      <c r="B645" s="7"/>
      <c r="C645" s="7"/>
      <c r="D645" s="7"/>
      <c r="E645" s="7"/>
      <c r="F645" s="7"/>
      <c r="G645" s="7"/>
      <c r="H645" s="7"/>
    </row>
    <row r="646">
      <c r="A646" s="7"/>
      <c r="B646" s="7"/>
      <c r="C646" s="7"/>
      <c r="D646" s="7"/>
      <c r="E646" s="7"/>
      <c r="F646" s="7"/>
      <c r="G646" s="7"/>
      <c r="H646" s="7"/>
    </row>
    <row r="647">
      <c r="A647" s="7"/>
      <c r="B647" s="7"/>
      <c r="C647" s="7"/>
      <c r="D647" s="7"/>
      <c r="E647" s="7"/>
      <c r="F647" s="7"/>
      <c r="G647" s="7"/>
      <c r="H647" s="7"/>
    </row>
    <row r="648">
      <c r="A648" s="7"/>
      <c r="B648" s="7"/>
      <c r="C648" s="7"/>
      <c r="D648" s="7"/>
      <c r="E648" s="7"/>
      <c r="F648" s="7"/>
      <c r="G648" s="7"/>
      <c r="H648" s="7"/>
    </row>
    <row r="649">
      <c r="A649" s="7"/>
      <c r="B649" s="7"/>
      <c r="C649" s="7"/>
      <c r="D649" s="7"/>
      <c r="E649" s="7"/>
      <c r="F649" s="7"/>
      <c r="G649" s="7"/>
      <c r="H649" s="7"/>
    </row>
    <row r="650">
      <c r="A650" s="7"/>
      <c r="B650" s="7"/>
      <c r="C650" s="7"/>
      <c r="D650" s="7"/>
      <c r="E650" s="7"/>
      <c r="F650" s="7"/>
      <c r="G650" s="7"/>
      <c r="H650" s="7"/>
    </row>
    <row r="651">
      <c r="A651" s="7"/>
      <c r="B651" s="7"/>
      <c r="C651" s="7"/>
      <c r="D651" s="7"/>
      <c r="E651" s="7"/>
      <c r="F651" s="7"/>
      <c r="G651" s="7"/>
      <c r="H651" s="7"/>
    </row>
    <row r="652">
      <c r="A652" s="7"/>
      <c r="B652" s="7"/>
      <c r="C652" s="7"/>
      <c r="D652" s="7"/>
      <c r="E652" s="7"/>
      <c r="F652" s="7"/>
      <c r="G652" s="7"/>
      <c r="H652" s="7"/>
    </row>
    <row r="653">
      <c r="A653" s="7"/>
      <c r="B653" s="7"/>
      <c r="C653" s="7"/>
      <c r="D653" s="7"/>
      <c r="E653" s="7"/>
      <c r="F653" s="7"/>
      <c r="G653" s="7"/>
      <c r="H653" s="7"/>
    </row>
    <row r="654">
      <c r="A654" s="7"/>
      <c r="B654" s="7"/>
      <c r="C654" s="7"/>
      <c r="D654" s="7"/>
      <c r="E654" s="7"/>
      <c r="F654" s="7"/>
      <c r="G654" s="7"/>
      <c r="H654" s="7"/>
    </row>
    <row r="655">
      <c r="A655" s="7"/>
      <c r="B655" s="7"/>
      <c r="C655" s="7"/>
      <c r="D655" s="7"/>
      <c r="E655" s="7"/>
      <c r="F655" s="7"/>
      <c r="G655" s="7"/>
      <c r="H655" s="7"/>
    </row>
    <row r="656">
      <c r="A656" s="7"/>
      <c r="B656" s="7"/>
      <c r="C656" s="7"/>
      <c r="D656" s="7"/>
      <c r="E656" s="7"/>
      <c r="F656" s="7"/>
      <c r="G656" s="7"/>
      <c r="H656" s="7"/>
    </row>
    <row r="657">
      <c r="A657" s="7"/>
      <c r="B657" s="7"/>
      <c r="C657" s="7"/>
      <c r="D657" s="7"/>
      <c r="E657" s="7"/>
      <c r="F657" s="7"/>
      <c r="G657" s="7"/>
      <c r="H657" s="7"/>
    </row>
    <row r="658">
      <c r="A658" s="7"/>
      <c r="B658" s="7"/>
      <c r="C658" s="7"/>
      <c r="D658" s="7"/>
      <c r="E658" s="7"/>
      <c r="F658" s="7"/>
      <c r="G658" s="7"/>
      <c r="H658" s="7"/>
    </row>
    <row r="659">
      <c r="A659" s="7"/>
      <c r="B659" s="7"/>
      <c r="C659" s="7"/>
      <c r="D659" s="7"/>
      <c r="E659" s="7"/>
      <c r="F659" s="7"/>
      <c r="G659" s="7"/>
      <c r="H659" s="7"/>
    </row>
    <row r="660">
      <c r="A660" s="7"/>
      <c r="B660" s="7"/>
      <c r="C660" s="7"/>
      <c r="D660" s="7"/>
      <c r="E660" s="7"/>
      <c r="F660" s="7"/>
      <c r="G660" s="7"/>
      <c r="H660" s="7"/>
    </row>
    <row r="661">
      <c r="A661" s="7"/>
      <c r="B661" s="7"/>
      <c r="C661" s="7"/>
      <c r="D661" s="7"/>
      <c r="E661" s="7"/>
      <c r="F661" s="7"/>
      <c r="G661" s="7"/>
      <c r="H661" s="7"/>
    </row>
    <row r="662">
      <c r="A662" s="7"/>
      <c r="B662" s="7"/>
      <c r="C662" s="7"/>
      <c r="D662" s="7"/>
      <c r="E662" s="7"/>
      <c r="F662" s="7"/>
      <c r="G662" s="7"/>
      <c r="H662" s="7"/>
    </row>
    <row r="663">
      <c r="A663" s="7"/>
      <c r="B663" s="7"/>
      <c r="C663" s="7"/>
      <c r="D663" s="7"/>
      <c r="E663" s="7"/>
      <c r="F663" s="7"/>
      <c r="G663" s="7"/>
      <c r="H663" s="7"/>
    </row>
    <row r="664">
      <c r="A664" s="7"/>
      <c r="B664" s="7"/>
      <c r="C664" s="7"/>
      <c r="D664" s="7"/>
      <c r="E664" s="7"/>
      <c r="F664" s="7"/>
      <c r="G664" s="7"/>
      <c r="H664" s="7"/>
    </row>
    <row r="665">
      <c r="A665" s="7"/>
      <c r="B665" s="7"/>
      <c r="C665" s="7"/>
      <c r="D665" s="7"/>
      <c r="E665" s="7"/>
      <c r="F665" s="7"/>
      <c r="G665" s="7"/>
      <c r="H665" s="7"/>
    </row>
    <row r="666">
      <c r="A666" s="7"/>
      <c r="B666" s="7"/>
      <c r="C666" s="7"/>
      <c r="D666" s="7"/>
      <c r="E666" s="7"/>
      <c r="F666" s="7"/>
      <c r="G666" s="7"/>
      <c r="H666" s="7"/>
    </row>
    <row r="667">
      <c r="A667" s="7"/>
      <c r="B667" s="7"/>
      <c r="C667" s="7"/>
      <c r="D667" s="7"/>
      <c r="E667" s="7"/>
      <c r="F667" s="7"/>
      <c r="G667" s="7"/>
      <c r="H667" s="7"/>
    </row>
    <row r="668">
      <c r="A668" s="7"/>
      <c r="B668" s="7"/>
      <c r="C668" s="7"/>
      <c r="D668" s="7"/>
      <c r="E668" s="7"/>
      <c r="F668" s="7"/>
      <c r="G668" s="7"/>
      <c r="H668" s="7"/>
    </row>
    <row r="669">
      <c r="A669" s="7"/>
      <c r="B669" s="7"/>
      <c r="C669" s="7"/>
      <c r="D669" s="7"/>
      <c r="E669" s="7"/>
      <c r="F669" s="7"/>
      <c r="G669" s="7"/>
      <c r="H669" s="7"/>
    </row>
    <row r="670">
      <c r="A670" s="7"/>
      <c r="B670" s="7"/>
      <c r="C670" s="7"/>
      <c r="D670" s="7"/>
      <c r="E670" s="7"/>
      <c r="F670" s="7"/>
      <c r="G670" s="7"/>
      <c r="H670" s="7"/>
    </row>
    <row r="671">
      <c r="A671" s="7"/>
      <c r="B671" s="7"/>
      <c r="C671" s="7"/>
      <c r="D671" s="7"/>
      <c r="E671" s="7"/>
      <c r="F671" s="7"/>
      <c r="G671" s="7"/>
      <c r="H671" s="7"/>
    </row>
    <row r="672">
      <c r="A672" s="7"/>
      <c r="B672" s="7"/>
      <c r="C672" s="7"/>
      <c r="D672" s="7"/>
      <c r="E672" s="7"/>
      <c r="F672" s="7"/>
      <c r="G672" s="7"/>
      <c r="H672" s="7"/>
    </row>
    <row r="673">
      <c r="A673" s="7"/>
      <c r="B673" s="7"/>
      <c r="C673" s="7"/>
      <c r="D673" s="7"/>
      <c r="E673" s="7"/>
      <c r="F673" s="7"/>
      <c r="G673" s="7"/>
      <c r="H673" s="7"/>
    </row>
    <row r="674">
      <c r="A674" s="7"/>
      <c r="B674" s="7"/>
      <c r="C674" s="7"/>
      <c r="D674" s="7"/>
      <c r="E674" s="7"/>
      <c r="F674" s="7"/>
      <c r="G674" s="7"/>
      <c r="H674" s="7"/>
    </row>
    <row r="675">
      <c r="A675" s="7"/>
      <c r="B675" s="7"/>
      <c r="C675" s="7"/>
      <c r="D675" s="7"/>
      <c r="E675" s="7"/>
      <c r="F675" s="7"/>
      <c r="G675" s="7"/>
      <c r="H675" s="7"/>
    </row>
    <row r="676">
      <c r="A676" s="7"/>
      <c r="B676" s="7"/>
      <c r="C676" s="7"/>
      <c r="D676" s="7"/>
      <c r="E676" s="7"/>
      <c r="F676" s="7"/>
      <c r="G676" s="7"/>
      <c r="H676" s="7"/>
    </row>
    <row r="677">
      <c r="A677" s="7"/>
      <c r="B677" s="7"/>
      <c r="C677" s="7"/>
      <c r="D677" s="7"/>
      <c r="E677" s="7"/>
      <c r="F677" s="7"/>
      <c r="G677" s="7"/>
      <c r="H677" s="7"/>
    </row>
    <row r="678">
      <c r="A678" s="7"/>
      <c r="B678" s="7"/>
      <c r="C678" s="7"/>
      <c r="D678" s="7"/>
      <c r="E678" s="7"/>
      <c r="F678" s="7"/>
      <c r="G678" s="7"/>
      <c r="H678" s="7"/>
    </row>
    <row r="679">
      <c r="A679" s="7"/>
      <c r="B679" s="7"/>
      <c r="C679" s="7"/>
      <c r="D679" s="7"/>
      <c r="E679" s="7"/>
      <c r="F679" s="7"/>
      <c r="G679" s="7"/>
      <c r="H679" s="7"/>
    </row>
    <row r="680">
      <c r="A680" s="7"/>
      <c r="B680" s="7"/>
      <c r="C680" s="7"/>
      <c r="D680" s="7"/>
      <c r="E680" s="7"/>
      <c r="F680" s="7"/>
      <c r="G680" s="7"/>
      <c r="H680" s="7"/>
    </row>
    <row r="681">
      <c r="A681" s="7"/>
      <c r="B681" s="7"/>
      <c r="C681" s="7"/>
      <c r="D681" s="7"/>
      <c r="E681" s="7"/>
      <c r="F681" s="7"/>
      <c r="G681" s="7"/>
      <c r="H681" s="7"/>
    </row>
    <row r="682">
      <c r="A682" s="7"/>
      <c r="B682" s="7"/>
      <c r="C682" s="7"/>
      <c r="D682" s="7"/>
      <c r="E682" s="7"/>
      <c r="F682" s="7"/>
      <c r="G682" s="7"/>
      <c r="H682" s="7"/>
    </row>
    <row r="683">
      <c r="A683" s="7"/>
      <c r="B683" s="7"/>
      <c r="C683" s="7"/>
      <c r="D683" s="7"/>
      <c r="E683" s="7"/>
      <c r="F683" s="7"/>
      <c r="G683" s="7"/>
      <c r="H683" s="7"/>
    </row>
    <row r="684">
      <c r="A684" s="7"/>
      <c r="B684" s="7"/>
      <c r="C684" s="7"/>
      <c r="D684" s="7"/>
      <c r="E684" s="7"/>
      <c r="F684" s="7"/>
      <c r="G684" s="7"/>
      <c r="H684" s="7"/>
    </row>
    <row r="685">
      <c r="A685" s="7"/>
      <c r="B685" s="7"/>
      <c r="C685" s="7"/>
      <c r="D685" s="7"/>
      <c r="E685" s="7"/>
      <c r="F685" s="7"/>
      <c r="G685" s="7"/>
      <c r="H685" s="7"/>
    </row>
    <row r="686">
      <c r="A686" s="7"/>
      <c r="B686" s="7"/>
      <c r="C686" s="7"/>
      <c r="D686" s="7"/>
      <c r="E686" s="7"/>
      <c r="F686" s="7"/>
      <c r="G686" s="7"/>
      <c r="H686" s="7"/>
    </row>
    <row r="687">
      <c r="A687" s="7"/>
      <c r="B687" s="7"/>
      <c r="C687" s="7"/>
      <c r="D687" s="7"/>
      <c r="E687" s="7"/>
      <c r="F687" s="7"/>
      <c r="G687" s="7"/>
      <c r="H687" s="7"/>
    </row>
    <row r="688">
      <c r="A688" s="7"/>
      <c r="B688" s="7"/>
      <c r="C688" s="7"/>
      <c r="D688" s="7"/>
      <c r="E688" s="7"/>
      <c r="F688" s="7"/>
      <c r="G688" s="7"/>
      <c r="H688" s="7"/>
    </row>
    <row r="689">
      <c r="A689" s="7"/>
      <c r="B689" s="7"/>
      <c r="C689" s="7"/>
      <c r="D689" s="7"/>
      <c r="E689" s="7"/>
      <c r="F689" s="7"/>
      <c r="G689" s="7"/>
      <c r="H689" s="7"/>
    </row>
    <row r="690">
      <c r="A690" s="7"/>
      <c r="B690" s="7"/>
      <c r="C690" s="7"/>
      <c r="D690" s="7"/>
      <c r="E690" s="7"/>
      <c r="F690" s="7"/>
      <c r="G690" s="7"/>
      <c r="H690" s="7"/>
    </row>
    <row r="691">
      <c r="A691" s="7"/>
      <c r="B691" s="7"/>
      <c r="C691" s="7"/>
      <c r="D691" s="7"/>
      <c r="E691" s="7"/>
      <c r="F691" s="7"/>
      <c r="G691" s="7"/>
      <c r="H691" s="7"/>
    </row>
    <row r="692">
      <c r="A692" s="7"/>
      <c r="B692" s="7"/>
      <c r="C692" s="7"/>
      <c r="D692" s="7"/>
      <c r="E692" s="7"/>
      <c r="F692" s="7"/>
      <c r="G692" s="7"/>
      <c r="H692" s="7"/>
    </row>
    <row r="693">
      <c r="A693" s="7"/>
      <c r="B693" s="7"/>
      <c r="C693" s="7"/>
      <c r="D693" s="7"/>
      <c r="E693" s="7"/>
      <c r="F693" s="7"/>
      <c r="G693" s="7"/>
      <c r="H693" s="7"/>
    </row>
    <row r="694">
      <c r="A694" s="7"/>
      <c r="B694" s="7"/>
      <c r="C694" s="7"/>
      <c r="D694" s="7"/>
      <c r="E694" s="7"/>
      <c r="F694" s="7"/>
      <c r="G694" s="7"/>
      <c r="H694" s="7"/>
    </row>
    <row r="695">
      <c r="A695" s="7"/>
      <c r="B695" s="7"/>
      <c r="C695" s="7"/>
      <c r="D695" s="7"/>
      <c r="E695" s="7"/>
      <c r="F695" s="7"/>
      <c r="G695" s="7"/>
      <c r="H695" s="7"/>
    </row>
    <row r="696">
      <c r="A696" s="7"/>
      <c r="B696" s="7"/>
      <c r="C696" s="7"/>
      <c r="D696" s="7"/>
      <c r="E696" s="7"/>
      <c r="F696" s="7"/>
      <c r="G696" s="7"/>
      <c r="H696" s="7"/>
    </row>
    <row r="697">
      <c r="A697" s="7"/>
      <c r="B697" s="7"/>
      <c r="C697" s="7"/>
      <c r="D697" s="7"/>
      <c r="E697" s="7"/>
      <c r="F697" s="7"/>
      <c r="G697" s="7"/>
      <c r="H697" s="7"/>
    </row>
    <row r="698">
      <c r="A698" s="7"/>
      <c r="B698" s="7"/>
      <c r="C698" s="7"/>
      <c r="D698" s="7"/>
      <c r="E698" s="7"/>
      <c r="F698" s="7"/>
      <c r="G698" s="7"/>
      <c r="H698" s="7"/>
    </row>
    <row r="699">
      <c r="A699" s="7"/>
      <c r="B699" s="7"/>
      <c r="C699" s="7"/>
      <c r="D699" s="7"/>
      <c r="E699" s="7"/>
      <c r="F699" s="7"/>
      <c r="G699" s="7"/>
      <c r="H699" s="7"/>
    </row>
    <row r="700">
      <c r="A700" s="7"/>
      <c r="B700" s="7"/>
      <c r="C700" s="7"/>
      <c r="D700" s="7"/>
      <c r="E700" s="7"/>
      <c r="F700" s="7"/>
      <c r="G700" s="7"/>
      <c r="H700" s="7"/>
    </row>
    <row r="701">
      <c r="A701" s="7"/>
      <c r="B701" s="7"/>
      <c r="C701" s="7"/>
      <c r="D701" s="7"/>
      <c r="E701" s="7"/>
      <c r="F701" s="7"/>
      <c r="G701" s="7"/>
      <c r="H701" s="7"/>
    </row>
    <row r="702">
      <c r="A702" s="7"/>
      <c r="B702" s="7"/>
      <c r="C702" s="7"/>
      <c r="D702" s="7"/>
      <c r="E702" s="7"/>
      <c r="F702" s="7"/>
      <c r="G702" s="7"/>
      <c r="H702" s="7"/>
    </row>
    <row r="703">
      <c r="A703" s="7"/>
      <c r="B703" s="7"/>
      <c r="C703" s="7"/>
      <c r="D703" s="7"/>
      <c r="E703" s="7"/>
      <c r="F703" s="7"/>
      <c r="G703" s="7"/>
      <c r="H703" s="7"/>
    </row>
    <row r="704">
      <c r="A704" s="7"/>
      <c r="B704" s="7"/>
      <c r="C704" s="7"/>
      <c r="D704" s="7"/>
      <c r="E704" s="7"/>
      <c r="F704" s="7"/>
      <c r="G704" s="7"/>
      <c r="H704" s="7"/>
    </row>
    <row r="705">
      <c r="A705" s="7"/>
      <c r="B705" s="7"/>
      <c r="C705" s="7"/>
      <c r="D705" s="7"/>
      <c r="E705" s="7"/>
      <c r="F705" s="7"/>
      <c r="G705" s="7"/>
      <c r="H705" s="7"/>
    </row>
    <row r="706">
      <c r="A706" s="7"/>
      <c r="B706" s="7"/>
      <c r="C706" s="7"/>
      <c r="D706" s="7"/>
      <c r="E706" s="7"/>
      <c r="F706" s="7"/>
      <c r="G706" s="7"/>
      <c r="H706" s="7"/>
    </row>
    <row r="707">
      <c r="A707" s="7"/>
      <c r="B707" s="7"/>
      <c r="C707" s="7"/>
      <c r="D707" s="7"/>
      <c r="E707" s="7"/>
      <c r="F707" s="7"/>
      <c r="G707" s="7"/>
      <c r="H707" s="7"/>
    </row>
    <row r="708">
      <c r="A708" s="7"/>
      <c r="B708" s="7"/>
      <c r="C708" s="7"/>
      <c r="D708" s="7"/>
      <c r="E708" s="7"/>
      <c r="F708" s="7"/>
      <c r="G708" s="7"/>
      <c r="H708" s="7"/>
    </row>
    <row r="709">
      <c r="A709" s="7"/>
      <c r="B709" s="7"/>
      <c r="C709" s="7"/>
      <c r="D709" s="7"/>
      <c r="E709" s="7"/>
      <c r="F709" s="7"/>
      <c r="G709" s="7"/>
      <c r="H709" s="7"/>
    </row>
    <row r="710">
      <c r="A710" s="7"/>
      <c r="B710" s="7"/>
      <c r="C710" s="7"/>
      <c r="D710" s="7"/>
      <c r="E710" s="7"/>
      <c r="F710" s="7"/>
      <c r="G710" s="7"/>
      <c r="H710" s="7"/>
    </row>
    <row r="711">
      <c r="A711" s="7"/>
      <c r="B711" s="7"/>
      <c r="C711" s="7"/>
      <c r="D711" s="7"/>
      <c r="E711" s="7"/>
      <c r="F711" s="7"/>
      <c r="G711" s="7"/>
      <c r="H711" s="7"/>
    </row>
    <row r="712">
      <c r="A712" s="7"/>
      <c r="B712" s="7"/>
      <c r="C712" s="7"/>
      <c r="D712" s="7"/>
      <c r="E712" s="7"/>
      <c r="F712" s="7"/>
      <c r="G712" s="7"/>
      <c r="H712" s="7"/>
    </row>
    <row r="713">
      <c r="A713" s="7"/>
      <c r="B713" s="7"/>
      <c r="C713" s="7"/>
      <c r="D713" s="7"/>
      <c r="E713" s="7"/>
      <c r="F713" s="7"/>
      <c r="G713" s="7"/>
      <c r="H713" s="7"/>
    </row>
    <row r="714">
      <c r="A714" s="7"/>
      <c r="B714" s="7"/>
      <c r="C714" s="7"/>
      <c r="D714" s="7"/>
      <c r="E714" s="7"/>
      <c r="F714" s="7"/>
      <c r="G714" s="7"/>
      <c r="H714" s="7"/>
    </row>
    <row r="715">
      <c r="A715" s="7"/>
      <c r="B715" s="7"/>
      <c r="C715" s="7"/>
      <c r="D715" s="7"/>
      <c r="E715" s="7"/>
      <c r="F715" s="7"/>
      <c r="G715" s="7"/>
      <c r="H715" s="7"/>
    </row>
    <row r="716">
      <c r="A716" s="7"/>
      <c r="B716" s="7"/>
      <c r="C716" s="7"/>
      <c r="D716" s="7"/>
      <c r="E716" s="7"/>
      <c r="F716" s="7"/>
      <c r="G716" s="7"/>
      <c r="H716" s="7"/>
    </row>
    <row r="717">
      <c r="A717" s="7"/>
      <c r="B717" s="7"/>
      <c r="C717" s="7"/>
      <c r="D717" s="7"/>
      <c r="E717" s="7"/>
      <c r="F717" s="7"/>
      <c r="G717" s="7"/>
      <c r="H717" s="7"/>
    </row>
    <row r="718">
      <c r="A718" s="7"/>
      <c r="B718" s="7"/>
      <c r="C718" s="7"/>
      <c r="D718" s="7"/>
      <c r="E718" s="7"/>
      <c r="F718" s="7"/>
      <c r="G718" s="7"/>
      <c r="H718" s="7"/>
    </row>
    <row r="719">
      <c r="A719" s="7"/>
      <c r="B719" s="7"/>
      <c r="C719" s="7"/>
      <c r="D719" s="7"/>
      <c r="E719" s="7"/>
      <c r="F719" s="7"/>
      <c r="G719" s="7"/>
      <c r="H719" s="7"/>
    </row>
    <row r="720">
      <c r="A720" s="7"/>
      <c r="B720" s="7"/>
      <c r="C720" s="7"/>
      <c r="D720" s="7"/>
      <c r="E720" s="7"/>
      <c r="F720" s="7"/>
      <c r="G720" s="7"/>
      <c r="H720" s="7"/>
    </row>
    <row r="721">
      <c r="A721" s="7"/>
      <c r="B721" s="7"/>
      <c r="C721" s="7"/>
      <c r="D721" s="7"/>
      <c r="E721" s="7"/>
      <c r="F721" s="7"/>
      <c r="G721" s="7"/>
      <c r="H721" s="7"/>
    </row>
    <row r="722">
      <c r="A722" s="7"/>
      <c r="B722" s="7"/>
      <c r="C722" s="7"/>
      <c r="D722" s="7"/>
      <c r="E722" s="7"/>
      <c r="F722" s="7"/>
      <c r="G722" s="7"/>
      <c r="H722" s="7"/>
    </row>
    <row r="723">
      <c r="A723" s="7"/>
      <c r="B723" s="7"/>
      <c r="C723" s="7"/>
      <c r="D723" s="7"/>
      <c r="E723" s="7"/>
      <c r="F723" s="7"/>
      <c r="G723" s="7"/>
      <c r="H723" s="7"/>
    </row>
    <row r="724">
      <c r="A724" s="7"/>
      <c r="B724" s="7"/>
      <c r="C724" s="7"/>
      <c r="D724" s="7"/>
      <c r="E724" s="7"/>
      <c r="F724" s="7"/>
      <c r="G724" s="7"/>
      <c r="H724" s="7"/>
    </row>
    <row r="725">
      <c r="A725" s="7"/>
      <c r="B725" s="7"/>
      <c r="C725" s="7"/>
      <c r="D725" s="7"/>
      <c r="E725" s="7"/>
      <c r="F725" s="7"/>
      <c r="G725" s="7"/>
      <c r="H725" s="7"/>
    </row>
    <row r="726">
      <c r="A726" s="7"/>
      <c r="B726" s="7"/>
      <c r="C726" s="7"/>
      <c r="D726" s="7"/>
      <c r="E726" s="7"/>
      <c r="F726" s="7"/>
      <c r="G726" s="7"/>
      <c r="H726" s="7"/>
    </row>
    <row r="727">
      <c r="A727" s="7"/>
      <c r="B727" s="7"/>
      <c r="C727" s="7"/>
      <c r="D727" s="7"/>
      <c r="E727" s="7"/>
      <c r="F727" s="7"/>
      <c r="G727" s="7"/>
      <c r="H727" s="7"/>
    </row>
    <row r="728">
      <c r="A728" s="7"/>
      <c r="B728" s="7"/>
      <c r="C728" s="7"/>
      <c r="D728" s="7"/>
      <c r="E728" s="7"/>
      <c r="F728" s="7"/>
      <c r="G728" s="7"/>
      <c r="H728" s="7"/>
    </row>
    <row r="729">
      <c r="A729" s="7"/>
      <c r="B729" s="7"/>
      <c r="C729" s="7"/>
      <c r="D729" s="7"/>
      <c r="E729" s="7"/>
      <c r="F729" s="7"/>
      <c r="G729" s="7"/>
      <c r="H729" s="7"/>
    </row>
    <row r="730">
      <c r="A730" s="7"/>
      <c r="B730" s="7"/>
      <c r="C730" s="7"/>
      <c r="D730" s="7"/>
      <c r="E730" s="7"/>
      <c r="F730" s="7"/>
      <c r="G730" s="7"/>
      <c r="H730" s="7"/>
    </row>
    <row r="731">
      <c r="A731" s="7"/>
      <c r="B731" s="7"/>
      <c r="C731" s="7"/>
      <c r="D731" s="7"/>
      <c r="E731" s="7"/>
      <c r="F731" s="7"/>
      <c r="G731" s="7"/>
      <c r="H731" s="7"/>
    </row>
    <row r="732">
      <c r="A732" s="7"/>
      <c r="B732" s="7"/>
      <c r="C732" s="7"/>
      <c r="D732" s="7"/>
      <c r="E732" s="7"/>
      <c r="F732" s="7"/>
      <c r="G732" s="7"/>
      <c r="H732" s="7"/>
    </row>
    <row r="733">
      <c r="A733" s="7"/>
      <c r="B733" s="7"/>
      <c r="C733" s="7"/>
      <c r="D733" s="7"/>
      <c r="E733" s="7"/>
      <c r="F733" s="7"/>
      <c r="G733" s="7"/>
      <c r="H733" s="7"/>
    </row>
    <row r="734">
      <c r="A734" s="7"/>
      <c r="B734" s="7"/>
      <c r="C734" s="7"/>
      <c r="D734" s="7"/>
      <c r="E734" s="7"/>
      <c r="F734" s="7"/>
      <c r="G734" s="7"/>
      <c r="H734" s="7"/>
    </row>
    <row r="735">
      <c r="A735" s="7"/>
      <c r="B735" s="7"/>
      <c r="C735" s="7"/>
      <c r="D735" s="7"/>
      <c r="E735" s="7"/>
      <c r="F735" s="7"/>
      <c r="G735" s="7"/>
      <c r="H735" s="7"/>
    </row>
    <row r="736">
      <c r="A736" s="7"/>
      <c r="B736" s="7"/>
      <c r="C736" s="7"/>
      <c r="D736" s="7"/>
      <c r="E736" s="7"/>
      <c r="F736" s="7"/>
      <c r="G736" s="7"/>
      <c r="H736" s="7"/>
    </row>
    <row r="737">
      <c r="A737" s="7"/>
      <c r="B737" s="7"/>
      <c r="C737" s="7"/>
      <c r="D737" s="7"/>
      <c r="E737" s="7"/>
      <c r="F737" s="7"/>
      <c r="G737" s="7"/>
      <c r="H737" s="7"/>
    </row>
    <row r="738">
      <c r="A738" s="7"/>
      <c r="B738" s="7"/>
      <c r="C738" s="7"/>
      <c r="D738" s="7"/>
      <c r="E738" s="7"/>
      <c r="F738" s="7"/>
      <c r="G738" s="7"/>
      <c r="H738" s="7"/>
    </row>
    <row r="739">
      <c r="A739" s="7"/>
      <c r="B739" s="7"/>
      <c r="C739" s="7"/>
      <c r="D739" s="7"/>
      <c r="E739" s="7"/>
      <c r="F739" s="7"/>
      <c r="G739" s="7"/>
      <c r="H739" s="7"/>
    </row>
    <row r="740">
      <c r="A740" s="7"/>
      <c r="B740" s="7"/>
      <c r="C740" s="7"/>
      <c r="D740" s="7"/>
      <c r="E740" s="7"/>
      <c r="F740" s="7"/>
      <c r="G740" s="7"/>
      <c r="H740" s="7"/>
    </row>
    <row r="741">
      <c r="A741" s="7"/>
      <c r="B741" s="7"/>
      <c r="C741" s="7"/>
      <c r="D741" s="7"/>
      <c r="E741" s="7"/>
      <c r="F741" s="7"/>
      <c r="G741" s="7"/>
      <c r="H741" s="7"/>
    </row>
    <row r="742">
      <c r="A742" s="7"/>
      <c r="B742" s="7"/>
      <c r="C742" s="7"/>
      <c r="D742" s="7"/>
      <c r="E742" s="7"/>
      <c r="F742" s="7"/>
      <c r="G742" s="7"/>
      <c r="H742" s="7"/>
    </row>
    <row r="743">
      <c r="A743" s="7"/>
      <c r="B743" s="7"/>
      <c r="C743" s="7"/>
      <c r="D743" s="7"/>
      <c r="E743" s="7"/>
      <c r="F743" s="7"/>
      <c r="G743" s="7"/>
      <c r="H743" s="7"/>
    </row>
    <row r="744">
      <c r="A744" s="7"/>
      <c r="B744" s="7"/>
      <c r="C744" s="7"/>
      <c r="D744" s="7"/>
      <c r="E744" s="7"/>
      <c r="F744" s="7"/>
      <c r="G744" s="7"/>
      <c r="H744" s="7"/>
    </row>
    <row r="745">
      <c r="A745" s="7"/>
      <c r="B745" s="7"/>
      <c r="C745" s="7"/>
      <c r="D745" s="7"/>
      <c r="E745" s="7"/>
      <c r="F745" s="7"/>
      <c r="G745" s="7"/>
      <c r="H745" s="7"/>
    </row>
    <row r="746">
      <c r="A746" s="7"/>
      <c r="B746" s="7"/>
      <c r="C746" s="7"/>
      <c r="D746" s="7"/>
      <c r="E746" s="7"/>
      <c r="F746" s="7"/>
      <c r="G746" s="7"/>
      <c r="H746" s="7"/>
    </row>
    <row r="747">
      <c r="A747" s="7"/>
      <c r="B747" s="7"/>
      <c r="C747" s="7"/>
      <c r="D747" s="7"/>
      <c r="E747" s="7"/>
      <c r="F747" s="7"/>
      <c r="G747" s="7"/>
      <c r="H747" s="7"/>
    </row>
    <row r="748">
      <c r="A748" s="7"/>
      <c r="B748" s="7"/>
      <c r="C748" s="7"/>
      <c r="D748" s="7"/>
      <c r="E748" s="7"/>
      <c r="F748" s="7"/>
      <c r="G748" s="7"/>
      <c r="H748" s="7"/>
    </row>
    <row r="749">
      <c r="A749" s="7"/>
      <c r="B749" s="7"/>
      <c r="C749" s="7"/>
      <c r="D749" s="7"/>
      <c r="E749" s="7"/>
      <c r="F749" s="7"/>
      <c r="G749" s="7"/>
      <c r="H749" s="7"/>
    </row>
    <row r="750">
      <c r="A750" s="7"/>
      <c r="B750" s="7"/>
      <c r="C750" s="7"/>
      <c r="D750" s="7"/>
      <c r="E750" s="7"/>
      <c r="F750" s="7"/>
      <c r="G750" s="7"/>
      <c r="H750" s="7"/>
    </row>
    <row r="751">
      <c r="A751" s="7"/>
      <c r="B751" s="7"/>
      <c r="C751" s="7"/>
      <c r="D751" s="7"/>
      <c r="E751" s="7"/>
      <c r="F751" s="7"/>
      <c r="G751" s="7"/>
      <c r="H751" s="7"/>
    </row>
    <row r="752">
      <c r="A752" s="7"/>
      <c r="B752" s="7"/>
      <c r="C752" s="7"/>
      <c r="D752" s="7"/>
      <c r="E752" s="7"/>
      <c r="F752" s="7"/>
      <c r="G752" s="7"/>
      <c r="H752" s="7"/>
    </row>
    <row r="753">
      <c r="A753" s="7"/>
      <c r="B753" s="7"/>
      <c r="C753" s="7"/>
      <c r="D753" s="7"/>
      <c r="E753" s="7"/>
      <c r="F753" s="7"/>
      <c r="G753" s="7"/>
      <c r="H753" s="7"/>
    </row>
    <row r="754">
      <c r="A754" s="7"/>
      <c r="B754" s="7"/>
      <c r="C754" s="7"/>
      <c r="D754" s="7"/>
      <c r="E754" s="7"/>
      <c r="F754" s="7"/>
      <c r="G754" s="7"/>
      <c r="H754" s="7"/>
    </row>
    <row r="755">
      <c r="A755" s="7"/>
      <c r="B755" s="7"/>
      <c r="C755" s="7"/>
      <c r="D755" s="7"/>
      <c r="E755" s="7"/>
      <c r="F755" s="7"/>
      <c r="G755" s="7"/>
      <c r="H755" s="7"/>
    </row>
    <row r="756">
      <c r="A756" s="7"/>
      <c r="B756" s="7"/>
      <c r="C756" s="7"/>
      <c r="D756" s="7"/>
      <c r="E756" s="7"/>
      <c r="F756" s="7"/>
      <c r="G756" s="7"/>
      <c r="H756" s="7"/>
    </row>
    <row r="757">
      <c r="A757" s="7"/>
      <c r="B757" s="7"/>
      <c r="C757" s="7"/>
      <c r="D757" s="7"/>
      <c r="E757" s="7"/>
      <c r="F757" s="7"/>
      <c r="G757" s="7"/>
      <c r="H757" s="7"/>
    </row>
    <row r="758">
      <c r="A758" s="7"/>
      <c r="B758" s="7"/>
      <c r="C758" s="7"/>
      <c r="D758" s="7"/>
      <c r="E758" s="7"/>
      <c r="F758" s="7"/>
      <c r="G758" s="7"/>
      <c r="H758" s="7"/>
    </row>
    <row r="759">
      <c r="A759" s="7"/>
      <c r="B759" s="7"/>
      <c r="C759" s="7"/>
      <c r="D759" s="7"/>
      <c r="E759" s="7"/>
      <c r="F759" s="7"/>
      <c r="G759" s="7"/>
      <c r="H759" s="7"/>
    </row>
    <row r="760">
      <c r="A760" s="7"/>
      <c r="B760" s="7"/>
      <c r="C760" s="7"/>
      <c r="D760" s="7"/>
      <c r="E760" s="7"/>
      <c r="F760" s="7"/>
      <c r="G760" s="7"/>
      <c r="H760" s="7"/>
    </row>
    <row r="761">
      <c r="A761" s="7"/>
      <c r="B761" s="7"/>
      <c r="C761" s="7"/>
      <c r="D761" s="7"/>
      <c r="E761" s="7"/>
      <c r="F761" s="7"/>
      <c r="G761" s="7"/>
      <c r="H761" s="7"/>
    </row>
    <row r="762">
      <c r="A762" s="7"/>
      <c r="B762" s="7"/>
      <c r="C762" s="7"/>
      <c r="D762" s="7"/>
      <c r="E762" s="7"/>
      <c r="F762" s="7"/>
      <c r="G762" s="7"/>
      <c r="H762" s="7"/>
    </row>
    <row r="763">
      <c r="A763" s="7"/>
      <c r="B763" s="7"/>
      <c r="C763" s="7"/>
      <c r="D763" s="7"/>
      <c r="E763" s="7"/>
      <c r="F763" s="7"/>
      <c r="G763" s="7"/>
      <c r="H763" s="7"/>
    </row>
    <row r="764">
      <c r="A764" s="7"/>
      <c r="B764" s="7"/>
      <c r="C764" s="7"/>
      <c r="D764" s="7"/>
      <c r="E764" s="7"/>
      <c r="F764" s="7"/>
      <c r="G764" s="7"/>
      <c r="H764" s="7"/>
    </row>
    <row r="765">
      <c r="A765" s="7"/>
      <c r="B765" s="7"/>
      <c r="C765" s="7"/>
      <c r="D765" s="7"/>
      <c r="E765" s="7"/>
      <c r="F765" s="7"/>
      <c r="G765" s="7"/>
      <c r="H765" s="7"/>
    </row>
    <row r="766">
      <c r="A766" s="7"/>
      <c r="B766" s="7"/>
      <c r="C766" s="7"/>
      <c r="D766" s="7"/>
      <c r="E766" s="7"/>
      <c r="F766" s="7"/>
      <c r="G766" s="7"/>
      <c r="H766" s="7"/>
    </row>
    <row r="767">
      <c r="A767" s="7"/>
      <c r="B767" s="7"/>
      <c r="C767" s="7"/>
      <c r="D767" s="7"/>
      <c r="E767" s="7"/>
      <c r="F767" s="7"/>
      <c r="G767" s="7"/>
      <c r="H767" s="7"/>
    </row>
    <row r="768">
      <c r="A768" s="7"/>
      <c r="B768" s="7"/>
      <c r="C768" s="7"/>
      <c r="D768" s="7"/>
      <c r="E768" s="7"/>
      <c r="F768" s="7"/>
      <c r="G768" s="7"/>
      <c r="H768" s="7"/>
    </row>
    <row r="769">
      <c r="A769" s="7"/>
      <c r="B769" s="7"/>
      <c r="C769" s="7"/>
      <c r="D769" s="7"/>
      <c r="E769" s="7"/>
      <c r="F769" s="7"/>
      <c r="G769" s="7"/>
      <c r="H769" s="7"/>
    </row>
    <row r="770">
      <c r="A770" s="7"/>
      <c r="B770" s="7"/>
      <c r="C770" s="7"/>
      <c r="D770" s="7"/>
      <c r="E770" s="7"/>
      <c r="F770" s="7"/>
      <c r="G770" s="7"/>
      <c r="H770" s="7"/>
    </row>
    <row r="771">
      <c r="A771" s="7"/>
      <c r="B771" s="7"/>
      <c r="C771" s="7"/>
      <c r="D771" s="7"/>
      <c r="E771" s="7"/>
      <c r="F771" s="7"/>
      <c r="G771" s="7"/>
      <c r="H771" s="7"/>
    </row>
    <row r="772">
      <c r="A772" s="7"/>
      <c r="B772" s="7"/>
      <c r="C772" s="7"/>
      <c r="D772" s="7"/>
      <c r="E772" s="7"/>
      <c r="F772" s="7"/>
      <c r="G772" s="7"/>
      <c r="H772" s="7"/>
    </row>
    <row r="773">
      <c r="A773" s="7"/>
      <c r="B773" s="7"/>
      <c r="C773" s="7"/>
      <c r="D773" s="7"/>
      <c r="E773" s="7"/>
      <c r="F773" s="7"/>
      <c r="G773" s="7"/>
      <c r="H773" s="7"/>
    </row>
    <row r="774">
      <c r="A774" s="7"/>
      <c r="B774" s="7"/>
      <c r="C774" s="7"/>
      <c r="D774" s="7"/>
      <c r="E774" s="7"/>
      <c r="F774" s="7"/>
      <c r="G774" s="7"/>
      <c r="H774" s="7"/>
    </row>
    <row r="775">
      <c r="A775" s="7"/>
      <c r="B775" s="7"/>
      <c r="C775" s="7"/>
      <c r="D775" s="7"/>
      <c r="E775" s="7"/>
      <c r="F775" s="7"/>
      <c r="G775" s="7"/>
      <c r="H775" s="7"/>
    </row>
    <row r="776">
      <c r="A776" s="7"/>
      <c r="B776" s="7"/>
      <c r="C776" s="7"/>
      <c r="D776" s="7"/>
      <c r="E776" s="7"/>
      <c r="F776" s="7"/>
      <c r="G776" s="7"/>
      <c r="H776" s="7"/>
    </row>
    <row r="777">
      <c r="A777" s="7"/>
      <c r="B777" s="7"/>
      <c r="C777" s="7"/>
      <c r="D777" s="7"/>
      <c r="E777" s="7"/>
      <c r="F777" s="7"/>
      <c r="G777" s="7"/>
      <c r="H777" s="7"/>
    </row>
    <row r="778">
      <c r="A778" s="7"/>
      <c r="B778" s="7"/>
      <c r="C778" s="7"/>
      <c r="D778" s="7"/>
      <c r="E778" s="7"/>
      <c r="F778" s="7"/>
      <c r="G778" s="7"/>
      <c r="H778" s="7"/>
    </row>
    <row r="779">
      <c r="A779" s="7"/>
      <c r="B779" s="7"/>
      <c r="C779" s="7"/>
      <c r="D779" s="7"/>
      <c r="E779" s="7"/>
      <c r="F779" s="7"/>
      <c r="G779" s="7"/>
      <c r="H779" s="7"/>
    </row>
    <row r="780">
      <c r="A780" s="7"/>
      <c r="B780" s="7"/>
      <c r="C780" s="7"/>
      <c r="D780" s="7"/>
      <c r="E780" s="7"/>
      <c r="F780" s="7"/>
      <c r="G780" s="7"/>
      <c r="H780" s="7"/>
    </row>
    <row r="781">
      <c r="A781" s="7"/>
      <c r="B781" s="7"/>
      <c r="C781" s="7"/>
      <c r="D781" s="7"/>
      <c r="E781" s="7"/>
      <c r="F781" s="7"/>
      <c r="G781" s="7"/>
      <c r="H781" s="7"/>
    </row>
    <row r="782">
      <c r="A782" s="7"/>
      <c r="B782" s="7"/>
      <c r="C782" s="7"/>
      <c r="D782" s="7"/>
      <c r="E782" s="7"/>
      <c r="F782" s="7"/>
      <c r="G782" s="7"/>
      <c r="H782" s="7"/>
    </row>
    <row r="783">
      <c r="A783" s="7"/>
      <c r="B783" s="7"/>
      <c r="C783" s="7"/>
      <c r="D783" s="7"/>
      <c r="E783" s="7"/>
      <c r="F783" s="7"/>
      <c r="G783" s="7"/>
      <c r="H783" s="7"/>
    </row>
    <row r="784">
      <c r="A784" s="7"/>
      <c r="B784" s="7"/>
      <c r="C784" s="7"/>
      <c r="D784" s="7"/>
      <c r="E784" s="7"/>
      <c r="F784" s="7"/>
      <c r="G784" s="7"/>
      <c r="H784" s="7"/>
    </row>
    <row r="785">
      <c r="A785" s="7"/>
      <c r="B785" s="7"/>
      <c r="C785" s="7"/>
      <c r="D785" s="7"/>
      <c r="E785" s="7"/>
      <c r="F785" s="7"/>
      <c r="G785" s="7"/>
      <c r="H785" s="7"/>
    </row>
    <row r="786">
      <c r="A786" s="7"/>
      <c r="B786" s="7"/>
      <c r="C786" s="7"/>
      <c r="D786" s="7"/>
      <c r="E786" s="7"/>
      <c r="F786" s="7"/>
      <c r="G786" s="7"/>
      <c r="H786" s="7"/>
    </row>
    <row r="787">
      <c r="A787" s="7"/>
      <c r="B787" s="7"/>
      <c r="C787" s="7"/>
      <c r="D787" s="7"/>
      <c r="E787" s="7"/>
      <c r="F787" s="7"/>
      <c r="G787" s="7"/>
      <c r="H787" s="7"/>
    </row>
    <row r="788">
      <c r="A788" s="7"/>
      <c r="B788" s="7"/>
      <c r="C788" s="7"/>
      <c r="D788" s="7"/>
      <c r="E788" s="7"/>
      <c r="F788" s="7"/>
      <c r="G788" s="7"/>
      <c r="H788" s="7"/>
    </row>
    <row r="789">
      <c r="A789" s="7"/>
      <c r="B789" s="7"/>
      <c r="C789" s="7"/>
      <c r="D789" s="7"/>
      <c r="E789" s="7"/>
      <c r="F789" s="7"/>
      <c r="G789" s="7"/>
      <c r="H789" s="7"/>
    </row>
    <row r="790">
      <c r="A790" s="7"/>
      <c r="B790" s="7"/>
      <c r="C790" s="7"/>
      <c r="D790" s="7"/>
      <c r="E790" s="7"/>
      <c r="F790" s="7"/>
      <c r="G790" s="7"/>
      <c r="H790" s="7"/>
    </row>
    <row r="791">
      <c r="A791" s="7"/>
      <c r="B791" s="7"/>
      <c r="C791" s="7"/>
      <c r="D791" s="7"/>
      <c r="E791" s="7"/>
      <c r="F791" s="7"/>
      <c r="G791" s="7"/>
      <c r="H791" s="7"/>
    </row>
    <row r="792">
      <c r="A792" s="7"/>
      <c r="B792" s="7"/>
      <c r="C792" s="7"/>
      <c r="D792" s="7"/>
      <c r="E792" s="7"/>
      <c r="F792" s="7"/>
      <c r="G792" s="7"/>
      <c r="H792" s="7"/>
    </row>
    <row r="793">
      <c r="A793" s="7"/>
      <c r="B793" s="7"/>
      <c r="C793" s="7"/>
      <c r="D793" s="7"/>
      <c r="E793" s="7"/>
      <c r="F793" s="7"/>
      <c r="G793" s="7"/>
      <c r="H793" s="7"/>
    </row>
    <row r="794">
      <c r="A794" s="7"/>
      <c r="B794" s="7"/>
      <c r="C794" s="7"/>
      <c r="D794" s="7"/>
      <c r="E794" s="7"/>
      <c r="F794" s="7"/>
      <c r="G794" s="7"/>
      <c r="H794" s="7"/>
    </row>
    <row r="795">
      <c r="A795" s="7"/>
      <c r="B795" s="7"/>
      <c r="C795" s="7"/>
      <c r="D795" s="7"/>
      <c r="E795" s="7"/>
      <c r="F795" s="7"/>
      <c r="G795" s="7"/>
      <c r="H795" s="7"/>
    </row>
    <row r="796">
      <c r="A796" s="7"/>
      <c r="B796" s="7"/>
      <c r="C796" s="7"/>
      <c r="D796" s="7"/>
      <c r="E796" s="7"/>
      <c r="F796" s="7"/>
      <c r="G796" s="7"/>
      <c r="H796" s="7"/>
    </row>
    <row r="797">
      <c r="A797" s="7"/>
      <c r="B797" s="7"/>
      <c r="C797" s="7"/>
      <c r="D797" s="7"/>
      <c r="E797" s="7"/>
      <c r="F797" s="7"/>
      <c r="G797" s="7"/>
      <c r="H797" s="7"/>
    </row>
    <row r="798">
      <c r="A798" s="7"/>
      <c r="B798" s="7"/>
      <c r="C798" s="7"/>
      <c r="D798" s="7"/>
      <c r="E798" s="7"/>
      <c r="F798" s="7"/>
      <c r="G798" s="7"/>
      <c r="H798" s="7"/>
    </row>
    <row r="799">
      <c r="A799" s="7"/>
      <c r="B799" s="7"/>
      <c r="C799" s="7"/>
      <c r="D799" s="7"/>
      <c r="E799" s="7"/>
      <c r="F799" s="7"/>
      <c r="G799" s="7"/>
      <c r="H799" s="7"/>
    </row>
    <row r="800">
      <c r="A800" s="7"/>
      <c r="B800" s="7"/>
      <c r="C800" s="7"/>
      <c r="D800" s="7"/>
      <c r="E800" s="7"/>
      <c r="F800" s="7"/>
      <c r="G800" s="7"/>
      <c r="H800" s="7"/>
    </row>
    <row r="801">
      <c r="A801" s="7"/>
      <c r="B801" s="7"/>
      <c r="C801" s="7"/>
      <c r="D801" s="7"/>
      <c r="E801" s="7"/>
      <c r="F801" s="7"/>
      <c r="G801" s="7"/>
      <c r="H801" s="7"/>
    </row>
    <row r="802">
      <c r="A802" s="7"/>
      <c r="B802" s="7"/>
      <c r="C802" s="7"/>
      <c r="D802" s="7"/>
      <c r="E802" s="7"/>
      <c r="F802" s="7"/>
      <c r="G802" s="7"/>
      <c r="H802" s="7"/>
    </row>
    <row r="803">
      <c r="A803" s="7"/>
      <c r="B803" s="7"/>
      <c r="C803" s="7"/>
      <c r="D803" s="7"/>
      <c r="E803" s="7"/>
      <c r="F803" s="7"/>
      <c r="G803" s="7"/>
      <c r="H803" s="7"/>
    </row>
    <row r="804">
      <c r="A804" s="7"/>
      <c r="B804" s="7"/>
      <c r="C804" s="7"/>
      <c r="D804" s="7"/>
      <c r="E804" s="7"/>
      <c r="F804" s="7"/>
      <c r="G804" s="7"/>
      <c r="H804" s="7"/>
    </row>
    <row r="805">
      <c r="A805" s="7"/>
      <c r="B805" s="7"/>
      <c r="C805" s="7"/>
      <c r="D805" s="7"/>
      <c r="E805" s="7"/>
      <c r="F805" s="7"/>
      <c r="G805" s="7"/>
      <c r="H805" s="7"/>
    </row>
    <row r="806">
      <c r="A806" s="7"/>
      <c r="B806" s="7"/>
      <c r="C806" s="7"/>
      <c r="D806" s="7"/>
      <c r="E806" s="7"/>
      <c r="F806" s="7"/>
      <c r="G806" s="7"/>
      <c r="H806" s="7"/>
    </row>
    <row r="807">
      <c r="A807" s="7"/>
      <c r="B807" s="7"/>
      <c r="C807" s="7"/>
      <c r="D807" s="7"/>
      <c r="E807" s="7"/>
      <c r="F807" s="7"/>
      <c r="G807" s="7"/>
      <c r="H807" s="7"/>
    </row>
    <row r="808">
      <c r="A808" s="7"/>
      <c r="B808" s="7"/>
      <c r="C808" s="7"/>
      <c r="D808" s="7"/>
      <c r="E808" s="7"/>
      <c r="F808" s="7"/>
      <c r="G808" s="7"/>
      <c r="H808" s="7"/>
    </row>
    <row r="809">
      <c r="A809" s="7"/>
      <c r="B809" s="7"/>
      <c r="C809" s="7"/>
      <c r="D809" s="7"/>
      <c r="E809" s="7"/>
      <c r="F809" s="7"/>
      <c r="G809" s="7"/>
      <c r="H809" s="7"/>
    </row>
    <row r="810">
      <c r="A810" s="7"/>
      <c r="B810" s="7"/>
      <c r="C810" s="7"/>
      <c r="D810" s="7"/>
      <c r="E810" s="7"/>
      <c r="F810" s="7"/>
      <c r="G810" s="7"/>
      <c r="H810" s="7"/>
    </row>
    <row r="811">
      <c r="A811" s="7"/>
      <c r="B811" s="7"/>
      <c r="C811" s="7"/>
      <c r="D811" s="7"/>
      <c r="E811" s="7"/>
      <c r="F811" s="7"/>
      <c r="G811" s="7"/>
      <c r="H811" s="7"/>
    </row>
    <row r="812">
      <c r="A812" s="7"/>
      <c r="B812" s="7"/>
      <c r="C812" s="7"/>
      <c r="D812" s="7"/>
      <c r="E812" s="7"/>
      <c r="F812" s="7"/>
      <c r="G812" s="7"/>
      <c r="H812" s="7"/>
    </row>
    <row r="813">
      <c r="A813" s="7"/>
      <c r="B813" s="7"/>
      <c r="C813" s="7"/>
      <c r="D813" s="7"/>
      <c r="E813" s="7"/>
      <c r="F813" s="7"/>
      <c r="G813" s="7"/>
      <c r="H813" s="7"/>
    </row>
    <row r="814">
      <c r="A814" s="7"/>
      <c r="B814" s="7"/>
      <c r="C814" s="7"/>
      <c r="D814" s="7"/>
      <c r="E814" s="7"/>
      <c r="F814" s="7"/>
      <c r="G814" s="7"/>
      <c r="H814" s="7"/>
    </row>
    <row r="815">
      <c r="A815" s="7"/>
      <c r="B815" s="7"/>
      <c r="C815" s="7"/>
      <c r="D815" s="7"/>
      <c r="E815" s="7"/>
      <c r="F815" s="7"/>
      <c r="G815" s="7"/>
      <c r="H815" s="7"/>
    </row>
    <row r="816">
      <c r="A816" s="7"/>
      <c r="B816" s="7"/>
      <c r="C816" s="7"/>
      <c r="D816" s="7"/>
      <c r="E816" s="7"/>
      <c r="F816" s="7"/>
      <c r="G816" s="7"/>
      <c r="H816" s="7"/>
    </row>
    <row r="817">
      <c r="A817" s="7"/>
      <c r="B817" s="7"/>
      <c r="C817" s="7"/>
      <c r="D817" s="7"/>
      <c r="E817" s="7"/>
      <c r="F817" s="7"/>
      <c r="G817" s="7"/>
      <c r="H817" s="7"/>
    </row>
    <row r="818">
      <c r="A818" s="7"/>
      <c r="B818" s="7"/>
      <c r="C818" s="7"/>
      <c r="D818" s="7"/>
      <c r="E818" s="7"/>
      <c r="F818" s="7"/>
      <c r="G818" s="7"/>
      <c r="H818" s="7"/>
    </row>
    <row r="819">
      <c r="A819" s="7"/>
      <c r="B819" s="7"/>
      <c r="C819" s="7"/>
      <c r="D819" s="7"/>
      <c r="E819" s="7"/>
      <c r="F819" s="7"/>
      <c r="G819" s="7"/>
      <c r="H819" s="7"/>
    </row>
    <row r="820">
      <c r="A820" s="7"/>
      <c r="B820" s="7"/>
      <c r="C820" s="7"/>
      <c r="D820" s="7"/>
      <c r="E820" s="7"/>
      <c r="F820" s="7"/>
      <c r="G820" s="7"/>
      <c r="H820" s="7"/>
    </row>
    <row r="821">
      <c r="A821" s="7"/>
      <c r="B821" s="7"/>
      <c r="C821" s="7"/>
      <c r="D821" s="7"/>
      <c r="E821" s="7"/>
      <c r="F821" s="7"/>
      <c r="G821" s="7"/>
      <c r="H821" s="7"/>
    </row>
    <row r="822">
      <c r="A822" s="7"/>
      <c r="B822" s="7"/>
      <c r="C822" s="7"/>
      <c r="D822" s="7"/>
      <c r="E822" s="7"/>
      <c r="F822" s="7"/>
      <c r="G822" s="7"/>
      <c r="H822" s="7"/>
    </row>
    <row r="823">
      <c r="A823" s="7"/>
      <c r="B823" s="7"/>
      <c r="C823" s="7"/>
      <c r="D823" s="7"/>
      <c r="E823" s="7"/>
      <c r="F823" s="7"/>
      <c r="G823" s="7"/>
      <c r="H823" s="7"/>
    </row>
    <row r="824">
      <c r="A824" s="7"/>
      <c r="B824" s="7"/>
      <c r="C824" s="7"/>
      <c r="D824" s="7"/>
      <c r="E824" s="7"/>
      <c r="F824" s="7"/>
      <c r="G824" s="7"/>
      <c r="H824" s="7"/>
    </row>
    <row r="825">
      <c r="A825" s="7"/>
      <c r="B825" s="7"/>
      <c r="C825" s="7"/>
      <c r="D825" s="7"/>
      <c r="E825" s="7"/>
      <c r="F825" s="7"/>
      <c r="G825" s="7"/>
      <c r="H825" s="7"/>
    </row>
    <row r="826">
      <c r="A826" s="7"/>
      <c r="B826" s="7"/>
      <c r="C826" s="7"/>
      <c r="D826" s="7"/>
      <c r="E826" s="7"/>
      <c r="F826" s="7"/>
      <c r="G826" s="7"/>
      <c r="H826" s="7"/>
    </row>
    <row r="827">
      <c r="A827" s="7"/>
      <c r="B827" s="7"/>
      <c r="C827" s="7"/>
      <c r="D827" s="7"/>
      <c r="E827" s="7"/>
      <c r="F827" s="7"/>
      <c r="G827" s="7"/>
      <c r="H827" s="7"/>
    </row>
    <row r="828">
      <c r="A828" s="7"/>
      <c r="B828" s="7"/>
      <c r="C828" s="7"/>
      <c r="D828" s="7"/>
      <c r="E828" s="7"/>
      <c r="F828" s="7"/>
      <c r="G828" s="7"/>
      <c r="H828" s="7"/>
    </row>
    <row r="829">
      <c r="A829" s="7"/>
      <c r="B829" s="7"/>
      <c r="C829" s="7"/>
      <c r="D829" s="7"/>
      <c r="E829" s="7"/>
      <c r="F829" s="7"/>
      <c r="G829" s="7"/>
      <c r="H829" s="7"/>
    </row>
    <row r="830">
      <c r="A830" s="7"/>
      <c r="B830" s="7"/>
      <c r="C830" s="7"/>
      <c r="D830" s="7"/>
      <c r="E830" s="7"/>
      <c r="F830" s="7"/>
      <c r="G830" s="7"/>
      <c r="H830" s="7"/>
    </row>
    <row r="831">
      <c r="A831" s="7"/>
      <c r="B831" s="7"/>
      <c r="C831" s="7"/>
      <c r="D831" s="7"/>
      <c r="E831" s="7"/>
      <c r="F831" s="7"/>
      <c r="G831" s="7"/>
      <c r="H831" s="7"/>
    </row>
    <row r="832">
      <c r="A832" s="7"/>
      <c r="B832" s="7"/>
      <c r="C832" s="7"/>
      <c r="D832" s="7"/>
      <c r="E832" s="7"/>
      <c r="F832" s="7"/>
      <c r="G832" s="7"/>
      <c r="H832" s="7"/>
    </row>
    <row r="833">
      <c r="A833" s="7"/>
      <c r="B833" s="7"/>
      <c r="C833" s="7"/>
      <c r="D833" s="7"/>
      <c r="E833" s="7"/>
      <c r="F833" s="7"/>
      <c r="G833" s="7"/>
      <c r="H833" s="7"/>
    </row>
    <row r="834">
      <c r="A834" s="7"/>
      <c r="B834" s="7"/>
      <c r="C834" s="7"/>
      <c r="D834" s="7"/>
      <c r="E834" s="7"/>
      <c r="F834" s="7"/>
      <c r="G834" s="7"/>
      <c r="H834" s="7"/>
    </row>
    <row r="835">
      <c r="A835" s="7"/>
      <c r="B835" s="7"/>
      <c r="C835" s="7"/>
      <c r="D835" s="7"/>
      <c r="E835" s="7"/>
      <c r="F835" s="7"/>
      <c r="G835" s="7"/>
      <c r="H835" s="7"/>
    </row>
    <row r="836">
      <c r="A836" s="7"/>
      <c r="B836" s="7"/>
      <c r="C836" s="7"/>
      <c r="D836" s="7"/>
      <c r="E836" s="7"/>
      <c r="F836" s="7"/>
      <c r="G836" s="7"/>
      <c r="H836" s="7"/>
    </row>
    <row r="837">
      <c r="A837" s="7"/>
      <c r="B837" s="7"/>
      <c r="C837" s="7"/>
      <c r="D837" s="7"/>
      <c r="E837" s="7"/>
      <c r="F837" s="7"/>
      <c r="G837" s="7"/>
      <c r="H837" s="7"/>
    </row>
    <row r="838">
      <c r="A838" s="7"/>
      <c r="B838" s="7"/>
      <c r="C838" s="7"/>
      <c r="D838" s="7"/>
      <c r="E838" s="7"/>
      <c r="F838" s="7"/>
      <c r="G838" s="7"/>
      <c r="H838" s="7"/>
    </row>
    <row r="839">
      <c r="A839" s="7"/>
      <c r="B839" s="7"/>
      <c r="C839" s="7"/>
      <c r="D839" s="7"/>
      <c r="E839" s="7"/>
      <c r="F839" s="7"/>
      <c r="G839" s="7"/>
      <c r="H839" s="7"/>
    </row>
    <row r="840">
      <c r="A840" s="7"/>
      <c r="B840" s="7"/>
      <c r="C840" s="7"/>
      <c r="D840" s="7"/>
      <c r="E840" s="7"/>
      <c r="F840" s="7"/>
      <c r="G840" s="7"/>
      <c r="H840" s="7"/>
    </row>
    <row r="841">
      <c r="A841" s="7"/>
      <c r="B841" s="7"/>
      <c r="C841" s="7"/>
      <c r="D841" s="7"/>
      <c r="E841" s="7"/>
      <c r="F841" s="7"/>
      <c r="G841" s="7"/>
      <c r="H841" s="7"/>
    </row>
    <row r="842">
      <c r="A842" s="7"/>
      <c r="B842" s="7"/>
      <c r="C842" s="7"/>
      <c r="D842" s="7"/>
      <c r="E842" s="7"/>
      <c r="F842" s="7"/>
      <c r="G842" s="7"/>
      <c r="H842" s="7"/>
    </row>
    <row r="843">
      <c r="A843" s="7"/>
      <c r="B843" s="7"/>
      <c r="C843" s="7"/>
      <c r="D843" s="7"/>
      <c r="E843" s="7"/>
      <c r="F843" s="7"/>
      <c r="G843" s="7"/>
      <c r="H843" s="7"/>
    </row>
    <row r="844">
      <c r="A844" s="7"/>
      <c r="B844" s="7"/>
      <c r="C844" s="7"/>
      <c r="D844" s="7"/>
      <c r="E844" s="7"/>
      <c r="F844" s="7"/>
      <c r="G844" s="7"/>
      <c r="H844" s="7"/>
    </row>
    <row r="845">
      <c r="A845" s="7"/>
      <c r="B845" s="7"/>
      <c r="C845" s="7"/>
      <c r="D845" s="7"/>
      <c r="E845" s="7"/>
      <c r="F845" s="7"/>
      <c r="G845" s="7"/>
      <c r="H845" s="7"/>
    </row>
    <row r="846">
      <c r="A846" s="7"/>
      <c r="B846" s="7"/>
      <c r="C846" s="7"/>
      <c r="D846" s="7"/>
      <c r="E846" s="7"/>
      <c r="F846" s="7"/>
      <c r="G846" s="7"/>
      <c r="H846" s="7"/>
    </row>
    <row r="847">
      <c r="A847" s="7"/>
      <c r="B847" s="7"/>
      <c r="C847" s="7"/>
      <c r="D847" s="7"/>
      <c r="E847" s="7"/>
      <c r="F847" s="7"/>
      <c r="G847" s="7"/>
      <c r="H847" s="7"/>
    </row>
    <row r="848">
      <c r="A848" s="7"/>
      <c r="B848" s="7"/>
      <c r="C848" s="7"/>
      <c r="D848" s="7"/>
      <c r="E848" s="7"/>
      <c r="F848" s="7"/>
      <c r="G848" s="7"/>
      <c r="H848" s="7"/>
    </row>
    <row r="849">
      <c r="A849" s="7"/>
      <c r="B849" s="7"/>
      <c r="C849" s="7"/>
      <c r="D849" s="7"/>
      <c r="E849" s="7"/>
      <c r="F849" s="7"/>
      <c r="G849" s="7"/>
      <c r="H849" s="7"/>
    </row>
    <row r="850">
      <c r="A850" s="7"/>
      <c r="B850" s="7"/>
      <c r="C850" s="7"/>
      <c r="D850" s="7"/>
      <c r="E850" s="7"/>
      <c r="F850" s="7"/>
      <c r="G850" s="7"/>
      <c r="H850" s="7"/>
    </row>
    <row r="851">
      <c r="A851" s="7"/>
      <c r="B851" s="7"/>
      <c r="C851" s="7"/>
      <c r="D851" s="7"/>
      <c r="E851" s="7"/>
      <c r="F851" s="7"/>
      <c r="G851" s="7"/>
      <c r="H851" s="7"/>
    </row>
    <row r="852">
      <c r="A852" s="7"/>
      <c r="B852" s="7"/>
      <c r="C852" s="7"/>
      <c r="D852" s="7"/>
      <c r="E852" s="7"/>
      <c r="F852" s="7"/>
      <c r="G852" s="7"/>
      <c r="H852" s="7"/>
    </row>
    <row r="853">
      <c r="A853" s="7"/>
      <c r="B853" s="7"/>
      <c r="C853" s="7"/>
      <c r="D853" s="7"/>
      <c r="E853" s="7"/>
      <c r="F853" s="7"/>
      <c r="G853" s="7"/>
      <c r="H853" s="7"/>
    </row>
    <row r="854">
      <c r="A854" s="7"/>
      <c r="B854" s="7"/>
      <c r="C854" s="7"/>
      <c r="D854" s="7"/>
      <c r="E854" s="7"/>
      <c r="F854" s="7"/>
      <c r="G854" s="7"/>
      <c r="H854" s="7"/>
    </row>
    <row r="855">
      <c r="A855" s="7"/>
      <c r="B855" s="7"/>
      <c r="C855" s="7"/>
      <c r="D855" s="7"/>
      <c r="E855" s="7"/>
      <c r="F855" s="7"/>
      <c r="G855" s="7"/>
      <c r="H855" s="7"/>
    </row>
    <row r="856">
      <c r="A856" s="7"/>
      <c r="B856" s="7"/>
      <c r="C856" s="7"/>
      <c r="D856" s="7"/>
      <c r="E856" s="7"/>
      <c r="F856" s="7"/>
      <c r="G856" s="7"/>
      <c r="H856" s="7"/>
    </row>
    <row r="857">
      <c r="A857" s="7"/>
      <c r="B857" s="7"/>
      <c r="C857" s="7"/>
      <c r="D857" s="7"/>
      <c r="E857" s="7"/>
      <c r="F857" s="7"/>
      <c r="G857" s="7"/>
      <c r="H857" s="7"/>
    </row>
    <row r="858">
      <c r="A858" s="7"/>
      <c r="B858" s="7"/>
      <c r="C858" s="7"/>
      <c r="D858" s="7"/>
      <c r="E858" s="7"/>
      <c r="F858" s="7"/>
      <c r="G858" s="7"/>
      <c r="H858" s="7"/>
    </row>
    <row r="859">
      <c r="A859" s="7"/>
      <c r="B859" s="7"/>
      <c r="C859" s="7"/>
      <c r="D859" s="7"/>
      <c r="E859" s="7"/>
      <c r="F859" s="7"/>
      <c r="G859" s="7"/>
      <c r="H859" s="7"/>
    </row>
    <row r="860">
      <c r="A860" s="7"/>
      <c r="B860" s="7"/>
      <c r="C860" s="7"/>
      <c r="D860" s="7"/>
      <c r="E860" s="7"/>
      <c r="F860" s="7"/>
      <c r="G860" s="7"/>
      <c r="H860" s="7"/>
    </row>
    <row r="861">
      <c r="A861" s="7"/>
      <c r="B861" s="7"/>
      <c r="C861" s="7"/>
      <c r="D861" s="7"/>
      <c r="E861" s="7"/>
      <c r="F861" s="7"/>
      <c r="G861" s="7"/>
      <c r="H861" s="7"/>
    </row>
    <row r="862">
      <c r="A862" s="7"/>
      <c r="B862" s="7"/>
      <c r="C862" s="7"/>
      <c r="D862" s="7"/>
      <c r="E862" s="7"/>
      <c r="F862" s="7"/>
      <c r="G862" s="7"/>
      <c r="H862" s="7"/>
    </row>
    <row r="863">
      <c r="A863" s="7"/>
      <c r="B863" s="7"/>
      <c r="C863" s="7"/>
      <c r="D863" s="7"/>
      <c r="E863" s="7"/>
      <c r="F863" s="7"/>
      <c r="G863" s="7"/>
      <c r="H863" s="7"/>
    </row>
    <row r="864">
      <c r="A864" s="7"/>
      <c r="B864" s="7"/>
      <c r="C864" s="7"/>
      <c r="D864" s="7"/>
      <c r="E864" s="7"/>
      <c r="F864" s="7"/>
      <c r="G864" s="7"/>
      <c r="H864" s="7"/>
    </row>
    <row r="865">
      <c r="A865" s="7"/>
      <c r="B865" s="7"/>
      <c r="C865" s="7"/>
      <c r="D865" s="7"/>
      <c r="E865" s="7"/>
      <c r="F865" s="7"/>
      <c r="G865" s="7"/>
      <c r="H865" s="7"/>
    </row>
    <row r="866">
      <c r="A866" s="7"/>
      <c r="B866" s="7"/>
      <c r="C866" s="7"/>
      <c r="D866" s="7"/>
      <c r="E866" s="7"/>
      <c r="F866" s="7"/>
      <c r="G866" s="7"/>
      <c r="H866" s="7"/>
    </row>
    <row r="867">
      <c r="A867" s="7"/>
      <c r="B867" s="7"/>
      <c r="C867" s="7"/>
      <c r="D867" s="7"/>
      <c r="E867" s="7"/>
      <c r="F867" s="7"/>
      <c r="G867" s="7"/>
      <c r="H867" s="7"/>
    </row>
    <row r="868">
      <c r="A868" s="7"/>
      <c r="B868" s="7"/>
      <c r="C868" s="7"/>
      <c r="D868" s="7"/>
      <c r="E868" s="7"/>
      <c r="F868" s="7"/>
      <c r="G868" s="7"/>
      <c r="H868" s="7"/>
    </row>
    <row r="869">
      <c r="A869" s="7"/>
      <c r="B869" s="7"/>
      <c r="C869" s="7"/>
      <c r="D869" s="7"/>
      <c r="E869" s="7"/>
      <c r="F869" s="7"/>
      <c r="G869" s="7"/>
      <c r="H869" s="7"/>
    </row>
    <row r="870">
      <c r="A870" s="7"/>
      <c r="B870" s="7"/>
      <c r="C870" s="7"/>
      <c r="D870" s="7"/>
      <c r="E870" s="7"/>
      <c r="F870" s="7"/>
      <c r="G870" s="7"/>
      <c r="H870" s="7"/>
    </row>
    <row r="871">
      <c r="A871" s="7"/>
      <c r="B871" s="7"/>
      <c r="C871" s="7"/>
      <c r="D871" s="7"/>
      <c r="E871" s="7"/>
      <c r="F871" s="7"/>
      <c r="G871" s="7"/>
      <c r="H871" s="7"/>
    </row>
    <row r="872">
      <c r="A872" s="7"/>
      <c r="B872" s="7"/>
      <c r="C872" s="7"/>
      <c r="D872" s="7"/>
      <c r="E872" s="7"/>
      <c r="F872" s="7"/>
      <c r="G872" s="7"/>
      <c r="H872" s="7"/>
    </row>
    <row r="873">
      <c r="A873" s="7"/>
      <c r="B873" s="7"/>
      <c r="C873" s="7"/>
      <c r="D873" s="7"/>
      <c r="E873" s="7"/>
      <c r="F873" s="7"/>
      <c r="G873" s="7"/>
      <c r="H873" s="7"/>
    </row>
    <row r="874">
      <c r="A874" s="7"/>
      <c r="B874" s="7"/>
      <c r="C874" s="7"/>
      <c r="D874" s="7"/>
      <c r="E874" s="7"/>
      <c r="F874" s="7"/>
      <c r="G874" s="7"/>
      <c r="H874" s="7"/>
    </row>
    <row r="875">
      <c r="A875" s="7"/>
      <c r="B875" s="7"/>
      <c r="C875" s="7"/>
      <c r="D875" s="7"/>
      <c r="E875" s="7"/>
      <c r="F875" s="7"/>
      <c r="G875" s="7"/>
      <c r="H875" s="7"/>
    </row>
    <row r="876">
      <c r="A876" s="7"/>
      <c r="B876" s="7"/>
      <c r="C876" s="7"/>
      <c r="D876" s="7"/>
      <c r="E876" s="7"/>
      <c r="F876" s="7"/>
      <c r="G876" s="7"/>
      <c r="H876" s="7"/>
    </row>
    <row r="877">
      <c r="A877" s="7"/>
      <c r="B877" s="7"/>
      <c r="C877" s="7"/>
      <c r="D877" s="7"/>
      <c r="E877" s="7"/>
      <c r="F877" s="7"/>
      <c r="G877" s="7"/>
      <c r="H877" s="7"/>
    </row>
    <row r="878">
      <c r="A878" s="7"/>
      <c r="B878" s="7"/>
      <c r="C878" s="7"/>
      <c r="D878" s="7"/>
      <c r="E878" s="7"/>
      <c r="F878" s="7"/>
      <c r="G878" s="7"/>
      <c r="H878" s="7"/>
    </row>
    <row r="879">
      <c r="A879" s="7"/>
      <c r="B879" s="7"/>
      <c r="C879" s="7"/>
      <c r="D879" s="7"/>
      <c r="E879" s="7"/>
      <c r="F879" s="7"/>
      <c r="G879" s="7"/>
      <c r="H879" s="7"/>
    </row>
    <row r="880">
      <c r="A880" s="7"/>
      <c r="B880" s="7"/>
      <c r="C880" s="7"/>
      <c r="D880" s="7"/>
      <c r="E880" s="7"/>
      <c r="F880" s="7"/>
      <c r="G880" s="7"/>
      <c r="H880" s="7"/>
    </row>
    <row r="881">
      <c r="A881" s="7"/>
      <c r="B881" s="7"/>
      <c r="C881" s="7"/>
      <c r="D881" s="7"/>
      <c r="E881" s="7"/>
      <c r="F881" s="7"/>
      <c r="G881" s="7"/>
      <c r="H881" s="7"/>
    </row>
    <row r="882">
      <c r="A882" s="7"/>
      <c r="B882" s="7"/>
      <c r="C882" s="7"/>
      <c r="D882" s="7"/>
      <c r="E882" s="7"/>
      <c r="F882" s="7"/>
      <c r="G882" s="7"/>
      <c r="H882" s="7"/>
    </row>
    <row r="883">
      <c r="A883" s="7"/>
      <c r="B883" s="7"/>
      <c r="C883" s="7"/>
      <c r="D883" s="7"/>
      <c r="E883" s="7"/>
      <c r="F883" s="7"/>
      <c r="G883" s="7"/>
      <c r="H883" s="7"/>
    </row>
    <row r="884">
      <c r="A884" s="7"/>
      <c r="B884" s="7"/>
      <c r="C884" s="7"/>
      <c r="D884" s="7"/>
      <c r="E884" s="7"/>
      <c r="F884" s="7"/>
      <c r="G884" s="7"/>
      <c r="H884" s="7"/>
    </row>
    <row r="885">
      <c r="A885" s="7"/>
      <c r="B885" s="7"/>
      <c r="C885" s="7"/>
      <c r="D885" s="7"/>
      <c r="E885" s="7"/>
      <c r="F885" s="7"/>
      <c r="G885" s="7"/>
      <c r="H885" s="7"/>
    </row>
    <row r="886">
      <c r="A886" s="7"/>
      <c r="B886" s="7"/>
      <c r="C886" s="7"/>
      <c r="D886" s="7"/>
      <c r="E886" s="7"/>
      <c r="F886" s="7"/>
      <c r="G886" s="7"/>
      <c r="H886" s="7"/>
    </row>
    <row r="887">
      <c r="A887" s="7"/>
      <c r="B887" s="7"/>
      <c r="C887" s="7"/>
      <c r="D887" s="7"/>
      <c r="E887" s="7"/>
      <c r="F887" s="7"/>
      <c r="G887" s="7"/>
      <c r="H887" s="7"/>
    </row>
    <row r="888">
      <c r="A888" s="7"/>
      <c r="B888" s="7"/>
      <c r="C888" s="7"/>
      <c r="D888" s="7"/>
      <c r="E888" s="7"/>
      <c r="F888" s="7"/>
      <c r="G888" s="7"/>
      <c r="H888" s="7"/>
    </row>
    <row r="889">
      <c r="A889" s="7"/>
      <c r="B889" s="7"/>
      <c r="C889" s="7"/>
      <c r="D889" s="7"/>
      <c r="E889" s="7"/>
      <c r="F889" s="7"/>
      <c r="G889" s="7"/>
      <c r="H889" s="7"/>
    </row>
    <row r="890">
      <c r="A890" s="7"/>
      <c r="B890" s="7"/>
      <c r="C890" s="7"/>
      <c r="D890" s="7"/>
      <c r="E890" s="7"/>
      <c r="F890" s="7"/>
      <c r="G890" s="7"/>
      <c r="H890" s="7"/>
    </row>
    <row r="891">
      <c r="A891" s="7"/>
      <c r="B891" s="7"/>
      <c r="C891" s="7"/>
      <c r="D891" s="7"/>
      <c r="E891" s="7"/>
      <c r="F891" s="7"/>
      <c r="G891" s="7"/>
      <c r="H891" s="7"/>
    </row>
    <row r="892">
      <c r="A892" s="7"/>
      <c r="B892" s="7"/>
      <c r="C892" s="7"/>
      <c r="D892" s="7"/>
      <c r="E892" s="7"/>
      <c r="F892" s="7"/>
      <c r="G892" s="7"/>
      <c r="H892" s="7"/>
    </row>
    <row r="893">
      <c r="A893" s="7"/>
      <c r="B893" s="7"/>
      <c r="C893" s="7"/>
      <c r="D893" s="7"/>
      <c r="E893" s="7"/>
      <c r="F893" s="7"/>
      <c r="G893" s="7"/>
      <c r="H893" s="7"/>
    </row>
    <row r="894">
      <c r="A894" s="7"/>
      <c r="B894" s="7"/>
      <c r="C894" s="7"/>
      <c r="D894" s="7"/>
      <c r="E894" s="7"/>
      <c r="F894" s="7"/>
      <c r="G894" s="7"/>
      <c r="H894" s="7"/>
    </row>
    <row r="895">
      <c r="A895" s="7"/>
      <c r="B895" s="7"/>
      <c r="C895" s="7"/>
      <c r="D895" s="7"/>
      <c r="E895" s="7"/>
      <c r="F895" s="7"/>
      <c r="G895" s="7"/>
      <c r="H895" s="7"/>
    </row>
    <row r="896">
      <c r="A896" s="7"/>
      <c r="B896" s="7"/>
      <c r="C896" s="7"/>
      <c r="D896" s="7"/>
      <c r="E896" s="7"/>
      <c r="F896" s="7"/>
      <c r="G896" s="7"/>
      <c r="H896" s="7"/>
    </row>
    <row r="897">
      <c r="A897" s="7"/>
      <c r="B897" s="7"/>
      <c r="C897" s="7"/>
      <c r="D897" s="7"/>
      <c r="E897" s="7"/>
      <c r="F897" s="7"/>
      <c r="G897" s="7"/>
      <c r="H897" s="7"/>
    </row>
    <row r="898">
      <c r="A898" s="7"/>
      <c r="B898" s="7"/>
      <c r="C898" s="7"/>
      <c r="D898" s="7"/>
      <c r="E898" s="7"/>
      <c r="F898" s="7"/>
      <c r="G898" s="7"/>
      <c r="H898" s="7"/>
    </row>
    <row r="899">
      <c r="A899" s="7"/>
      <c r="B899" s="7"/>
      <c r="C899" s="7"/>
      <c r="D899" s="7"/>
      <c r="E899" s="7"/>
      <c r="F899" s="7"/>
      <c r="G899" s="7"/>
      <c r="H899" s="7"/>
    </row>
    <row r="900">
      <c r="A900" s="7"/>
      <c r="B900" s="7"/>
      <c r="C900" s="7"/>
      <c r="D900" s="7"/>
      <c r="E900" s="7"/>
      <c r="F900" s="7"/>
      <c r="G900" s="7"/>
      <c r="H900" s="7"/>
    </row>
    <row r="901">
      <c r="A901" s="7"/>
      <c r="B901" s="7"/>
      <c r="C901" s="7"/>
      <c r="D901" s="7"/>
      <c r="E901" s="7"/>
      <c r="F901" s="7"/>
      <c r="G901" s="7"/>
      <c r="H901" s="7"/>
    </row>
    <row r="902">
      <c r="A902" s="7"/>
      <c r="B902" s="7"/>
      <c r="C902" s="7"/>
      <c r="D902" s="7"/>
      <c r="E902" s="7"/>
      <c r="F902" s="7"/>
      <c r="G902" s="7"/>
      <c r="H902" s="7"/>
    </row>
    <row r="903">
      <c r="A903" s="7"/>
      <c r="B903" s="7"/>
      <c r="C903" s="7"/>
      <c r="D903" s="7"/>
      <c r="E903" s="7"/>
      <c r="F903" s="7"/>
      <c r="G903" s="7"/>
      <c r="H903" s="7"/>
    </row>
    <row r="904">
      <c r="A904" s="7"/>
      <c r="B904" s="7"/>
      <c r="C904" s="7"/>
      <c r="D904" s="7"/>
      <c r="E904" s="7"/>
      <c r="F904" s="7"/>
      <c r="G904" s="7"/>
      <c r="H904" s="7"/>
    </row>
    <row r="905">
      <c r="A905" s="7"/>
      <c r="B905" s="7"/>
      <c r="C905" s="7"/>
      <c r="D905" s="7"/>
      <c r="E905" s="7"/>
      <c r="F905" s="7"/>
      <c r="G905" s="7"/>
      <c r="H905" s="7"/>
    </row>
    <row r="906">
      <c r="A906" s="7"/>
      <c r="B906" s="7"/>
      <c r="C906" s="7"/>
      <c r="D906" s="7"/>
      <c r="E906" s="7"/>
      <c r="F906" s="7"/>
      <c r="G906" s="7"/>
      <c r="H906" s="7"/>
    </row>
    <row r="907">
      <c r="A907" s="7"/>
      <c r="B907" s="7"/>
      <c r="C907" s="7"/>
      <c r="D907" s="7"/>
      <c r="E907" s="7"/>
      <c r="F907" s="7"/>
      <c r="G907" s="7"/>
      <c r="H907" s="7"/>
    </row>
    <row r="908">
      <c r="A908" s="7"/>
      <c r="B908" s="7"/>
      <c r="C908" s="7"/>
      <c r="D908" s="7"/>
      <c r="E908" s="7"/>
      <c r="F908" s="7"/>
      <c r="G908" s="7"/>
      <c r="H908" s="7"/>
    </row>
    <row r="909">
      <c r="A909" s="7"/>
      <c r="B909" s="7"/>
      <c r="C909" s="7"/>
      <c r="D909" s="7"/>
      <c r="E909" s="7"/>
      <c r="F909" s="7"/>
      <c r="G909" s="7"/>
      <c r="H909" s="7"/>
    </row>
    <row r="910">
      <c r="A910" s="7"/>
      <c r="B910" s="7"/>
      <c r="C910" s="7"/>
      <c r="D910" s="7"/>
      <c r="E910" s="7"/>
      <c r="F910" s="7"/>
      <c r="G910" s="7"/>
      <c r="H910" s="7"/>
    </row>
    <row r="911">
      <c r="A911" s="7"/>
      <c r="B911" s="7"/>
      <c r="C911" s="7"/>
      <c r="D911" s="7"/>
      <c r="E911" s="7"/>
      <c r="F911" s="7"/>
      <c r="G911" s="7"/>
      <c r="H911" s="7"/>
    </row>
    <row r="912">
      <c r="A912" s="7"/>
      <c r="B912" s="7"/>
      <c r="C912" s="7"/>
      <c r="D912" s="7"/>
      <c r="E912" s="7"/>
      <c r="F912" s="7"/>
      <c r="G912" s="7"/>
      <c r="H912" s="7"/>
    </row>
    <row r="913">
      <c r="A913" s="7"/>
      <c r="B913" s="7"/>
      <c r="C913" s="7"/>
      <c r="D913" s="7"/>
      <c r="E913" s="7"/>
      <c r="F913" s="7"/>
      <c r="G913" s="7"/>
      <c r="H913" s="7"/>
    </row>
    <row r="914">
      <c r="A914" s="7"/>
      <c r="B914" s="7"/>
      <c r="C914" s="7"/>
      <c r="D914" s="7"/>
      <c r="E914" s="7"/>
      <c r="F914" s="7"/>
      <c r="G914" s="7"/>
      <c r="H914" s="7"/>
    </row>
    <row r="915">
      <c r="A915" s="7"/>
      <c r="B915" s="7"/>
      <c r="C915" s="7"/>
      <c r="D915" s="7"/>
      <c r="E915" s="7"/>
      <c r="F915" s="7"/>
      <c r="G915" s="7"/>
      <c r="H915" s="7"/>
    </row>
    <row r="916">
      <c r="A916" s="7"/>
      <c r="B916" s="7"/>
      <c r="C916" s="7"/>
      <c r="D916" s="7"/>
      <c r="E916" s="7"/>
      <c r="F916" s="7"/>
      <c r="G916" s="7"/>
      <c r="H916" s="7"/>
    </row>
    <row r="917">
      <c r="A917" s="7"/>
      <c r="B917" s="7"/>
      <c r="C917" s="7"/>
      <c r="D917" s="7"/>
      <c r="E917" s="7"/>
      <c r="F917" s="7"/>
      <c r="G917" s="7"/>
      <c r="H917" s="7"/>
    </row>
    <row r="918">
      <c r="A918" s="7"/>
      <c r="B918" s="7"/>
      <c r="C918" s="7"/>
      <c r="D918" s="7"/>
      <c r="E918" s="7"/>
      <c r="F918" s="7"/>
      <c r="G918" s="7"/>
      <c r="H918" s="7"/>
    </row>
    <row r="919">
      <c r="A919" s="7"/>
      <c r="B919" s="7"/>
      <c r="C919" s="7"/>
      <c r="D919" s="7"/>
      <c r="E919" s="7"/>
      <c r="F919" s="7"/>
      <c r="G919" s="7"/>
      <c r="H919" s="7"/>
    </row>
    <row r="920">
      <c r="A920" s="7"/>
      <c r="B920" s="7"/>
      <c r="C920" s="7"/>
      <c r="D920" s="7"/>
      <c r="E920" s="7"/>
      <c r="F920" s="7"/>
      <c r="G920" s="7"/>
      <c r="H920" s="7"/>
    </row>
    <row r="921">
      <c r="A921" s="7"/>
      <c r="B921" s="7"/>
      <c r="C921" s="7"/>
      <c r="D921" s="7"/>
      <c r="E921" s="7"/>
      <c r="F921" s="7"/>
      <c r="G921" s="7"/>
      <c r="H921" s="7"/>
    </row>
    <row r="922">
      <c r="A922" s="7"/>
      <c r="B922" s="7"/>
      <c r="C922" s="7"/>
      <c r="D922" s="7"/>
      <c r="E922" s="7"/>
      <c r="F922" s="7"/>
      <c r="G922" s="7"/>
      <c r="H922" s="7"/>
    </row>
    <row r="923">
      <c r="A923" s="7"/>
      <c r="B923" s="7"/>
      <c r="C923" s="7"/>
      <c r="D923" s="7"/>
      <c r="E923" s="7"/>
      <c r="F923" s="7"/>
      <c r="G923" s="7"/>
      <c r="H923" s="7"/>
    </row>
    <row r="924">
      <c r="A924" s="7"/>
      <c r="B924" s="7"/>
      <c r="C924" s="7"/>
      <c r="D924" s="7"/>
      <c r="E924" s="7"/>
      <c r="F924" s="7"/>
      <c r="G924" s="7"/>
      <c r="H924" s="7"/>
    </row>
    <row r="925">
      <c r="A925" s="7"/>
      <c r="B925" s="7"/>
      <c r="C925" s="7"/>
      <c r="D925" s="7"/>
      <c r="E925" s="7"/>
      <c r="F925" s="7"/>
      <c r="G925" s="7"/>
      <c r="H925" s="7"/>
    </row>
    <row r="926">
      <c r="A926" s="7"/>
      <c r="B926" s="7"/>
      <c r="C926" s="7"/>
      <c r="D926" s="7"/>
      <c r="E926" s="7"/>
      <c r="F926" s="7"/>
      <c r="G926" s="7"/>
      <c r="H926" s="7"/>
    </row>
    <row r="927">
      <c r="A927" s="7"/>
      <c r="B927" s="7"/>
      <c r="C927" s="7"/>
      <c r="D927" s="7"/>
      <c r="E927" s="7"/>
      <c r="F927" s="7"/>
      <c r="G927" s="7"/>
      <c r="H927" s="7"/>
    </row>
    <row r="928">
      <c r="A928" s="7"/>
      <c r="B928" s="7"/>
      <c r="C928" s="7"/>
      <c r="D928" s="7"/>
      <c r="E928" s="7"/>
      <c r="F928" s="7"/>
      <c r="G928" s="7"/>
      <c r="H928" s="7"/>
    </row>
    <row r="929">
      <c r="A929" s="7"/>
      <c r="B929" s="7"/>
      <c r="C929" s="7"/>
      <c r="D929" s="7"/>
      <c r="E929" s="7"/>
      <c r="F929" s="7"/>
      <c r="G929" s="7"/>
      <c r="H929" s="7"/>
    </row>
    <row r="930">
      <c r="A930" s="7"/>
      <c r="B930" s="7"/>
      <c r="C930" s="7"/>
      <c r="D930" s="7"/>
      <c r="E930" s="7"/>
      <c r="F930" s="7"/>
      <c r="G930" s="7"/>
      <c r="H930" s="7"/>
    </row>
    <row r="931">
      <c r="A931" s="7"/>
      <c r="B931" s="7"/>
      <c r="C931" s="7"/>
      <c r="D931" s="7"/>
      <c r="E931" s="7"/>
      <c r="F931" s="7"/>
      <c r="G931" s="7"/>
      <c r="H931" s="7"/>
    </row>
    <row r="932">
      <c r="A932" s="7"/>
      <c r="B932" s="7"/>
      <c r="C932" s="7"/>
      <c r="D932" s="7"/>
      <c r="E932" s="7"/>
      <c r="F932" s="7"/>
      <c r="G932" s="7"/>
      <c r="H932" s="7"/>
    </row>
    <row r="933">
      <c r="A933" s="7"/>
      <c r="B933" s="7"/>
      <c r="C933" s="7"/>
      <c r="D933" s="7"/>
      <c r="E933" s="7"/>
      <c r="F933" s="7"/>
      <c r="G933" s="7"/>
      <c r="H933" s="7"/>
    </row>
    <row r="934">
      <c r="A934" s="7"/>
      <c r="B934" s="7"/>
      <c r="C934" s="7"/>
      <c r="D934" s="7"/>
      <c r="E934" s="7"/>
      <c r="F934" s="7"/>
      <c r="G934" s="7"/>
      <c r="H934" s="7"/>
    </row>
    <row r="935">
      <c r="A935" s="7"/>
      <c r="B935" s="7"/>
      <c r="C935" s="7"/>
      <c r="D935" s="7"/>
      <c r="E935" s="7"/>
      <c r="F935" s="7"/>
      <c r="G935" s="7"/>
      <c r="H935" s="7"/>
    </row>
    <row r="936">
      <c r="A936" s="7"/>
      <c r="B936" s="7"/>
      <c r="C936" s="7"/>
      <c r="D936" s="7"/>
      <c r="E936" s="7"/>
      <c r="F936" s="7"/>
      <c r="G936" s="7"/>
      <c r="H936" s="7"/>
    </row>
    <row r="937">
      <c r="A937" s="7"/>
      <c r="B937" s="7"/>
      <c r="C937" s="7"/>
      <c r="D937" s="7"/>
      <c r="E937" s="7"/>
      <c r="F937" s="7"/>
      <c r="G937" s="7"/>
      <c r="H937" s="7"/>
    </row>
    <row r="938">
      <c r="A938" s="7"/>
      <c r="B938" s="7"/>
      <c r="C938" s="7"/>
      <c r="D938" s="7"/>
      <c r="E938" s="7"/>
      <c r="F938" s="7"/>
      <c r="G938" s="7"/>
      <c r="H938" s="7"/>
    </row>
    <row r="939">
      <c r="A939" s="7"/>
      <c r="B939" s="7"/>
      <c r="C939" s="7"/>
      <c r="D939" s="7"/>
      <c r="E939" s="7"/>
      <c r="F939" s="7"/>
      <c r="G939" s="7"/>
      <c r="H939" s="7"/>
    </row>
    <row r="940">
      <c r="A940" s="7"/>
      <c r="B940" s="7"/>
      <c r="C940" s="7"/>
      <c r="D940" s="7"/>
      <c r="E940" s="7"/>
      <c r="F940" s="7"/>
      <c r="G940" s="7"/>
      <c r="H940" s="7"/>
    </row>
    <row r="941">
      <c r="A941" s="7"/>
      <c r="B941" s="7"/>
      <c r="C941" s="7"/>
      <c r="D941" s="7"/>
      <c r="E941" s="7"/>
      <c r="F941" s="7"/>
      <c r="G941" s="7"/>
      <c r="H941" s="7"/>
    </row>
    <row r="942">
      <c r="A942" s="7"/>
      <c r="B942" s="7"/>
      <c r="C942" s="7"/>
      <c r="D942" s="7"/>
      <c r="E942" s="7"/>
      <c r="F942" s="7"/>
      <c r="G942" s="7"/>
      <c r="H942" s="7"/>
    </row>
    <row r="943">
      <c r="A943" s="7"/>
      <c r="B943" s="7"/>
      <c r="C943" s="7"/>
      <c r="D943" s="7"/>
      <c r="E943" s="7"/>
      <c r="F943" s="7"/>
      <c r="G943" s="7"/>
      <c r="H943" s="7"/>
    </row>
    <row r="944">
      <c r="A944" s="7"/>
      <c r="B944" s="7"/>
      <c r="C944" s="7"/>
      <c r="D944" s="7"/>
      <c r="E944" s="7"/>
      <c r="F944" s="7"/>
      <c r="G944" s="7"/>
      <c r="H944" s="7"/>
    </row>
    <row r="945">
      <c r="A945" s="7"/>
      <c r="B945" s="7"/>
      <c r="C945" s="7"/>
      <c r="D945" s="7"/>
      <c r="E945" s="7"/>
      <c r="F945" s="7"/>
      <c r="G945" s="7"/>
      <c r="H945" s="7"/>
    </row>
    <row r="946">
      <c r="A946" s="7"/>
      <c r="B946" s="7"/>
      <c r="C946" s="7"/>
      <c r="D946" s="7"/>
      <c r="E946" s="7"/>
      <c r="F946" s="7"/>
      <c r="G946" s="7"/>
      <c r="H946" s="7"/>
    </row>
    <row r="947">
      <c r="A947" s="7"/>
      <c r="B947" s="7"/>
      <c r="C947" s="7"/>
      <c r="D947" s="7"/>
      <c r="E947" s="7"/>
      <c r="F947" s="7"/>
      <c r="G947" s="7"/>
      <c r="H947" s="7"/>
    </row>
    <row r="948">
      <c r="A948" s="7"/>
      <c r="B948" s="7"/>
      <c r="C948" s="7"/>
      <c r="D948" s="7"/>
      <c r="E948" s="7"/>
      <c r="F948" s="7"/>
      <c r="G948" s="7"/>
      <c r="H948" s="7"/>
    </row>
    <row r="949">
      <c r="A949" s="7"/>
      <c r="B949" s="7"/>
      <c r="C949" s="7"/>
      <c r="D949" s="7"/>
      <c r="E949" s="7"/>
      <c r="F949" s="7"/>
      <c r="G949" s="7"/>
      <c r="H949" s="7"/>
    </row>
    <row r="950">
      <c r="A950" s="7"/>
      <c r="B950" s="7"/>
      <c r="C950" s="7"/>
      <c r="D950" s="7"/>
      <c r="E950" s="7"/>
      <c r="F950" s="7"/>
      <c r="G950" s="7"/>
      <c r="H950" s="7"/>
    </row>
    <row r="951">
      <c r="A951" s="7"/>
      <c r="B951" s="7"/>
      <c r="C951" s="7"/>
      <c r="D951" s="7"/>
      <c r="E951" s="7"/>
      <c r="F951" s="7"/>
      <c r="G951" s="7"/>
      <c r="H951" s="7"/>
    </row>
    <row r="952">
      <c r="A952" s="7"/>
      <c r="B952" s="7"/>
      <c r="C952" s="7"/>
      <c r="D952" s="7"/>
      <c r="E952" s="7"/>
      <c r="F952" s="7"/>
      <c r="G952" s="7"/>
      <c r="H952" s="7"/>
    </row>
    <row r="953">
      <c r="A953" s="7"/>
      <c r="B953" s="7"/>
      <c r="C953" s="7"/>
      <c r="D953" s="7"/>
      <c r="E953" s="7"/>
      <c r="F953" s="7"/>
      <c r="G953" s="7"/>
      <c r="H953" s="7"/>
    </row>
    <row r="954">
      <c r="A954" s="7"/>
      <c r="B954" s="7"/>
      <c r="C954" s="7"/>
      <c r="D954" s="7"/>
      <c r="E954" s="7"/>
      <c r="F954" s="7"/>
      <c r="G954" s="7"/>
      <c r="H954" s="7"/>
    </row>
    <row r="955">
      <c r="A955" s="7"/>
      <c r="B955" s="7"/>
      <c r="C955" s="7"/>
      <c r="D955" s="7"/>
      <c r="E955" s="7"/>
      <c r="F955" s="7"/>
      <c r="G955" s="7"/>
      <c r="H955" s="7"/>
    </row>
    <row r="956">
      <c r="A956" s="7"/>
      <c r="B956" s="7"/>
      <c r="C956" s="7"/>
      <c r="D956" s="7"/>
      <c r="E956" s="7"/>
      <c r="F956" s="7"/>
      <c r="G956" s="7"/>
      <c r="H956" s="7"/>
    </row>
    <row r="957">
      <c r="A957" s="7"/>
      <c r="B957" s="7"/>
      <c r="C957" s="7"/>
      <c r="D957" s="7"/>
      <c r="E957" s="7"/>
      <c r="F957" s="7"/>
      <c r="G957" s="7"/>
      <c r="H957" s="7"/>
    </row>
    <row r="958">
      <c r="A958" s="7"/>
      <c r="B958" s="7"/>
      <c r="C958" s="7"/>
      <c r="D958" s="7"/>
      <c r="E958" s="7"/>
      <c r="F958" s="7"/>
      <c r="G958" s="7"/>
      <c r="H958" s="7"/>
    </row>
    <row r="959">
      <c r="A959" s="7"/>
      <c r="B959" s="7"/>
      <c r="C959" s="7"/>
      <c r="D959" s="7"/>
      <c r="E959" s="7"/>
      <c r="F959" s="7"/>
      <c r="G959" s="7"/>
      <c r="H959" s="7"/>
    </row>
    <row r="960">
      <c r="A960" s="7"/>
      <c r="B960" s="7"/>
      <c r="C960" s="7"/>
      <c r="D960" s="7"/>
      <c r="E960" s="7"/>
      <c r="F960" s="7"/>
      <c r="G960" s="7"/>
      <c r="H960" s="7"/>
    </row>
    <row r="961">
      <c r="A961" s="7"/>
      <c r="B961" s="7"/>
      <c r="C961" s="7"/>
      <c r="D961" s="7"/>
      <c r="E961" s="7"/>
      <c r="F961" s="7"/>
      <c r="G961" s="7"/>
      <c r="H961" s="7"/>
    </row>
    <row r="962">
      <c r="A962" s="7"/>
      <c r="B962" s="7"/>
      <c r="C962" s="7"/>
      <c r="D962" s="7"/>
      <c r="E962" s="7"/>
      <c r="F962" s="7"/>
      <c r="G962" s="7"/>
      <c r="H962" s="7"/>
    </row>
    <row r="963">
      <c r="A963" s="7"/>
      <c r="B963" s="7"/>
      <c r="C963" s="7"/>
      <c r="D963" s="7"/>
      <c r="E963" s="7"/>
      <c r="F963" s="7"/>
      <c r="G963" s="7"/>
      <c r="H963" s="7"/>
    </row>
    <row r="964">
      <c r="A964" s="7"/>
      <c r="B964" s="7"/>
      <c r="C964" s="7"/>
      <c r="D964" s="7"/>
      <c r="E964" s="7"/>
      <c r="F964" s="7"/>
      <c r="G964" s="7"/>
      <c r="H964" s="7"/>
    </row>
    <row r="965">
      <c r="A965" s="7"/>
      <c r="B965" s="7"/>
      <c r="C965" s="7"/>
      <c r="D965" s="7"/>
      <c r="E965" s="7"/>
      <c r="F965" s="7"/>
      <c r="G965" s="7"/>
      <c r="H965" s="7"/>
    </row>
    <row r="966">
      <c r="A966" s="7"/>
      <c r="B966" s="7"/>
      <c r="C966" s="7"/>
      <c r="D966" s="7"/>
      <c r="E966" s="7"/>
      <c r="F966" s="7"/>
      <c r="G966" s="7"/>
      <c r="H966" s="7"/>
    </row>
    <row r="967">
      <c r="A967" s="7"/>
      <c r="B967" s="7"/>
      <c r="C967" s="7"/>
      <c r="D967" s="7"/>
      <c r="E967" s="7"/>
      <c r="F967" s="7"/>
      <c r="G967" s="7"/>
      <c r="H967" s="7"/>
    </row>
    <row r="968">
      <c r="A968" s="7"/>
      <c r="B968" s="7"/>
      <c r="C968" s="7"/>
      <c r="D968" s="7"/>
      <c r="E968" s="7"/>
      <c r="F968" s="7"/>
      <c r="G968" s="7"/>
      <c r="H968" s="7"/>
    </row>
    <row r="969">
      <c r="A969" s="7"/>
      <c r="B969" s="7"/>
      <c r="C969" s="7"/>
      <c r="D969" s="7"/>
      <c r="E969" s="7"/>
      <c r="F969" s="7"/>
      <c r="G969" s="7"/>
      <c r="H969" s="7"/>
    </row>
    <row r="970">
      <c r="A970" s="7"/>
      <c r="B970" s="7"/>
      <c r="C970" s="7"/>
      <c r="D970" s="7"/>
      <c r="E970" s="7"/>
      <c r="F970" s="7"/>
      <c r="G970" s="7"/>
      <c r="H970" s="7"/>
    </row>
    <row r="971">
      <c r="A971" s="7"/>
      <c r="B971" s="7"/>
      <c r="C971" s="7"/>
      <c r="D971" s="7"/>
      <c r="E971" s="7"/>
      <c r="F971" s="7"/>
      <c r="G971" s="7"/>
      <c r="H971" s="7"/>
    </row>
    <row r="972">
      <c r="A972" s="7"/>
      <c r="B972" s="7"/>
      <c r="C972" s="7"/>
      <c r="D972" s="7"/>
      <c r="E972" s="7"/>
      <c r="F972" s="7"/>
      <c r="G972" s="7"/>
      <c r="H972" s="7"/>
    </row>
    <row r="973">
      <c r="A973" s="7"/>
      <c r="B973" s="7"/>
      <c r="C973" s="7"/>
      <c r="D973" s="7"/>
      <c r="E973" s="7"/>
      <c r="F973" s="7"/>
      <c r="G973" s="7"/>
      <c r="H973" s="7"/>
    </row>
    <row r="974">
      <c r="A974" s="7"/>
      <c r="B974" s="7"/>
      <c r="C974" s="7"/>
      <c r="D974" s="7"/>
      <c r="E974" s="7"/>
      <c r="F974" s="7"/>
      <c r="G974" s="7"/>
      <c r="H974" s="7"/>
    </row>
    <row r="975">
      <c r="A975" s="7"/>
      <c r="B975" s="7"/>
      <c r="C975" s="7"/>
      <c r="D975" s="7"/>
      <c r="E975" s="7"/>
      <c r="F975" s="7"/>
      <c r="G975" s="7"/>
      <c r="H975" s="7"/>
    </row>
    <row r="976">
      <c r="A976" s="7"/>
      <c r="B976" s="7"/>
      <c r="C976" s="7"/>
      <c r="D976" s="7"/>
      <c r="E976" s="7"/>
      <c r="F976" s="7"/>
      <c r="G976" s="7"/>
      <c r="H976" s="7"/>
    </row>
    <row r="977">
      <c r="A977" s="7"/>
      <c r="B977" s="7"/>
      <c r="C977" s="7"/>
      <c r="D977" s="7"/>
      <c r="E977" s="7"/>
      <c r="F977" s="7"/>
      <c r="G977" s="7"/>
      <c r="H977" s="7"/>
    </row>
    <row r="978">
      <c r="A978" s="7"/>
      <c r="B978" s="7"/>
      <c r="C978" s="7"/>
      <c r="D978" s="7"/>
      <c r="E978" s="7"/>
      <c r="F978" s="7"/>
      <c r="G978" s="7"/>
      <c r="H978" s="7"/>
    </row>
    <row r="979">
      <c r="A979" s="7"/>
      <c r="B979" s="7"/>
      <c r="C979" s="7"/>
      <c r="D979" s="7"/>
      <c r="E979" s="7"/>
      <c r="F979" s="7"/>
      <c r="G979" s="7"/>
      <c r="H979" s="7"/>
    </row>
    <row r="980">
      <c r="A980" s="7"/>
      <c r="B980" s="7"/>
      <c r="C980" s="7"/>
      <c r="D980" s="7"/>
      <c r="E980" s="7"/>
      <c r="F980" s="7"/>
      <c r="G980" s="7"/>
      <c r="H980" s="7"/>
    </row>
    <row r="981">
      <c r="A981" s="7"/>
      <c r="B981" s="7"/>
      <c r="C981" s="7"/>
      <c r="D981" s="7"/>
      <c r="E981" s="7"/>
      <c r="F981" s="7"/>
      <c r="G981" s="7"/>
      <c r="H981" s="7"/>
    </row>
    <row r="982">
      <c r="A982" s="7"/>
      <c r="B982" s="7"/>
      <c r="C982" s="7"/>
      <c r="D982" s="7"/>
      <c r="E982" s="7"/>
      <c r="F982" s="7"/>
      <c r="G982" s="7"/>
      <c r="H982" s="7"/>
    </row>
    <row r="983">
      <c r="A983" s="7"/>
      <c r="B983" s="7"/>
      <c r="C983" s="7"/>
      <c r="D983" s="7"/>
      <c r="E983" s="7"/>
      <c r="F983" s="7"/>
      <c r="G983" s="7"/>
      <c r="H983" s="7"/>
    </row>
    <row r="984">
      <c r="A984" s="7"/>
      <c r="B984" s="7"/>
      <c r="C984" s="7"/>
      <c r="D984" s="7"/>
      <c r="E984" s="7"/>
      <c r="F984" s="7"/>
      <c r="G984" s="7"/>
      <c r="H984" s="7"/>
    </row>
    <row r="985">
      <c r="A985" s="7"/>
      <c r="B985" s="7"/>
      <c r="C985" s="7"/>
      <c r="D985" s="7"/>
      <c r="E985" s="7"/>
      <c r="F985" s="7"/>
      <c r="G985" s="7"/>
      <c r="H985" s="7"/>
    </row>
    <row r="986">
      <c r="A986" s="7"/>
      <c r="B986" s="7"/>
      <c r="C986" s="7"/>
      <c r="D986" s="7"/>
      <c r="E986" s="7"/>
      <c r="F986" s="7"/>
      <c r="G986" s="7"/>
      <c r="H986" s="7"/>
    </row>
    <row r="987">
      <c r="A987" s="7"/>
      <c r="B987" s="7"/>
      <c r="C987" s="7"/>
      <c r="D987" s="7"/>
      <c r="E987" s="7"/>
      <c r="F987" s="7"/>
      <c r="G987" s="7"/>
      <c r="H987" s="7"/>
    </row>
    <row r="988">
      <c r="A988" s="7"/>
      <c r="B988" s="7"/>
      <c r="C988" s="7"/>
      <c r="D988" s="7"/>
      <c r="E988" s="7"/>
      <c r="F988" s="7"/>
      <c r="G988" s="7"/>
      <c r="H988" s="7"/>
    </row>
    <row r="989">
      <c r="A989" s="7"/>
      <c r="B989" s="7"/>
      <c r="C989" s="7"/>
      <c r="D989" s="7"/>
      <c r="E989" s="7"/>
      <c r="F989" s="7"/>
      <c r="G989" s="7"/>
      <c r="H989" s="7"/>
    </row>
    <row r="990">
      <c r="A990" s="7"/>
      <c r="B990" s="7"/>
      <c r="C990" s="7"/>
      <c r="D990" s="7"/>
      <c r="E990" s="7"/>
      <c r="F990" s="7"/>
      <c r="G990" s="7"/>
      <c r="H990" s="7"/>
    </row>
    <row r="991">
      <c r="A991" s="7"/>
      <c r="B991" s="7"/>
      <c r="C991" s="7"/>
      <c r="D991" s="7"/>
      <c r="E991" s="7"/>
      <c r="F991" s="7"/>
      <c r="G991" s="7"/>
      <c r="H991" s="7"/>
    </row>
    <row r="992">
      <c r="A992" s="7"/>
      <c r="B992" s="7"/>
      <c r="C992" s="7"/>
      <c r="D992" s="7"/>
      <c r="E992" s="7"/>
      <c r="F992" s="7"/>
      <c r="G992" s="7"/>
      <c r="H992" s="7"/>
    </row>
    <row r="993">
      <c r="A993" s="7"/>
      <c r="B993" s="7"/>
      <c r="C993" s="7"/>
      <c r="D993" s="7"/>
      <c r="E993" s="7"/>
      <c r="F993" s="7"/>
      <c r="G993" s="7"/>
      <c r="H993" s="7"/>
    </row>
    <row r="994">
      <c r="A994" s="7"/>
      <c r="B994" s="7"/>
      <c r="C994" s="7"/>
      <c r="D994" s="7"/>
      <c r="E994" s="7"/>
      <c r="F994" s="7"/>
      <c r="G994" s="7"/>
      <c r="H994" s="7"/>
    </row>
    <row r="995">
      <c r="A995" s="7"/>
      <c r="B995" s="7"/>
      <c r="C995" s="7"/>
      <c r="D995" s="7"/>
      <c r="E995" s="7"/>
      <c r="F995" s="7"/>
      <c r="G995" s="7"/>
      <c r="H995" s="7"/>
    </row>
    <row r="996">
      <c r="A996" s="7"/>
      <c r="B996" s="7"/>
      <c r="C996" s="7"/>
      <c r="D996" s="7"/>
      <c r="E996" s="7"/>
      <c r="F996" s="7"/>
      <c r="G996" s="7"/>
      <c r="H996" s="7"/>
    </row>
    <row r="997">
      <c r="A997" s="7"/>
      <c r="B997" s="7"/>
      <c r="C997" s="7"/>
      <c r="D997" s="7"/>
      <c r="E997" s="7"/>
      <c r="F997" s="7"/>
      <c r="G997" s="7"/>
      <c r="H997" s="7"/>
    </row>
    <row r="998">
      <c r="A998" s="7"/>
      <c r="B998" s="7"/>
      <c r="C998" s="7"/>
      <c r="D998" s="7"/>
      <c r="E998" s="7"/>
      <c r="F998" s="7"/>
      <c r="G998" s="7"/>
      <c r="H998" s="7"/>
    </row>
    <row r="999">
      <c r="A999" s="7"/>
      <c r="B999" s="7"/>
      <c r="C999" s="7"/>
      <c r="D999" s="7"/>
      <c r="E999" s="7"/>
      <c r="F999" s="7"/>
      <c r="G999" s="7"/>
      <c r="H999" s="7"/>
    </row>
    <row r="1000">
      <c r="A1000" s="7"/>
      <c r="B1000" s="7"/>
      <c r="C1000" s="7"/>
      <c r="D1000" s="7"/>
      <c r="E1000" s="7"/>
      <c r="F1000" s="7"/>
      <c r="G1000" s="7"/>
      <c r="H1000" s="7"/>
    </row>
  </sheetData>
  <autoFilter ref="$A$1:$M$166"/>
  <dataValidations>
    <dataValidation type="list" allowBlank="1" showErrorMessage="1" sqref="J2:J184">
      <formula1>"Trend Analysis ,Gap Detection,Evidence-based QA,Comparative Synthesis"</formula1>
    </dataValidation>
    <dataValidation type="list" allowBlank="1" showErrorMessage="1" sqref="K2:K184">
      <formula1>"LaBSE,BGE-M3"</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6" max="6" width="21.13"/>
    <col customWidth="1" min="7" max="7" width="25.0"/>
  </cols>
  <sheetData>
    <row r="1">
      <c r="A1" s="41" t="s">
        <v>41</v>
      </c>
      <c r="B1" s="41" t="s">
        <v>42</v>
      </c>
      <c r="C1" s="41" t="s">
        <v>43</v>
      </c>
      <c r="D1" s="41" t="s">
        <v>44</v>
      </c>
      <c r="E1" s="32" t="s">
        <v>3</v>
      </c>
      <c r="F1" s="32" t="s">
        <v>4</v>
      </c>
      <c r="G1" s="32" t="s">
        <v>5</v>
      </c>
      <c r="H1" s="32" t="s">
        <v>6</v>
      </c>
      <c r="I1" s="41" t="s">
        <v>45</v>
      </c>
      <c r="J1" s="42" t="s">
        <v>1406</v>
      </c>
      <c r="K1" s="33" t="s">
        <v>0</v>
      </c>
      <c r="L1" s="33" t="s">
        <v>1</v>
      </c>
      <c r="M1" s="33" t="s">
        <v>2</v>
      </c>
    </row>
    <row r="2">
      <c r="A2" s="19">
        <v>1.0</v>
      </c>
      <c r="B2" s="19" t="s">
        <v>79</v>
      </c>
      <c r="C2" s="19" t="s">
        <v>80</v>
      </c>
      <c r="D2" s="19" t="s">
        <v>81</v>
      </c>
      <c r="E2" s="43">
        <v>0.889</v>
      </c>
      <c r="F2" s="43">
        <v>0.0</v>
      </c>
      <c r="G2" s="43">
        <v>0.0</v>
      </c>
      <c r="H2" s="43">
        <v>0.667</v>
      </c>
      <c r="I2" s="44" t="str">
        <f>IMAGE("https://drive.google.com/uc?export=view&amp;id=10g3KSphlYmmWl8uVd0ORoR48gg0P6sTO")</f>
        <v/>
      </c>
      <c r="J2" s="19" t="s">
        <v>14</v>
      </c>
      <c r="K2" s="45" t="s">
        <v>7</v>
      </c>
      <c r="L2" s="46">
        <v>32.0</v>
      </c>
      <c r="M2" s="46">
        <v>3.0</v>
      </c>
    </row>
    <row r="3">
      <c r="A3" s="19">
        <v>2.0</v>
      </c>
      <c r="B3" s="19" t="s">
        <v>88</v>
      </c>
      <c r="C3" s="19" t="s">
        <v>89</v>
      </c>
      <c r="D3" s="19" t="s">
        <v>90</v>
      </c>
      <c r="E3" s="43">
        <v>1.0</v>
      </c>
      <c r="F3" s="43">
        <v>0.0</v>
      </c>
      <c r="G3" s="43">
        <v>0.0</v>
      </c>
      <c r="H3" s="43">
        <v>0.6</v>
      </c>
      <c r="I3" s="44" t="str">
        <f>IMAGE("https://drive.google.com/uc?export=view&amp;id=1LwhIqBgkAyCQ8maH4JVJ5YAyeYkgQh71")</f>
        <v/>
      </c>
      <c r="J3" s="19" t="s">
        <v>14</v>
      </c>
      <c r="K3" s="43" t="s">
        <v>7</v>
      </c>
      <c r="L3" s="19">
        <v>32.0</v>
      </c>
      <c r="M3" s="19">
        <v>3.0</v>
      </c>
    </row>
    <row r="4">
      <c r="A4" s="19">
        <v>3.0</v>
      </c>
      <c r="B4" s="19" t="s">
        <v>106</v>
      </c>
      <c r="C4" s="19" t="s">
        <v>107</v>
      </c>
      <c r="D4" s="19" t="s">
        <v>108</v>
      </c>
      <c r="E4" s="43">
        <v>0.909</v>
      </c>
      <c r="F4" s="43">
        <v>0.0</v>
      </c>
      <c r="G4" s="43">
        <v>0.0</v>
      </c>
      <c r="H4" s="43">
        <v>0.5</v>
      </c>
      <c r="I4" s="44" t="str">
        <f>IMAGE("https://drive.google.com/uc?export=view&amp;id=1ono8yAQKlxu2oMNAU9ILnErQ6LuzaiEh")</f>
        <v/>
      </c>
      <c r="J4" s="19" t="s">
        <v>15</v>
      </c>
      <c r="K4" s="43" t="s">
        <v>7</v>
      </c>
      <c r="L4" s="19">
        <v>32.0</v>
      </c>
      <c r="M4" s="19">
        <v>3.0</v>
      </c>
    </row>
    <row r="5">
      <c r="A5" s="19">
        <v>4.0</v>
      </c>
      <c r="B5" s="19" t="s">
        <v>133</v>
      </c>
      <c r="C5" s="19" t="s">
        <v>134</v>
      </c>
      <c r="D5" s="19" t="s">
        <v>135</v>
      </c>
      <c r="E5" s="43">
        <v>0.636</v>
      </c>
      <c r="F5" s="43">
        <v>0.0</v>
      </c>
      <c r="G5" s="43">
        <v>0.0</v>
      </c>
      <c r="H5" s="43">
        <v>0.833</v>
      </c>
      <c r="I5" s="44" t="str">
        <f>IMAGE("https://drive.google.com/uc?export=view&amp;id=16qR0NBfmgUhRWFcgED_caeRK0QVq4OCo")</f>
        <v/>
      </c>
      <c r="J5" s="19" t="s">
        <v>15</v>
      </c>
      <c r="K5" s="43" t="s">
        <v>7</v>
      </c>
      <c r="L5" s="19">
        <v>32.0</v>
      </c>
      <c r="M5" s="19">
        <v>3.0</v>
      </c>
    </row>
    <row r="6">
      <c r="A6" s="19">
        <v>5.0</v>
      </c>
      <c r="B6" s="19" t="s">
        <v>172</v>
      </c>
      <c r="C6" s="19" t="s">
        <v>173</v>
      </c>
      <c r="D6" s="19" t="s">
        <v>174</v>
      </c>
      <c r="E6" s="43">
        <v>0.875</v>
      </c>
      <c r="F6" s="43">
        <v>0.0</v>
      </c>
      <c r="G6" s="43">
        <v>0.0</v>
      </c>
      <c r="H6" s="43">
        <v>0.2</v>
      </c>
      <c r="I6" s="44" t="str">
        <f>IMAGE("https://drive.google.com/uc?export=view&amp;id=1p0umA6oALCJiPY5_Irhm8Vuc9Jwd-tGq")</f>
        <v/>
      </c>
      <c r="J6" s="19" t="s">
        <v>16</v>
      </c>
      <c r="K6" s="43" t="s">
        <v>7</v>
      </c>
      <c r="L6" s="19">
        <v>32.0</v>
      </c>
      <c r="M6" s="19">
        <v>3.0</v>
      </c>
    </row>
    <row r="7">
      <c r="A7" s="19">
        <v>6.0</v>
      </c>
      <c r="B7" s="19" t="s">
        <v>175</v>
      </c>
      <c r="C7" s="19" t="s">
        <v>176</v>
      </c>
      <c r="D7" s="19" t="s">
        <v>177</v>
      </c>
      <c r="E7" s="43">
        <v>0.667</v>
      </c>
      <c r="F7" s="43">
        <v>0.0</v>
      </c>
      <c r="G7" s="43">
        <v>0.0</v>
      </c>
      <c r="H7" s="43">
        <v>0.333</v>
      </c>
      <c r="I7" s="44" t="str">
        <f>IMAGE("https://drive.google.com/uc?export=view&amp;id=1mqSHgo2h4GpJNcjeUwDWg6YbRXGip_bh")</f>
        <v/>
      </c>
      <c r="J7" s="19" t="s">
        <v>16</v>
      </c>
      <c r="K7" s="43" t="s">
        <v>7</v>
      </c>
      <c r="L7" s="19">
        <v>32.0</v>
      </c>
      <c r="M7" s="19">
        <v>3.0</v>
      </c>
    </row>
    <row r="8">
      <c r="A8" s="19">
        <v>7.0</v>
      </c>
      <c r="B8" s="19" t="s">
        <v>193</v>
      </c>
      <c r="C8" s="19" t="s">
        <v>194</v>
      </c>
      <c r="D8" s="19" t="s">
        <v>195</v>
      </c>
      <c r="E8" s="43">
        <v>0.222</v>
      </c>
      <c r="F8" s="43">
        <v>0.389</v>
      </c>
      <c r="G8" s="43">
        <v>0.333</v>
      </c>
      <c r="H8" s="43">
        <v>0.0</v>
      </c>
      <c r="I8" s="44" t="str">
        <f>IMAGE("https://drive.google.com/uc?export=view&amp;id=1F0M_5Bgc1foHunLrgY4xgC33q47AMySd")</f>
        <v/>
      </c>
      <c r="J8" s="19" t="s">
        <v>16</v>
      </c>
      <c r="K8" s="43" t="s">
        <v>7</v>
      </c>
      <c r="L8" s="19">
        <v>32.0</v>
      </c>
      <c r="M8" s="19">
        <v>3.0</v>
      </c>
    </row>
    <row r="9">
      <c r="A9" s="19">
        <v>8.0</v>
      </c>
      <c r="B9" s="19" t="s">
        <v>196</v>
      </c>
      <c r="C9" s="19" t="s">
        <v>197</v>
      </c>
      <c r="D9" s="19" t="s">
        <v>198</v>
      </c>
      <c r="E9" s="43">
        <v>1.0</v>
      </c>
      <c r="F9" s="43">
        <v>0.0</v>
      </c>
      <c r="G9" s="43">
        <v>0.0</v>
      </c>
      <c r="H9" s="43">
        <v>0.571</v>
      </c>
      <c r="I9" s="44" t="str">
        <f>IMAGE("https://drive.google.com/uc?export=view&amp;id=18anli5Uya-MohZyBN7MI6gZYWv8SLaQj")</f>
        <v/>
      </c>
      <c r="J9" s="19" t="s">
        <v>16</v>
      </c>
      <c r="K9" s="43" t="s">
        <v>7</v>
      </c>
      <c r="L9" s="19">
        <v>32.0</v>
      </c>
      <c r="M9" s="19">
        <v>3.0</v>
      </c>
    </row>
    <row r="10">
      <c r="A10" s="19">
        <v>9.0</v>
      </c>
      <c r="B10" s="19" t="s">
        <v>226</v>
      </c>
      <c r="C10" s="19" t="s">
        <v>227</v>
      </c>
      <c r="D10" s="19" t="s">
        <v>228</v>
      </c>
      <c r="E10" s="43">
        <v>1.0</v>
      </c>
      <c r="F10" s="43">
        <v>0.0</v>
      </c>
      <c r="G10" s="43">
        <v>0.0</v>
      </c>
      <c r="H10" s="43">
        <v>1.0</v>
      </c>
      <c r="I10" s="44" t="str">
        <f>IMAGE("https://drive.google.com/uc?export=view&amp;id=1uFlYVq6dWmlQ629Fu8GGgK0oXMbKRF3c")</f>
        <v/>
      </c>
      <c r="J10" s="19" t="s">
        <v>17</v>
      </c>
      <c r="K10" s="43" t="s">
        <v>7</v>
      </c>
      <c r="L10" s="19">
        <v>32.0</v>
      </c>
      <c r="M10" s="19">
        <v>3.0</v>
      </c>
    </row>
    <row r="11">
      <c r="A11" s="19">
        <v>10.0</v>
      </c>
      <c r="B11" s="19" t="s">
        <v>229</v>
      </c>
      <c r="C11" s="19" t="s">
        <v>230</v>
      </c>
      <c r="D11" s="19" t="s">
        <v>231</v>
      </c>
      <c r="E11" s="43">
        <v>0.818</v>
      </c>
      <c r="F11" s="43">
        <v>0.0</v>
      </c>
      <c r="G11" s="43">
        <v>0.0</v>
      </c>
      <c r="H11" s="43">
        <v>0.8</v>
      </c>
      <c r="I11" s="44" t="str">
        <f>IMAGE("https://drive.google.com/uc?export=view&amp;id=1kv54n0gylMmhluXY0Qnkx8xuriQV38Ua")</f>
        <v/>
      </c>
      <c r="J11" s="19" t="s">
        <v>17</v>
      </c>
      <c r="K11" s="43" t="s">
        <v>7</v>
      </c>
      <c r="L11" s="19">
        <v>32.0</v>
      </c>
      <c r="M11" s="19">
        <v>3.0</v>
      </c>
    </row>
    <row r="12">
      <c r="A12" s="19">
        <v>11.0</v>
      </c>
      <c r="B12" s="19" t="s">
        <v>241</v>
      </c>
      <c r="C12" s="19" t="s">
        <v>242</v>
      </c>
      <c r="D12" s="19" t="s">
        <v>243</v>
      </c>
      <c r="E12" s="43">
        <v>0.917</v>
      </c>
      <c r="F12" s="43">
        <v>0.0</v>
      </c>
      <c r="G12" s="43">
        <v>0.0</v>
      </c>
      <c r="H12" s="43">
        <v>0.833</v>
      </c>
      <c r="I12" s="44" t="str">
        <f>IMAGE("https://drive.google.com/uc?export=view&amp;id=1iqffCmtCGaHX4Ei3hd9y5PlBKdVoeDg3")</f>
        <v/>
      </c>
      <c r="J12" s="19" t="s">
        <v>17</v>
      </c>
      <c r="K12" s="43" t="s">
        <v>7</v>
      </c>
      <c r="L12" s="19">
        <v>32.0</v>
      </c>
      <c r="M12" s="19">
        <v>3.0</v>
      </c>
    </row>
    <row r="13">
      <c r="A13" s="19">
        <v>12.0</v>
      </c>
      <c r="B13" s="19" t="s">
        <v>247</v>
      </c>
      <c r="C13" s="19" t="s">
        <v>248</v>
      </c>
      <c r="D13" s="19" t="s">
        <v>249</v>
      </c>
      <c r="E13" s="43">
        <v>1.0</v>
      </c>
      <c r="F13" s="43">
        <v>0.0</v>
      </c>
      <c r="G13" s="43">
        <v>0.0</v>
      </c>
      <c r="H13" s="43">
        <v>0.833</v>
      </c>
      <c r="I13" s="44" t="str">
        <f>IMAGE("https://drive.google.com/uc?export=view&amp;id=1uMgvkwNStSgXGIN25euRxEVKvjY-CpgW")</f>
        <v/>
      </c>
      <c r="J13" s="19" t="s">
        <v>17</v>
      </c>
      <c r="K13" s="43" t="s">
        <v>7</v>
      </c>
      <c r="L13" s="19">
        <v>32.0</v>
      </c>
      <c r="M13" s="19">
        <v>3.0</v>
      </c>
    </row>
    <row r="14">
      <c r="A14" s="19">
        <v>13.0</v>
      </c>
      <c r="B14" s="19" t="s">
        <v>250</v>
      </c>
      <c r="C14" s="19" t="s">
        <v>251</v>
      </c>
      <c r="D14" s="19" t="s">
        <v>252</v>
      </c>
      <c r="E14" s="43">
        <v>0.692</v>
      </c>
      <c r="F14" s="43">
        <v>0.0</v>
      </c>
      <c r="G14" s="43">
        <v>0.0</v>
      </c>
      <c r="H14" s="43">
        <v>0.857</v>
      </c>
      <c r="I14" s="44" t="str">
        <f>IMAGE("https://drive.google.com/uc?export=view&amp;id=1jw-5ZWzDr5PS8nGAVDqKEO-SXszidSu3")</f>
        <v/>
      </c>
      <c r="J14" s="19" t="s">
        <v>17</v>
      </c>
      <c r="K14" s="43" t="s">
        <v>7</v>
      </c>
      <c r="L14" s="19">
        <v>32.0</v>
      </c>
      <c r="M14" s="19">
        <v>3.0</v>
      </c>
    </row>
    <row r="15">
      <c r="A15" s="19">
        <v>14.0</v>
      </c>
      <c r="B15" s="19" t="s">
        <v>259</v>
      </c>
      <c r="C15" s="19" t="s">
        <v>260</v>
      </c>
      <c r="D15" s="19" t="s">
        <v>261</v>
      </c>
      <c r="E15" s="43">
        <v>0.857</v>
      </c>
      <c r="F15" s="43">
        <v>0.0</v>
      </c>
      <c r="G15" s="43">
        <v>0.0</v>
      </c>
      <c r="H15" s="43">
        <v>0.0</v>
      </c>
      <c r="I15" s="44" t="str">
        <f>IMAGE("https://drive.google.com/uc?export=view&amp;id=10mhDHsMU6OWSJdzXOmCAH07FSnJxxfE-")</f>
        <v/>
      </c>
      <c r="J15" s="19" t="s">
        <v>17</v>
      </c>
      <c r="K15" s="43" t="s">
        <v>7</v>
      </c>
      <c r="L15" s="19">
        <v>32.0</v>
      </c>
      <c r="M15" s="19">
        <v>3.0</v>
      </c>
    </row>
    <row r="16">
      <c r="A16" s="19">
        <v>15.0</v>
      </c>
      <c r="B16" s="19" t="s">
        <v>271</v>
      </c>
      <c r="C16" s="19" t="s">
        <v>272</v>
      </c>
      <c r="D16" s="19" t="s">
        <v>273</v>
      </c>
      <c r="E16" s="43">
        <v>0.778</v>
      </c>
      <c r="F16" s="43">
        <v>0.492</v>
      </c>
      <c r="G16" s="43">
        <v>1.0</v>
      </c>
      <c r="H16" s="43">
        <v>0.75</v>
      </c>
      <c r="I16" s="44" t="str">
        <f>IMAGE("https://drive.google.com/uc?export=view&amp;id=1dE4WhAA55Z0b0W8gUOWslty4AsDaTN1U")</f>
        <v/>
      </c>
      <c r="J16" s="19" t="s">
        <v>17</v>
      </c>
      <c r="K16" s="43" t="s">
        <v>7</v>
      </c>
      <c r="L16" s="19">
        <v>32.0</v>
      </c>
      <c r="M16" s="19">
        <v>3.0</v>
      </c>
    </row>
    <row r="17">
      <c r="A17" s="19">
        <v>16.0</v>
      </c>
      <c r="B17" s="19" t="s">
        <v>280</v>
      </c>
      <c r="C17" s="19" t="s">
        <v>281</v>
      </c>
      <c r="D17" s="19" t="s">
        <v>282</v>
      </c>
      <c r="E17" s="43">
        <v>0.6</v>
      </c>
      <c r="F17" s="43">
        <v>0.0</v>
      </c>
      <c r="G17" s="43">
        <v>0.0</v>
      </c>
      <c r="H17" s="43">
        <v>0.0</v>
      </c>
      <c r="I17" s="44" t="str">
        <f>IMAGE("https://drive.google.com/uc?export=view&amp;id=1h_dN3xp9cAkAiI7fms_HH8-bsP3OpOIV")</f>
        <v/>
      </c>
      <c r="J17" s="19" t="s">
        <v>17</v>
      </c>
      <c r="K17" s="43" t="s">
        <v>7</v>
      </c>
      <c r="L17" s="19">
        <v>32.0</v>
      </c>
      <c r="M17" s="19">
        <v>5.0</v>
      </c>
    </row>
    <row r="18">
      <c r="A18" s="19">
        <v>17.0</v>
      </c>
      <c r="B18" s="47" t="s">
        <v>49</v>
      </c>
      <c r="C18" s="47" t="s">
        <v>288</v>
      </c>
      <c r="D18" s="47" t="s">
        <v>289</v>
      </c>
      <c r="E18" s="48">
        <v>1.0</v>
      </c>
      <c r="F18" s="48">
        <v>0.0</v>
      </c>
      <c r="G18" s="48">
        <v>0.333</v>
      </c>
      <c r="H18" s="48">
        <v>0.8</v>
      </c>
      <c r="I18" s="44" t="str">
        <f>IMAGE("https://drive.google.com/uc?export=view&amp;id=1hUTwgIpVD0-2KBRwGUSeaAhE6SdJ8Ttr")</f>
        <v/>
      </c>
      <c r="J18" s="19" t="s">
        <v>14</v>
      </c>
      <c r="K18" s="43" t="s">
        <v>7</v>
      </c>
      <c r="L18" s="19">
        <v>32.0</v>
      </c>
      <c r="M18" s="19">
        <v>5.0</v>
      </c>
    </row>
    <row r="19">
      <c r="A19" s="19">
        <v>18.0</v>
      </c>
      <c r="B19" s="47" t="s">
        <v>64</v>
      </c>
      <c r="C19" s="47" t="s">
        <v>298</v>
      </c>
      <c r="D19" s="47" t="s">
        <v>299</v>
      </c>
      <c r="E19" s="48">
        <v>0.5</v>
      </c>
      <c r="F19" s="48">
        <v>0.471</v>
      </c>
      <c r="G19" s="48">
        <v>0.0</v>
      </c>
      <c r="H19" s="48">
        <v>0.833</v>
      </c>
      <c r="I19" s="44" t="str">
        <f>IMAGE("https://drive.google.com/uc?export=view&amp;id=10b3bm5d9HKLWIItwCfa1wgj-fYC0RaVY")</f>
        <v/>
      </c>
      <c r="J19" s="19" t="s">
        <v>14</v>
      </c>
      <c r="K19" s="43" t="s">
        <v>7</v>
      </c>
      <c r="L19" s="19">
        <v>32.0</v>
      </c>
      <c r="M19" s="19">
        <v>5.0</v>
      </c>
    </row>
    <row r="20">
      <c r="A20" s="19">
        <v>19.0</v>
      </c>
      <c r="B20" s="47" t="s">
        <v>79</v>
      </c>
      <c r="C20" s="47" t="s">
        <v>308</v>
      </c>
      <c r="D20" s="47" t="s">
        <v>309</v>
      </c>
      <c r="E20" s="48">
        <v>0.571</v>
      </c>
      <c r="F20" s="48">
        <v>0.0</v>
      </c>
      <c r="G20" s="48">
        <v>0.0</v>
      </c>
      <c r="H20" s="48">
        <v>1.0</v>
      </c>
      <c r="I20" s="44" t="str">
        <f>IMAGE("https://drive.google.com/uc?export=view&amp;id=18jsZy_NC7eyaajHCfVWrj1HO1hVtHBwE")</f>
        <v/>
      </c>
      <c r="J20" s="19" t="s">
        <v>14</v>
      </c>
      <c r="K20" s="43" t="s">
        <v>7</v>
      </c>
      <c r="L20" s="19">
        <v>32.0</v>
      </c>
      <c r="M20" s="19">
        <v>5.0</v>
      </c>
    </row>
    <row r="21">
      <c r="A21" s="19">
        <v>20.0</v>
      </c>
      <c r="B21" s="47" t="s">
        <v>88</v>
      </c>
      <c r="C21" s="47" t="s">
        <v>314</v>
      </c>
      <c r="D21" s="47" t="s">
        <v>315</v>
      </c>
      <c r="E21" s="48">
        <v>0.875</v>
      </c>
      <c r="F21" s="48">
        <v>0.0</v>
      </c>
      <c r="G21" s="48">
        <v>0.0</v>
      </c>
      <c r="H21" s="48">
        <v>1.0</v>
      </c>
      <c r="I21" s="44" t="str">
        <f>IMAGE("https://drive.google.com/uc?export=view&amp;id=1rkawDHH9onpP4ySOoYnaCAULtzHs6gIT")</f>
        <v/>
      </c>
      <c r="J21" s="19" t="s">
        <v>14</v>
      </c>
      <c r="K21" s="43" t="s">
        <v>7</v>
      </c>
      <c r="L21" s="19">
        <v>32.0</v>
      </c>
      <c r="M21" s="19">
        <v>5.0</v>
      </c>
    </row>
    <row r="22">
      <c r="A22" s="19">
        <v>21.0</v>
      </c>
      <c r="B22" s="47" t="s">
        <v>106</v>
      </c>
      <c r="C22" s="47" t="s">
        <v>328</v>
      </c>
      <c r="D22" s="47" t="s">
        <v>329</v>
      </c>
      <c r="E22" s="48">
        <v>0.786</v>
      </c>
      <c r="F22" s="48">
        <v>0.0</v>
      </c>
      <c r="G22" s="48">
        <v>0.0</v>
      </c>
      <c r="H22" s="48">
        <v>0.667</v>
      </c>
      <c r="I22" s="44" t="str">
        <f>IMAGE("https://drive.google.com/uc?export=view&amp;id=1DU30dOWBRyw_clYB6wYejdkWTAETfJaN")</f>
        <v/>
      </c>
      <c r="J22" s="19" t="s">
        <v>15</v>
      </c>
      <c r="K22" s="43" t="s">
        <v>7</v>
      </c>
      <c r="L22" s="19">
        <v>32.0</v>
      </c>
      <c r="M22" s="19">
        <v>5.0</v>
      </c>
    </row>
    <row r="23">
      <c r="A23" s="19">
        <v>22.0</v>
      </c>
      <c r="B23" s="47" t="s">
        <v>142</v>
      </c>
      <c r="C23" s="47" t="s">
        <v>350</v>
      </c>
      <c r="D23" s="47" t="s">
        <v>351</v>
      </c>
      <c r="E23" s="48">
        <v>0.722</v>
      </c>
      <c r="F23" s="48">
        <v>0.486</v>
      </c>
      <c r="G23" s="48">
        <v>1.0</v>
      </c>
      <c r="H23" s="48">
        <v>1.0</v>
      </c>
      <c r="I23" s="44" t="str">
        <f>IMAGE("https://drive.google.com/uc?export=view&amp;id=1mBOxhTQHCRuG_6hCjOQFYuC5yWQHml5V")</f>
        <v/>
      </c>
      <c r="J23" s="19" t="s">
        <v>15</v>
      </c>
      <c r="K23" s="43" t="s">
        <v>7</v>
      </c>
      <c r="L23" s="19">
        <v>32.0</v>
      </c>
      <c r="M23" s="19">
        <v>5.0</v>
      </c>
    </row>
    <row r="24">
      <c r="A24" s="19">
        <v>23.0</v>
      </c>
      <c r="B24" s="47" t="s">
        <v>145</v>
      </c>
      <c r="C24" s="47" t="s">
        <v>352</v>
      </c>
      <c r="D24" s="47" t="s">
        <v>353</v>
      </c>
      <c r="E24" s="48">
        <v>0.583</v>
      </c>
      <c r="F24" s="48">
        <v>0.0</v>
      </c>
      <c r="G24" s="48">
        <v>0.0</v>
      </c>
      <c r="H24" s="48">
        <v>0.8</v>
      </c>
      <c r="I24" s="44" t="str">
        <f>IMAGE("https://drive.google.com/uc?export=view&amp;id=1pLXNdcwhpBRiDitC4vhw3B2CBkGuD4Ej")</f>
        <v/>
      </c>
      <c r="J24" s="19" t="s">
        <v>15</v>
      </c>
      <c r="K24" s="43" t="s">
        <v>7</v>
      </c>
      <c r="L24" s="19">
        <v>32.0</v>
      </c>
      <c r="M24" s="19">
        <v>5.0</v>
      </c>
    </row>
    <row r="25">
      <c r="A25" s="19">
        <v>24.0</v>
      </c>
      <c r="B25" s="47" t="s">
        <v>163</v>
      </c>
      <c r="C25" s="47" t="s">
        <v>364</v>
      </c>
      <c r="D25" s="47" t="s">
        <v>365</v>
      </c>
      <c r="E25" s="48">
        <v>0.273</v>
      </c>
      <c r="F25" s="48">
        <v>0.0</v>
      </c>
      <c r="G25" s="48">
        <v>1.0</v>
      </c>
      <c r="H25" s="48">
        <v>0.615</v>
      </c>
      <c r="I25" s="44" t="str">
        <f>IMAGE("https://drive.google.com/uc?export=view&amp;id=1mItI59gVOLOgtLGxMD11cWZA_j0piUYB")</f>
        <v/>
      </c>
      <c r="J25" s="19" t="s">
        <v>15</v>
      </c>
      <c r="K25" s="43" t="s">
        <v>7</v>
      </c>
      <c r="L25" s="19">
        <v>32.0</v>
      </c>
      <c r="M25" s="19">
        <v>5.0</v>
      </c>
    </row>
    <row r="26">
      <c r="A26" s="19">
        <v>25.0</v>
      </c>
      <c r="B26" s="47" t="s">
        <v>193</v>
      </c>
      <c r="C26" s="47" t="s">
        <v>385</v>
      </c>
      <c r="D26" s="47" t="s">
        <v>386</v>
      </c>
      <c r="E26" s="48">
        <v>0.75</v>
      </c>
      <c r="F26" s="48">
        <v>0.355</v>
      </c>
      <c r="G26" s="48">
        <v>0.756</v>
      </c>
      <c r="H26" s="48">
        <v>0.0</v>
      </c>
      <c r="I26" s="44" t="str">
        <f>IMAGE("https://drive.google.com/uc?export=view&amp;id=1KHhGJIgz4MS8uevIFowMbewMtXbvQinw")</f>
        <v/>
      </c>
      <c r="J26" s="19" t="s">
        <v>16</v>
      </c>
      <c r="K26" s="43" t="s">
        <v>7</v>
      </c>
      <c r="L26" s="19">
        <v>32.0</v>
      </c>
      <c r="M26" s="19">
        <v>5.0</v>
      </c>
    </row>
    <row r="27">
      <c r="A27" s="19">
        <v>26.0</v>
      </c>
      <c r="B27" s="47" t="s">
        <v>226</v>
      </c>
      <c r="C27" s="47" t="s">
        <v>407</v>
      </c>
      <c r="D27" s="47" t="s">
        <v>408</v>
      </c>
      <c r="E27" s="48">
        <v>0.688</v>
      </c>
      <c r="F27" s="48">
        <v>0.0</v>
      </c>
      <c r="G27" s="48">
        <v>0.0</v>
      </c>
      <c r="H27" s="48">
        <v>0.857</v>
      </c>
      <c r="I27" s="44" t="str">
        <f>IMAGE("https://drive.google.com/uc?export=view&amp;id=1NVGwi4LcH-kUYM6bO5eN77prLRNj-bkb")</f>
        <v/>
      </c>
      <c r="J27" s="19" t="s">
        <v>17</v>
      </c>
      <c r="K27" s="43" t="s">
        <v>7</v>
      </c>
      <c r="L27" s="19">
        <v>32.0</v>
      </c>
      <c r="M27" s="19">
        <v>5.0</v>
      </c>
    </row>
    <row r="28">
      <c r="A28" s="19">
        <v>27.0</v>
      </c>
      <c r="B28" s="47" t="s">
        <v>238</v>
      </c>
      <c r="C28" s="47" t="s">
        <v>415</v>
      </c>
      <c r="D28" s="47" t="s">
        <v>416</v>
      </c>
      <c r="E28" s="48">
        <v>0.7</v>
      </c>
      <c r="F28" s="48">
        <v>0.423</v>
      </c>
      <c r="G28" s="48">
        <v>0.45</v>
      </c>
      <c r="H28" s="48">
        <v>0.75</v>
      </c>
      <c r="I28" s="44" t="str">
        <f>IMAGE("https://drive.google.com/uc?export=view&amp;id=16wf5d5BtxU6rL-l-0l_koQjfeitSVVSU")</f>
        <v/>
      </c>
      <c r="J28" s="19" t="s">
        <v>17</v>
      </c>
      <c r="K28" s="43" t="s">
        <v>7</v>
      </c>
      <c r="L28" s="19">
        <v>32.0</v>
      </c>
      <c r="M28" s="19">
        <v>5.0</v>
      </c>
    </row>
    <row r="29">
      <c r="A29" s="19">
        <v>28.0</v>
      </c>
      <c r="B29" s="47" t="s">
        <v>247</v>
      </c>
      <c r="C29" s="47" t="s">
        <v>421</v>
      </c>
      <c r="D29" s="47" t="s">
        <v>422</v>
      </c>
      <c r="E29" s="48">
        <v>0.778</v>
      </c>
      <c r="F29" s="48">
        <v>0.0</v>
      </c>
      <c r="G29" s="48">
        <v>0.2</v>
      </c>
      <c r="H29" s="48">
        <v>0.4</v>
      </c>
      <c r="I29" s="44" t="str">
        <f>IMAGE("https://drive.google.com/uc?export=view&amp;id=1IRqwZCZlJsCGG-MuowdYPDHXw_dxGrk1")</f>
        <v/>
      </c>
      <c r="J29" s="19" t="s">
        <v>17</v>
      </c>
      <c r="K29" s="43" t="s">
        <v>7</v>
      </c>
      <c r="L29" s="19">
        <v>32.0</v>
      </c>
      <c r="M29" s="19">
        <v>5.0</v>
      </c>
    </row>
    <row r="30">
      <c r="A30" s="19">
        <v>29.0</v>
      </c>
      <c r="B30" s="47" t="s">
        <v>277</v>
      </c>
      <c r="C30" s="47" t="s">
        <v>441</v>
      </c>
      <c r="D30" s="47" t="s">
        <v>442</v>
      </c>
      <c r="E30" s="48">
        <v>0.529</v>
      </c>
      <c r="F30" s="48">
        <v>0.0</v>
      </c>
      <c r="G30" s="48">
        <v>0.0</v>
      </c>
      <c r="H30" s="48">
        <v>0.857</v>
      </c>
      <c r="I30" s="44" t="str">
        <f>IMAGE("https://drive.google.com/uc?export=view&amp;id=1MSEp3uPSvU3_W_ZDN-2TxBdgddTbjAvT")</f>
        <v/>
      </c>
      <c r="J30" s="19" t="s">
        <v>17</v>
      </c>
      <c r="K30" s="43" t="s">
        <v>7</v>
      </c>
      <c r="L30" s="19">
        <v>32.0</v>
      </c>
      <c r="M30" s="19">
        <v>5.0</v>
      </c>
    </row>
    <row r="31">
      <c r="A31" s="19">
        <v>30.0</v>
      </c>
      <c r="B31" s="47" t="s">
        <v>280</v>
      </c>
      <c r="C31" s="47" t="s">
        <v>443</v>
      </c>
      <c r="D31" s="47" t="s">
        <v>444</v>
      </c>
      <c r="E31" s="48">
        <v>0.2</v>
      </c>
      <c r="F31" s="48">
        <v>0.413</v>
      </c>
      <c r="G31" s="48">
        <v>0.75</v>
      </c>
      <c r="H31" s="48">
        <v>1.0</v>
      </c>
      <c r="I31" s="44" t="str">
        <f>IMAGE("https://drive.google.com/uc?export=view&amp;id=1PCF8Qf_qMKH-lY_ZoYNXIBhEymiP7hlZ")</f>
        <v/>
      </c>
      <c r="J31" s="19" t="s">
        <v>17</v>
      </c>
      <c r="K31" s="43" t="s">
        <v>7</v>
      </c>
      <c r="L31" s="19">
        <v>32.0</v>
      </c>
      <c r="M31" s="19">
        <v>5.0</v>
      </c>
    </row>
    <row r="32">
      <c r="A32" s="19">
        <v>31.0</v>
      </c>
      <c r="B32" s="19" t="s">
        <v>49</v>
      </c>
      <c r="C32" s="19" t="s">
        <v>450</v>
      </c>
      <c r="D32" s="19" t="s">
        <v>451</v>
      </c>
      <c r="E32" s="43">
        <v>0.417</v>
      </c>
      <c r="F32" s="43">
        <v>0.0</v>
      </c>
      <c r="G32" s="43">
        <v>0.0</v>
      </c>
      <c r="H32" s="43">
        <v>0.833</v>
      </c>
      <c r="I32" s="44" t="str">
        <f>IMAGE("https://drive.google.com/uc?export=view&amp;id=1tch9f8FvuaYTDBlSzTNxLWQjdMhNfIkR")</f>
        <v/>
      </c>
      <c r="J32" s="19" t="s">
        <v>14</v>
      </c>
      <c r="K32" s="43" t="s">
        <v>7</v>
      </c>
      <c r="L32" s="19">
        <v>64.0</v>
      </c>
      <c r="M32" s="19">
        <v>3.0</v>
      </c>
    </row>
    <row r="33">
      <c r="A33" s="19">
        <v>32.0</v>
      </c>
      <c r="B33" s="19" t="s">
        <v>73</v>
      </c>
      <c r="C33" s="19" t="s">
        <v>466</v>
      </c>
      <c r="D33" s="19" t="s">
        <v>467</v>
      </c>
      <c r="E33" s="43">
        <v>0.938</v>
      </c>
      <c r="F33" s="43">
        <v>0.0</v>
      </c>
      <c r="G33" s="43">
        <v>0.0</v>
      </c>
      <c r="H33" s="43">
        <v>1.0</v>
      </c>
      <c r="I33" s="44" t="str">
        <f>IMAGE("https://drive.google.com/uc?export=view&amp;id=1XjLPuKuL3S5cTGECPPpHso7Wi3TeeUt_")</f>
        <v/>
      </c>
      <c r="J33" s="19" t="s">
        <v>14</v>
      </c>
      <c r="K33" s="43" t="s">
        <v>7</v>
      </c>
      <c r="L33" s="19">
        <v>64.0</v>
      </c>
      <c r="M33" s="19">
        <v>3.0</v>
      </c>
    </row>
    <row r="34">
      <c r="A34" s="19">
        <v>33.0</v>
      </c>
      <c r="B34" s="19" t="s">
        <v>82</v>
      </c>
      <c r="C34" s="19" t="s">
        <v>472</v>
      </c>
      <c r="D34" s="19" t="s">
        <v>473</v>
      </c>
      <c r="E34" s="43">
        <v>0.286</v>
      </c>
      <c r="F34" s="43">
        <v>0.433</v>
      </c>
      <c r="G34" s="43">
        <v>0.0</v>
      </c>
      <c r="H34" s="43">
        <v>1.0</v>
      </c>
      <c r="I34" s="44" t="str">
        <f>IMAGE("https://drive.google.com/uc?export=view&amp;id=1j--DCe-h-swVJDtRWqzvS-BO1-RRMQaB")</f>
        <v/>
      </c>
      <c r="J34" s="19" t="s">
        <v>14</v>
      </c>
      <c r="K34" s="43" t="s">
        <v>7</v>
      </c>
      <c r="L34" s="19">
        <v>64.0</v>
      </c>
      <c r="M34" s="19">
        <v>3.0</v>
      </c>
    </row>
    <row r="35">
      <c r="A35" s="19">
        <v>34.0</v>
      </c>
      <c r="B35" s="19" t="s">
        <v>85</v>
      </c>
      <c r="C35" s="19" t="s">
        <v>474</v>
      </c>
      <c r="D35" s="19" t="s">
        <v>475</v>
      </c>
      <c r="E35" s="43">
        <v>0.333</v>
      </c>
      <c r="F35" s="43">
        <v>0.0</v>
      </c>
      <c r="G35" s="43">
        <v>0.0</v>
      </c>
      <c r="H35" s="43">
        <v>0.8</v>
      </c>
      <c r="I35" s="44" t="str">
        <f>IMAGE("https://drive.google.com/uc?export=view&amp;id=1WsWTvGPIDuoTv3JsZ3Oe-_Ml_Nfebc0S")</f>
        <v/>
      </c>
      <c r="J35" s="19" t="s">
        <v>14</v>
      </c>
      <c r="K35" s="43" t="s">
        <v>7</v>
      </c>
      <c r="L35" s="19">
        <v>64.0</v>
      </c>
      <c r="M35" s="19">
        <v>3.0</v>
      </c>
    </row>
    <row r="36">
      <c r="A36" s="19">
        <v>35.0</v>
      </c>
      <c r="B36" s="19" t="s">
        <v>88</v>
      </c>
      <c r="C36" s="19" t="s">
        <v>476</v>
      </c>
      <c r="D36" s="19" t="s">
        <v>477</v>
      </c>
      <c r="E36" s="43">
        <v>0.917</v>
      </c>
      <c r="F36" s="43">
        <v>0.0</v>
      </c>
      <c r="G36" s="43">
        <v>0.0</v>
      </c>
      <c r="H36" s="43">
        <v>1.0</v>
      </c>
      <c r="I36" s="44" t="str">
        <f>IMAGE("https://drive.google.com/uc?export=view&amp;id=1bj5UGemI-tJOVzGAvNTd03oonKu-Y6cf")</f>
        <v/>
      </c>
      <c r="J36" s="19" t="s">
        <v>14</v>
      </c>
      <c r="K36" s="43" t="s">
        <v>7</v>
      </c>
      <c r="L36" s="19">
        <v>64.0</v>
      </c>
      <c r="M36" s="19">
        <v>3.0</v>
      </c>
    </row>
    <row r="37">
      <c r="A37" s="19">
        <v>36.0</v>
      </c>
      <c r="B37" s="19" t="s">
        <v>106</v>
      </c>
      <c r="C37" s="19" t="s">
        <v>490</v>
      </c>
      <c r="D37" s="19" t="s">
        <v>491</v>
      </c>
      <c r="E37" s="43">
        <v>0.5</v>
      </c>
      <c r="F37" s="43">
        <v>0.0</v>
      </c>
      <c r="G37" s="43">
        <v>0.0</v>
      </c>
      <c r="H37" s="43">
        <v>0.8</v>
      </c>
      <c r="I37" s="44" t="str">
        <f>IMAGE("https://drive.google.com/uc?export=view&amp;id=1hxS87Nvjd4DyqiSIZjsS17Dh78PdXEiP")</f>
        <v/>
      </c>
      <c r="J37" s="19" t="s">
        <v>15</v>
      </c>
      <c r="K37" s="43" t="s">
        <v>7</v>
      </c>
      <c r="L37" s="19">
        <v>64.0</v>
      </c>
      <c r="M37" s="19">
        <v>3.0</v>
      </c>
    </row>
    <row r="38">
      <c r="A38" s="19">
        <v>37.0</v>
      </c>
      <c r="B38" s="19" t="s">
        <v>121</v>
      </c>
      <c r="C38" s="19" t="s">
        <v>498</v>
      </c>
      <c r="D38" s="19" t="s">
        <v>499</v>
      </c>
      <c r="E38" s="43">
        <v>0.667</v>
      </c>
      <c r="F38" s="43">
        <v>0.0</v>
      </c>
      <c r="G38" s="43">
        <v>0.0</v>
      </c>
      <c r="H38" s="43">
        <v>1.0</v>
      </c>
      <c r="I38" s="44" t="str">
        <f>IMAGE("https://drive.google.com/uc?export=view&amp;id=1SPm0-DgPdLm7xOukZzXwwbV3BmuKA2_0")</f>
        <v/>
      </c>
      <c r="J38" s="19" t="s">
        <v>15</v>
      </c>
      <c r="K38" s="43" t="s">
        <v>7</v>
      </c>
      <c r="L38" s="19">
        <v>64.0</v>
      </c>
      <c r="M38" s="19">
        <v>3.0</v>
      </c>
    </row>
    <row r="39">
      <c r="A39" s="19">
        <v>38.0</v>
      </c>
      <c r="B39" s="19" t="s">
        <v>133</v>
      </c>
      <c r="C39" s="19" t="s">
        <v>506</v>
      </c>
      <c r="D39" s="19" t="s">
        <v>507</v>
      </c>
      <c r="E39" s="43">
        <v>1.0</v>
      </c>
      <c r="F39" s="43">
        <v>0.0</v>
      </c>
      <c r="G39" s="43">
        <v>0.0</v>
      </c>
      <c r="H39" s="43">
        <v>0.7</v>
      </c>
      <c r="I39" s="44" t="str">
        <f>IMAGE("https://drive.google.com/uc?export=view&amp;id=1FDvfQAovl6ZDBLnvzBBZ3b9Pih9IV-0G")</f>
        <v/>
      </c>
      <c r="J39" s="19" t="s">
        <v>15</v>
      </c>
      <c r="K39" s="43" t="s">
        <v>7</v>
      </c>
      <c r="L39" s="19">
        <v>64.0</v>
      </c>
      <c r="M39" s="19">
        <v>3.0</v>
      </c>
    </row>
    <row r="40">
      <c r="A40" s="19">
        <v>39.0</v>
      </c>
      <c r="B40" s="19" t="s">
        <v>142</v>
      </c>
      <c r="C40" s="19" t="s">
        <v>512</v>
      </c>
      <c r="D40" s="19" t="s">
        <v>513</v>
      </c>
      <c r="E40" s="43">
        <v>0.6</v>
      </c>
      <c r="F40" s="43">
        <v>0.0</v>
      </c>
      <c r="G40" s="43">
        <v>0.0</v>
      </c>
      <c r="H40" s="43">
        <v>0.0</v>
      </c>
      <c r="I40" s="44" t="str">
        <f>IMAGE("https://drive.google.com/uc?export=view&amp;id=1mSvyRqpx_CA1Ln_qixFP4dQgNmnDrxC9")</f>
        <v/>
      </c>
      <c r="J40" s="19" t="s">
        <v>15</v>
      </c>
      <c r="K40" s="43" t="s">
        <v>7</v>
      </c>
      <c r="L40" s="19">
        <v>64.0</v>
      </c>
      <c r="M40" s="19">
        <v>3.0</v>
      </c>
    </row>
    <row r="41">
      <c r="A41" s="19">
        <v>40.0</v>
      </c>
      <c r="B41" s="19" t="s">
        <v>145</v>
      </c>
      <c r="C41" s="19" t="s">
        <v>514</v>
      </c>
      <c r="D41" s="19" t="s">
        <v>515</v>
      </c>
      <c r="E41" s="43">
        <v>1.0</v>
      </c>
      <c r="F41" s="43">
        <v>0.0</v>
      </c>
      <c r="G41" s="43">
        <v>0.0</v>
      </c>
      <c r="H41" s="43">
        <v>0.0</v>
      </c>
      <c r="I41" s="44" t="str">
        <f>IMAGE("https://drive.google.com/uc?export=view&amp;id=1XBtKEsfg4v8VS3m9a0EC2DhYJg_J5rxN")</f>
        <v/>
      </c>
      <c r="J41" s="19" t="s">
        <v>15</v>
      </c>
      <c r="K41" s="43" t="s">
        <v>7</v>
      </c>
      <c r="L41" s="19">
        <v>64.0</v>
      </c>
      <c r="M41" s="19">
        <v>3.0</v>
      </c>
    </row>
    <row r="42">
      <c r="A42" s="19">
        <v>41.0</v>
      </c>
      <c r="B42" s="19" t="s">
        <v>157</v>
      </c>
      <c r="C42" s="19" t="s">
        <v>522</v>
      </c>
      <c r="D42" s="19" t="s">
        <v>523</v>
      </c>
      <c r="E42" s="43">
        <v>0.714</v>
      </c>
      <c r="F42" s="43">
        <v>0.0</v>
      </c>
      <c r="G42" s="43">
        <v>1.0</v>
      </c>
      <c r="H42" s="43">
        <v>0.25</v>
      </c>
      <c r="I42" s="44" t="str">
        <f>IMAGE("https://drive.google.com/uc?export=view&amp;id=11FC6iCAtwlus1uiNuhnNizgxBltp4yFb")</f>
        <v/>
      </c>
      <c r="J42" s="19" t="s">
        <v>15</v>
      </c>
      <c r="K42" s="43" t="s">
        <v>7</v>
      </c>
      <c r="L42" s="19">
        <v>64.0</v>
      </c>
      <c r="M42" s="19">
        <v>3.0</v>
      </c>
    </row>
    <row r="43">
      <c r="A43" s="19">
        <v>42.0</v>
      </c>
      <c r="B43" s="19" t="s">
        <v>220</v>
      </c>
      <c r="C43" s="19" t="s">
        <v>564</v>
      </c>
      <c r="D43" s="19" t="s">
        <v>565</v>
      </c>
      <c r="E43" s="43">
        <v>0.769</v>
      </c>
      <c r="F43" s="43">
        <v>0.358</v>
      </c>
      <c r="G43" s="43">
        <v>1.0</v>
      </c>
      <c r="H43" s="43">
        <v>0.111</v>
      </c>
      <c r="I43" s="44" t="str">
        <f>IMAGE("https://drive.google.com/uc?export=view&amp;id=1fqukXhvtmjADKzBmtINflXnp9v4Ev2VE")</f>
        <v/>
      </c>
      <c r="J43" s="19" t="s">
        <v>16</v>
      </c>
      <c r="K43" s="43" t="s">
        <v>7</v>
      </c>
      <c r="L43" s="19">
        <v>64.0</v>
      </c>
      <c r="M43" s="19">
        <v>3.0</v>
      </c>
    </row>
    <row r="44">
      <c r="A44" s="19">
        <v>43.0</v>
      </c>
      <c r="B44" s="19" t="s">
        <v>226</v>
      </c>
      <c r="C44" s="19" t="s">
        <v>568</v>
      </c>
      <c r="D44" s="19" t="s">
        <v>569</v>
      </c>
      <c r="E44" s="43">
        <v>0.778</v>
      </c>
      <c r="F44" s="43">
        <v>0.0</v>
      </c>
      <c r="G44" s="43">
        <v>0.0</v>
      </c>
      <c r="H44" s="43">
        <v>0.6</v>
      </c>
      <c r="I44" s="44" t="str">
        <f>IMAGE("https://drive.google.com/uc?export=view&amp;id=1bZ2HuoXMQno1E4vsiwr51dYah4QwyT2B")</f>
        <v/>
      </c>
      <c r="J44" s="19" t="s">
        <v>17</v>
      </c>
      <c r="K44" s="43" t="s">
        <v>7</v>
      </c>
      <c r="L44" s="19">
        <v>64.0</v>
      </c>
      <c r="M44" s="19">
        <v>3.0</v>
      </c>
    </row>
    <row r="45">
      <c r="A45" s="19">
        <v>44.0</v>
      </c>
      <c r="B45" s="19" t="s">
        <v>229</v>
      </c>
      <c r="C45" s="19" t="s">
        <v>570</v>
      </c>
      <c r="D45" s="19" t="s">
        <v>571</v>
      </c>
      <c r="E45" s="43">
        <v>0.75</v>
      </c>
      <c r="F45" s="43">
        <v>0.0</v>
      </c>
      <c r="G45" s="43">
        <v>0.0</v>
      </c>
      <c r="H45" s="43">
        <v>0.667</v>
      </c>
      <c r="I45" s="44" t="str">
        <f>IMAGE("https://drive.google.com/uc?export=view&amp;id=1Z1E6jAGMgXPLdExhs0z35olO8w1zZFys")</f>
        <v/>
      </c>
      <c r="J45" s="19" t="s">
        <v>17</v>
      </c>
      <c r="K45" s="43" t="s">
        <v>7</v>
      </c>
      <c r="L45" s="19">
        <v>64.0</v>
      </c>
      <c r="M45" s="19">
        <v>3.0</v>
      </c>
    </row>
    <row r="46">
      <c r="A46" s="19">
        <v>45.0</v>
      </c>
      <c r="B46" s="19" t="s">
        <v>238</v>
      </c>
      <c r="C46" s="19" t="s">
        <v>576</v>
      </c>
      <c r="D46" s="19" t="s">
        <v>577</v>
      </c>
      <c r="E46" s="43">
        <v>1.0</v>
      </c>
      <c r="F46" s="43">
        <v>0.0</v>
      </c>
      <c r="G46" s="43">
        <v>0.0</v>
      </c>
      <c r="H46" s="43">
        <v>0.0</v>
      </c>
      <c r="I46" s="44" t="str">
        <f>IMAGE("https://drive.google.com/uc?export=view&amp;id=1EGH4P1-B0N9FQdX3s5L2u_VmWMGspt2C")</f>
        <v/>
      </c>
      <c r="J46" s="19" t="s">
        <v>17</v>
      </c>
      <c r="K46" s="43" t="s">
        <v>7</v>
      </c>
      <c r="L46" s="19">
        <v>64.0</v>
      </c>
      <c r="M46" s="19">
        <v>3.0</v>
      </c>
    </row>
    <row r="47">
      <c r="A47" s="19">
        <v>46.0</v>
      </c>
      <c r="B47" s="19" t="s">
        <v>241</v>
      </c>
      <c r="C47" s="19" t="s">
        <v>578</v>
      </c>
      <c r="D47" s="19" t="s">
        <v>579</v>
      </c>
      <c r="E47" s="43">
        <v>0.556</v>
      </c>
      <c r="F47" s="43">
        <v>0.0</v>
      </c>
      <c r="G47" s="43">
        <v>0.0</v>
      </c>
      <c r="H47" s="43">
        <v>0.8</v>
      </c>
      <c r="I47" s="44" t="str">
        <f>IMAGE("https://drive.google.com/uc?export=view&amp;id=1W3kQMJEWwUq9z9HW5ZyMTQQ9TOil6Noi")</f>
        <v/>
      </c>
      <c r="J47" s="19" t="s">
        <v>17</v>
      </c>
      <c r="K47" s="43" t="s">
        <v>7</v>
      </c>
      <c r="L47" s="19">
        <v>64.0</v>
      </c>
      <c r="M47" s="19">
        <v>3.0</v>
      </c>
    </row>
    <row r="48">
      <c r="A48" s="19">
        <v>47.0</v>
      </c>
      <c r="B48" s="19" t="s">
        <v>250</v>
      </c>
      <c r="C48" s="19" t="s">
        <v>584</v>
      </c>
      <c r="D48" s="19" t="s">
        <v>585</v>
      </c>
      <c r="E48" s="43">
        <v>0.143</v>
      </c>
      <c r="F48" s="43">
        <v>0.0</v>
      </c>
      <c r="G48" s="43">
        <v>0.0</v>
      </c>
      <c r="H48" s="43">
        <v>0.667</v>
      </c>
      <c r="I48" s="44" t="str">
        <f>IMAGE("https://drive.google.com/uc?export=view&amp;id=1XAliQp-oVkfkgRzaWkgya-ZePJJ-czn2")</f>
        <v/>
      </c>
      <c r="J48" s="19" t="s">
        <v>17</v>
      </c>
      <c r="K48" s="43" t="s">
        <v>7</v>
      </c>
      <c r="L48" s="19">
        <v>64.0</v>
      </c>
      <c r="M48" s="19">
        <v>3.0</v>
      </c>
    </row>
    <row r="49">
      <c r="A49" s="19">
        <v>48.0</v>
      </c>
      <c r="B49" s="19" t="s">
        <v>253</v>
      </c>
      <c r="C49" s="19" t="s">
        <v>586</v>
      </c>
      <c r="D49" s="19" t="s">
        <v>587</v>
      </c>
      <c r="E49" s="43">
        <v>0.0</v>
      </c>
      <c r="F49" s="43">
        <v>0.0</v>
      </c>
      <c r="G49" s="43">
        <v>0.0</v>
      </c>
      <c r="H49" s="43">
        <v>1.0</v>
      </c>
      <c r="I49" s="44" t="str">
        <f>IMAGE("https://drive.google.com/uc?export=view&amp;id=17B8KJPhCMnwqfoVDNO6tubq_tQ0j60XX")</f>
        <v/>
      </c>
      <c r="J49" s="19" t="s">
        <v>17</v>
      </c>
      <c r="K49" s="43" t="s">
        <v>7</v>
      </c>
      <c r="L49" s="19">
        <v>64.0</v>
      </c>
      <c r="M49" s="19">
        <v>3.0</v>
      </c>
    </row>
    <row r="50">
      <c r="A50" s="19">
        <v>49.0</v>
      </c>
      <c r="B50" s="19" t="s">
        <v>256</v>
      </c>
      <c r="C50" s="19" t="s">
        <v>588</v>
      </c>
      <c r="D50" s="19" t="s">
        <v>589</v>
      </c>
      <c r="E50" s="43">
        <v>0.625</v>
      </c>
      <c r="F50" s="43">
        <v>0.0</v>
      </c>
      <c r="G50" s="43">
        <v>0.333</v>
      </c>
      <c r="H50" s="43">
        <v>0.75</v>
      </c>
      <c r="I50" s="44" t="str">
        <f>IMAGE("https://drive.google.com/uc?export=view&amp;id=1jn35y30s0pZ0BPpTEyXZvfm1JVgaFCXt")</f>
        <v/>
      </c>
      <c r="J50" s="19" t="s">
        <v>17</v>
      </c>
      <c r="K50" s="43" t="s">
        <v>7</v>
      </c>
      <c r="L50" s="19">
        <v>64.0</v>
      </c>
      <c r="M50" s="19">
        <v>3.0</v>
      </c>
    </row>
    <row r="51">
      <c r="A51" s="19">
        <v>50.0</v>
      </c>
      <c r="B51" s="19" t="s">
        <v>265</v>
      </c>
      <c r="C51" s="19" t="s">
        <v>594</v>
      </c>
      <c r="D51" s="19" t="s">
        <v>595</v>
      </c>
      <c r="E51" s="43">
        <v>0.625</v>
      </c>
      <c r="F51" s="43">
        <v>0.388</v>
      </c>
      <c r="G51" s="43">
        <v>0.5</v>
      </c>
      <c r="H51" s="43">
        <v>1.0</v>
      </c>
      <c r="I51" s="44" t="str">
        <f>IMAGE("https://drive.google.com/uc?export=view&amp;id=1ex2YiT8P60f8_NsyXh0M3-nyRi22HRQu")</f>
        <v/>
      </c>
      <c r="J51" s="19" t="s">
        <v>17</v>
      </c>
      <c r="K51" s="43" t="s">
        <v>7</v>
      </c>
      <c r="L51" s="19">
        <v>64.0</v>
      </c>
      <c r="M51" s="19">
        <v>3.0</v>
      </c>
    </row>
    <row r="52">
      <c r="A52" s="19">
        <v>51.0</v>
      </c>
      <c r="B52" s="19" t="s">
        <v>277</v>
      </c>
      <c r="C52" s="19" t="s">
        <v>602</v>
      </c>
      <c r="D52" s="19" t="s">
        <v>603</v>
      </c>
      <c r="E52" s="43">
        <v>0.615</v>
      </c>
      <c r="F52" s="43">
        <v>0.0</v>
      </c>
      <c r="G52" s="43">
        <v>0.0</v>
      </c>
      <c r="H52" s="43">
        <v>0.833</v>
      </c>
      <c r="I52" s="44" t="str">
        <f>IMAGE("https://drive.google.com/uc?export=view&amp;id=1ChpzaXpfLk_ayMJP4vHvE6ZQ2R5jXmpZ")</f>
        <v/>
      </c>
      <c r="J52" s="19" t="s">
        <v>17</v>
      </c>
      <c r="K52" s="43" t="s">
        <v>7</v>
      </c>
      <c r="L52" s="19">
        <v>64.0</v>
      </c>
      <c r="M52" s="19">
        <v>3.0</v>
      </c>
    </row>
    <row r="53">
      <c r="A53" s="19">
        <v>52.0</v>
      </c>
      <c r="B53" s="19" t="s">
        <v>280</v>
      </c>
      <c r="C53" s="19" t="s">
        <v>604</v>
      </c>
      <c r="D53" s="19" t="s">
        <v>605</v>
      </c>
      <c r="E53" s="43">
        <v>0.727</v>
      </c>
      <c r="F53" s="43">
        <v>0.0</v>
      </c>
      <c r="G53" s="43">
        <v>0.0</v>
      </c>
      <c r="H53" s="43">
        <v>0.167</v>
      </c>
      <c r="I53" s="44" t="str">
        <f>IMAGE("https://drive.google.com/uc?export=view&amp;id=1OiStd4LbQ9D0O2Cwycq2EucZCvuUYCRC")</f>
        <v/>
      </c>
      <c r="J53" s="19" t="s">
        <v>17</v>
      </c>
      <c r="K53" s="43" t="s">
        <v>7</v>
      </c>
      <c r="L53" s="19">
        <v>64.0</v>
      </c>
      <c r="M53" s="19">
        <v>3.0</v>
      </c>
    </row>
    <row r="54">
      <c r="A54" s="19">
        <v>53.0</v>
      </c>
      <c r="B54" s="19" t="s">
        <v>49</v>
      </c>
      <c r="C54" s="19" t="s">
        <v>610</v>
      </c>
      <c r="D54" s="19" t="s">
        <v>611</v>
      </c>
      <c r="E54" s="43">
        <v>1.0</v>
      </c>
      <c r="F54" s="43">
        <v>0.0</v>
      </c>
      <c r="G54" s="43">
        <v>0.75</v>
      </c>
      <c r="H54" s="43">
        <v>0.667</v>
      </c>
      <c r="I54" s="44" t="str">
        <f>IMAGE("https://drive.google.com/uc?export=view&amp;id=1bw4u_IFlp-cxOEyFzwevqDrtHPVFpMXh")</f>
        <v/>
      </c>
      <c r="J54" s="19" t="s">
        <v>14</v>
      </c>
      <c r="K54" s="43" t="s">
        <v>7</v>
      </c>
      <c r="L54" s="19">
        <v>64.0</v>
      </c>
      <c r="M54" s="19">
        <v>5.0</v>
      </c>
    </row>
    <row r="55">
      <c r="A55" s="19">
        <v>54.0</v>
      </c>
      <c r="B55" s="19" t="s">
        <v>88</v>
      </c>
      <c r="C55" s="19" t="s">
        <v>636</v>
      </c>
      <c r="D55" s="19" t="s">
        <v>637</v>
      </c>
      <c r="E55" s="43">
        <v>0.429</v>
      </c>
      <c r="F55" s="43">
        <v>0.0</v>
      </c>
      <c r="G55" s="43">
        <v>0.0</v>
      </c>
      <c r="H55" s="43">
        <v>0.333</v>
      </c>
      <c r="I55" s="44" t="str">
        <f>IMAGE("https://drive.google.com/uc?export=view&amp;id=1rduqT1IvqLKh0BOLyi9KlAFUk4E1m47N")</f>
        <v/>
      </c>
      <c r="J55" s="19" t="s">
        <v>14</v>
      </c>
      <c r="K55" s="43" t="s">
        <v>7</v>
      </c>
      <c r="L55" s="19">
        <v>64.0</v>
      </c>
      <c r="M55" s="19">
        <v>5.0</v>
      </c>
    </row>
    <row r="56">
      <c r="A56" s="19">
        <v>55.0</v>
      </c>
      <c r="B56" s="19" t="s">
        <v>106</v>
      </c>
      <c r="C56" s="19" t="s">
        <v>650</v>
      </c>
      <c r="D56" s="19" t="s">
        <v>651</v>
      </c>
      <c r="E56" s="43">
        <v>0.625</v>
      </c>
      <c r="F56" s="43">
        <v>0.0</v>
      </c>
      <c r="G56" s="43">
        <v>0.0</v>
      </c>
      <c r="H56" s="43">
        <v>0.6</v>
      </c>
      <c r="I56" s="44" t="str">
        <f>IMAGE("https://drive.google.com/uc?export=view&amp;id=1NUiadzzxdQQiFJbFf2tpNyJjpHLJhi4b")</f>
        <v/>
      </c>
      <c r="J56" s="19" t="s">
        <v>15</v>
      </c>
      <c r="K56" s="43" t="s">
        <v>7</v>
      </c>
      <c r="L56" s="19">
        <v>64.0</v>
      </c>
      <c r="M56" s="19">
        <v>5.0</v>
      </c>
    </row>
    <row r="57">
      <c r="A57" s="19">
        <v>56.0</v>
      </c>
      <c r="B57" s="19" t="s">
        <v>139</v>
      </c>
      <c r="C57" s="19" t="s">
        <v>668</v>
      </c>
      <c r="D57" s="19" t="s">
        <v>669</v>
      </c>
      <c r="E57" s="43">
        <v>0.455</v>
      </c>
      <c r="F57" s="43">
        <v>0.0</v>
      </c>
      <c r="G57" s="43">
        <v>0.478</v>
      </c>
      <c r="H57" s="43">
        <v>1.0</v>
      </c>
      <c r="I57" s="44" t="str">
        <f>IMAGE("https://drive.google.com/uc?export=view&amp;id=1RVnwKBdb1y--KXcwSk-Ry3i71YXgkyEa")</f>
        <v/>
      </c>
      <c r="J57" s="19" t="s">
        <v>15</v>
      </c>
      <c r="K57" s="43" t="s">
        <v>7</v>
      </c>
      <c r="L57" s="19">
        <v>64.0</v>
      </c>
      <c r="M57" s="19">
        <v>5.0</v>
      </c>
    </row>
    <row r="58">
      <c r="A58" s="19">
        <v>57.0</v>
      </c>
      <c r="B58" s="19" t="s">
        <v>142</v>
      </c>
      <c r="C58" s="19" t="s">
        <v>670</v>
      </c>
      <c r="D58" s="19" t="s">
        <v>671</v>
      </c>
      <c r="E58" s="43">
        <v>0.0</v>
      </c>
      <c r="F58" s="43">
        <v>0.0</v>
      </c>
      <c r="G58" s="43">
        <v>0.0</v>
      </c>
      <c r="H58" s="43">
        <v>0.125</v>
      </c>
      <c r="I58" s="44" t="str">
        <f>IMAGE("https://drive.google.com/uc?export=view&amp;id=1aUNor0i-UD4A73JgrENyWnAF7edelA1_")</f>
        <v/>
      </c>
      <c r="J58" s="19" t="s">
        <v>15</v>
      </c>
      <c r="K58" s="43" t="s">
        <v>7</v>
      </c>
      <c r="L58" s="19">
        <v>64.0</v>
      </c>
      <c r="M58" s="19">
        <v>5.0</v>
      </c>
    </row>
    <row r="59">
      <c r="A59" s="19">
        <v>58.0</v>
      </c>
      <c r="B59" s="19" t="s">
        <v>145</v>
      </c>
      <c r="C59" s="19" t="s">
        <v>672</v>
      </c>
      <c r="D59" s="19" t="s">
        <v>673</v>
      </c>
      <c r="E59" s="43">
        <v>0.688</v>
      </c>
      <c r="F59" s="43">
        <v>0.0</v>
      </c>
      <c r="G59" s="43">
        <v>0.533</v>
      </c>
      <c r="H59" s="43">
        <v>0.875</v>
      </c>
      <c r="I59" s="44" t="str">
        <f>IMAGE("https://drive.google.com/uc?export=view&amp;id=1Dv_9mu6bX0H8p0lX9xXm4D5uk2CoYxTR")</f>
        <v/>
      </c>
      <c r="J59" s="19" t="s">
        <v>15</v>
      </c>
      <c r="K59" s="43" t="s">
        <v>7</v>
      </c>
      <c r="L59" s="19">
        <v>64.0</v>
      </c>
      <c r="M59" s="19">
        <v>5.0</v>
      </c>
    </row>
    <row r="60">
      <c r="A60" s="19">
        <v>59.0</v>
      </c>
      <c r="B60" s="19" t="s">
        <v>157</v>
      </c>
      <c r="C60" s="19" t="s">
        <v>680</v>
      </c>
      <c r="D60" s="19" t="s">
        <v>681</v>
      </c>
      <c r="E60" s="43">
        <v>0.524</v>
      </c>
      <c r="F60" s="43">
        <v>0.0</v>
      </c>
      <c r="G60" s="43">
        <v>0.0</v>
      </c>
      <c r="H60" s="43">
        <v>1.0</v>
      </c>
      <c r="I60" s="44" t="str">
        <f>IMAGE("https://drive.google.com/uc?export=view&amp;id=1x_OKNjO5KgDpd7o5_pOSRfpgsxQ2PLq6")</f>
        <v/>
      </c>
      <c r="J60" s="19" t="s">
        <v>15</v>
      </c>
      <c r="K60" s="43" t="s">
        <v>7</v>
      </c>
      <c r="L60" s="19">
        <v>64.0</v>
      </c>
      <c r="M60" s="19">
        <v>5.0</v>
      </c>
    </row>
    <row r="61">
      <c r="A61" s="19">
        <v>60.0</v>
      </c>
      <c r="B61" s="19" t="s">
        <v>175</v>
      </c>
      <c r="C61" s="19" t="s">
        <v>694</v>
      </c>
      <c r="D61" s="19" t="s">
        <v>695</v>
      </c>
      <c r="E61" s="43">
        <v>0.0</v>
      </c>
      <c r="F61" s="43">
        <v>0.0</v>
      </c>
      <c r="G61" s="43">
        <v>0.0</v>
      </c>
      <c r="H61" s="43">
        <v>0.0</v>
      </c>
      <c r="I61" s="44" t="str">
        <f>IMAGE("https://drive.google.com/uc?export=view&amp;id=1cJFw4066mWpcM7J3BgMsoDH9-eFJgkyu")</f>
        <v/>
      </c>
      <c r="J61" s="19" t="s">
        <v>16</v>
      </c>
      <c r="K61" s="43" t="s">
        <v>7</v>
      </c>
      <c r="L61" s="19">
        <v>64.0</v>
      </c>
      <c r="M61" s="19">
        <v>5.0</v>
      </c>
    </row>
    <row r="62">
      <c r="A62" s="19">
        <v>61.0</v>
      </c>
      <c r="B62" s="19" t="s">
        <v>181</v>
      </c>
      <c r="C62" s="19" t="s">
        <v>698</v>
      </c>
      <c r="D62" s="19" t="s">
        <v>699</v>
      </c>
      <c r="E62" s="43">
        <v>1.0</v>
      </c>
      <c r="F62" s="43">
        <v>0.0</v>
      </c>
      <c r="G62" s="43">
        <v>0.0</v>
      </c>
      <c r="H62" s="43">
        <v>0.75</v>
      </c>
      <c r="I62" s="44" t="str">
        <f>IMAGE("https://drive.google.com/uc?export=view&amp;id=1I0BhcyE1o9V8_98YHaFt64YB1nKlewwT")</f>
        <v/>
      </c>
      <c r="J62" s="19" t="s">
        <v>16</v>
      </c>
      <c r="K62" s="43" t="s">
        <v>7</v>
      </c>
      <c r="L62" s="19">
        <v>64.0</v>
      </c>
      <c r="M62" s="19">
        <v>5.0</v>
      </c>
    </row>
    <row r="63">
      <c r="A63" s="19">
        <v>62.0</v>
      </c>
      <c r="B63" s="19" t="s">
        <v>220</v>
      </c>
      <c r="C63" s="19" t="s">
        <v>724</v>
      </c>
      <c r="D63" s="19" t="s">
        <v>725</v>
      </c>
      <c r="E63" s="43">
        <v>0.158</v>
      </c>
      <c r="F63" s="43">
        <v>0.45</v>
      </c>
      <c r="G63" s="43">
        <v>0.756</v>
      </c>
      <c r="H63" s="43">
        <v>1.0</v>
      </c>
      <c r="I63" s="44" t="str">
        <f>IMAGE("https://drive.google.com/uc?export=view&amp;id=1H7YZmQiDRhlOwBO5NeuVg8lzLIKWMcdI")</f>
        <v/>
      </c>
      <c r="J63" s="19" t="s">
        <v>16</v>
      </c>
      <c r="K63" s="43" t="s">
        <v>7</v>
      </c>
      <c r="L63" s="19">
        <v>64.0</v>
      </c>
      <c r="M63" s="19">
        <v>5.0</v>
      </c>
    </row>
    <row r="64">
      <c r="A64" s="19">
        <v>63.0</v>
      </c>
      <c r="B64" s="19" t="s">
        <v>226</v>
      </c>
      <c r="C64" s="19" t="s">
        <v>728</v>
      </c>
      <c r="D64" s="19" t="s">
        <v>729</v>
      </c>
      <c r="E64" s="43">
        <v>0.632</v>
      </c>
      <c r="F64" s="43">
        <v>0.0</v>
      </c>
      <c r="G64" s="43">
        <v>0.583</v>
      </c>
      <c r="H64" s="43">
        <v>0.286</v>
      </c>
      <c r="I64" s="44" t="str">
        <f>IMAGE("https://drive.google.com/uc?export=view&amp;id=1tpMmMkR7Z5yX-CWz3eVcKe9igDx6ZjaC")</f>
        <v/>
      </c>
      <c r="J64" s="19" t="s">
        <v>17</v>
      </c>
      <c r="K64" s="43" t="s">
        <v>7</v>
      </c>
      <c r="L64" s="19">
        <v>64.0</v>
      </c>
      <c r="M64" s="19">
        <v>5.0</v>
      </c>
    </row>
    <row r="65">
      <c r="A65" s="19">
        <v>64.0</v>
      </c>
      <c r="B65" s="19" t="s">
        <v>229</v>
      </c>
      <c r="C65" s="19" t="s">
        <v>730</v>
      </c>
      <c r="D65" s="19" t="s">
        <v>731</v>
      </c>
      <c r="E65" s="43">
        <v>0.65</v>
      </c>
      <c r="F65" s="43">
        <v>0.0</v>
      </c>
      <c r="G65" s="43">
        <v>0.0</v>
      </c>
      <c r="H65" s="43">
        <v>0.6</v>
      </c>
      <c r="I65" s="44" t="str">
        <f>IMAGE("https://drive.google.com/uc?export=view&amp;id=1JgzgeUhav0Ie-mDCpN7a4xaBzKyQf2JP")</f>
        <v/>
      </c>
      <c r="J65" s="19" t="s">
        <v>17</v>
      </c>
      <c r="K65" s="43" t="s">
        <v>7</v>
      </c>
      <c r="L65" s="19">
        <v>64.0</v>
      </c>
      <c r="M65" s="19">
        <v>5.0</v>
      </c>
    </row>
    <row r="66">
      <c r="A66" s="19">
        <v>65.0</v>
      </c>
      <c r="B66" s="19" t="s">
        <v>247</v>
      </c>
      <c r="C66" s="19" t="s">
        <v>740</v>
      </c>
      <c r="D66" s="19" t="s">
        <v>741</v>
      </c>
      <c r="E66" s="43">
        <v>0.385</v>
      </c>
      <c r="F66" s="43">
        <v>0.467</v>
      </c>
      <c r="G66" s="43">
        <v>0.0</v>
      </c>
      <c r="H66" s="43">
        <v>0.0</v>
      </c>
      <c r="I66" s="44" t="str">
        <f>IMAGE("https://drive.google.com/uc?export=view&amp;id=1hPnO7xAyn2jYqgL_npTncy459S0ZphRD")</f>
        <v/>
      </c>
      <c r="J66" s="19" t="s">
        <v>17</v>
      </c>
      <c r="K66" s="43" t="s">
        <v>7</v>
      </c>
      <c r="L66" s="19">
        <v>64.0</v>
      </c>
      <c r="M66" s="19">
        <v>5.0</v>
      </c>
    </row>
    <row r="67">
      <c r="A67" s="19">
        <v>66.0</v>
      </c>
      <c r="B67" s="19" t="s">
        <v>250</v>
      </c>
      <c r="C67" s="19" t="s">
        <v>742</v>
      </c>
      <c r="D67" s="19" t="s">
        <v>743</v>
      </c>
      <c r="E67" s="43">
        <v>0.583</v>
      </c>
      <c r="F67" s="43">
        <v>0.0</v>
      </c>
      <c r="G67" s="43">
        <v>0.0</v>
      </c>
      <c r="H67" s="43">
        <v>0.5</v>
      </c>
      <c r="I67" s="44" t="str">
        <f>IMAGE("https://drive.google.com/uc?export=view&amp;id=1CzQ0CTl42AzYrbHutU1vn0GeA4jSCzJK")</f>
        <v/>
      </c>
      <c r="J67" s="19" t="s">
        <v>17</v>
      </c>
      <c r="K67" s="43" t="s">
        <v>7</v>
      </c>
      <c r="L67" s="19">
        <v>64.0</v>
      </c>
      <c r="M67" s="19">
        <v>5.0</v>
      </c>
    </row>
    <row r="68">
      <c r="A68" s="19">
        <v>67.0</v>
      </c>
      <c r="B68" s="19" t="s">
        <v>259</v>
      </c>
      <c r="C68" s="19" t="s">
        <v>746</v>
      </c>
      <c r="D68" s="19" t="s">
        <v>747</v>
      </c>
      <c r="E68" s="43">
        <v>0.889</v>
      </c>
      <c r="F68" s="43">
        <v>0.431</v>
      </c>
      <c r="G68" s="43">
        <v>0.804</v>
      </c>
      <c r="H68" s="43">
        <v>1.0</v>
      </c>
      <c r="I68" s="44" t="str">
        <f>IMAGE("https://drive.google.com/uc?export=view&amp;id=1nac8szJG76pmSbsKGPVEZOQTcm5yLYZU")</f>
        <v/>
      </c>
      <c r="J68" s="19" t="s">
        <v>17</v>
      </c>
      <c r="K68" s="43" t="s">
        <v>7</v>
      </c>
      <c r="L68" s="19">
        <v>64.0</v>
      </c>
      <c r="M68" s="19">
        <v>5.0</v>
      </c>
    </row>
    <row r="69">
      <c r="A69" s="19">
        <v>68.0</v>
      </c>
      <c r="B69" s="19" t="s">
        <v>253</v>
      </c>
      <c r="C69" s="19" t="s">
        <v>756</v>
      </c>
      <c r="D69" s="19" t="s">
        <v>757</v>
      </c>
      <c r="E69" s="43">
        <v>1.0</v>
      </c>
      <c r="F69" s="43">
        <v>0.0</v>
      </c>
      <c r="G69" s="43">
        <v>1.0</v>
      </c>
      <c r="H69" s="43">
        <v>0.875</v>
      </c>
      <c r="I69" s="44" t="str">
        <f>IMAGE("https://drive.google.com/uc?export=view&amp;id=1IH6mg9lKdQnDt4E_XYwc4g-VRr-CNlqZ")</f>
        <v/>
      </c>
      <c r="J69" s="19" t="s">
        <v>17</v>
      </c>
      <c r="K69" s="43" t="s">
        <v>7</v>
      </c>
      <c r="L69" s="19">
        <v>64.0</v>
      </c>
      <c r="M69" s="19">
        <v>5.0</v>
      </c>
    </row>
    <row r="70">
      <c r="A70" s="19">
        <v>69.0</v>
      </c>
      <c r="B70" s="19" t="s">
        <v>274</v>
      </c>
      <c r="C70" s="19" t="s">
        <v>760</v>
      </c>
      <c r="D70" s="19" t="s">
        <v>761</v>
      </c>
      <c r="E70" s="43">
        <v>0.667</v>
      </c>
      <c r="F70" s="43">
        <v>0.0</v>
      </c>
      <c r="G70" s="43">
        <v>0.2</v>
      </c>
      <c r="H70" s="43">
        <v>0.8</v>
      </c>
      <c r="I70" s="44" t="str">
        <f>IMAGE("https://drive.google.com/uc?export=view&amp;id=11CCBmAR4yKjsZJPIHgLUGtmM_GpfqN4X")</f>
        <v/>
      </c>
      <c r="J70" s="19" t="s">
        <v>17</v>
      </c>
      <c r="K70" s="43" t="s">
        <v>7</v>
      </c>
      <c r="L70" s="19">
        <v>64.0</v>
      </c>
      <c r="M70" s="19">
        <v>5.0</v>
      </c>
    </row>
    <row r="71">
      <c r="A71" s="19">
        <v>70.0</v>
      </c>
      <c r="B71" s="19" t="s">
        <v>277</v>
      </c>
      <c r="C71" s="19" t="s">
        <v>762</v>
      </c>
      <c r="D71" s="19" t="s">
        <v>763</v>
      </c>
      <c r="E71" s="43">
        <v>0.938</v>
      </c>
      <c r="F71" s="43">
        <v>0.0</v>
      </c>
      <c r="G71" s="43">
        <v>0.0</v>
      </c>
      <c r="H71" s="43">
        <v>1.0</v>
      </c>
      <c r="I71" s="44" t="str">
        <f>IMAGE("https://drive.google.com/uc?export=view&amp;id=1XR8mGVoZsFTPz1ljJboSkfmeg4LkAPI3")</f>
        <v/>
      </c>
      <c r="J71" s="19" t="s">
        <v>17</v>
      </c>
      <c r="K71" s="43" t="s">
        <v>7</v>
      </c>
      <c r="L71" s="19">
        <v>64.0</v>
      </c>
      <c r="M71" s="19">
        <v>5.0</v>
      </c>
    </row>
    <row r="72">
      <c r="A72" s="19">
        <v>71.0</v>
      </c>
      <c r="B72" s="19" t="s">
        <v>280</v>
      </c>
      <c r="C72" s="19" t="s">
        <v>764</v>
      </c>
      <c r="D72" s="19" t="s">
        <v>765</v>
      </c>
      <c r="E72" s="43">
        <v>0.571</v>
      </c>
      <c r="F72" s="43">
        <v>0.486</v>
      </c>
      <c r="G72" s="43">
        <v>0.2</v>
      </c>
      <c r="H72" s="43">
        <v>1.0</v>
      </c>
      <c r="I72" s="44" t="str">
        <f>IMAGE("https://drive.google.com/uc?export=view&amp;id=1t16c8O-MPbsAc9EM9zcbdkQolZqQzhfW")</f>
        <v/>
      </c>
      <c r="J72" s="19" t="s">
        <v>17</v>
      </c>
      <c r="K72" s="43" t="s">
        <v>7</v>
      </c>
      <c r="L72" s="19">
        <v>64.0</v>
      </c>
      <c r="M72" s="19">
        <v>5.0</v>
      </c>
    </row>
    <row r="73">
      <c r="A73" s="19">
        <v>72.0</v>
      </c>
      <c r="B73" s="19" t="s">
        <v>118</v>
      </c>
      <c r="C73" s="19" t="s">
        <v>814</v>
      </c>
      <c r="D73" s="19" t="s">
        <v>815</v>
      </c>
      <c r="E73" s="43">
        <v>0.667</v>
      </c>
      <c r="F73" s="43">
        <v>0.0</v>
      </c>
      <c r="G73" s="43">
        <v>0.0</v>
      </c>
      <c r="H73" s="43">
        <v>0.6</v>
      </c>
      <c r="I73" s="44" t="str">
        <f>IMAGE("https://drive.google.com/uc?export=view&amp;id=1paXTtxx3sVUmgPCGT5aCO96Oh070aGRw")</f>
        <v/>
      </c>
      <c r="J73" s="19" t="s">
        <v>15</v>
      </c>
      <c r="K73" s="19" t="s">
        <v>8</v>
      </c>
      <c r="L73" s="19">
        <v>32.0</v>
      </c>
      <c r="M73" s="19">
        <v>3.0</v>
      </c>
    </row>
    <row r="74">
      <c r="A74" s="19">
        <v>73.0</v>
      </c>
      <c r="B74" s="19" t="s">
        <v>133</v>
      </c>
      <c r="C74" s="19" t="s">
        <v>822</v>
      </c>
      <c r="D74" s="19" t="s">
        <v>823</v>
      </c>
      <c r="E74" s="43">
        <v>1.0</v>
      </c>
      <c r="F74" s="43">
        <v>0.0</v>
      </c>
      <c r="G74" s="43">
        <v>0.0</v>
      </c>
      <c r="H74" s="43">
        <v>0.333</v>
      </c>
      <c r="I74" s="44" t="str">
        <f>IMAGE("https://drive.google.com/uc?export=view&amp;id=1q-EXnEEXTSkzPzUNlqQ-wRey8kJo13xu")</f>
        <v/>
      </c>
      <c r="J74" s="19" t="s">
        <v>15</v>
      </c>
      <c r="K74" s="19" t="s">
        <v>8</v>
      </c>
      <c r="L74" s="19">
        <v>32.0</v>
      </c>
      <c r="M74" s="19">
        <v>3.0</v>
      </c>
    </row>
    <row r="75">
      <c r="A75" s="19">
        <v>74.0</v>
      </c>
      <c r="B75" s="19" t="s">
        <v>193</v>
      </c>
      <c r="C75" s="19" t="s">
        <v>865</v>
      </c>
      <c r="D75" s="19" t="s">
        <v>866</v>
      </c>
      <c r="E75" s="43">
        <v>0.727</v>
      </c>
      <c r="F75" s="43">
        <v>0.467</v>
      </c>
      <c r="G75" s="43">
        <v>0.833</v>
      </c>
      <c r="H75" s="43">
        <v>0.0</v>
      </c>
      <c r="I75" s="44" t="str">
        <f>IMAGE("https://drive.google.com/uc?export=view&amp;id=12U4igsQ_aY_FfdBVIaeepFNBKTYQb6d4")</f>
        <v/>
      </c>
      <c r="J75" s="19" t="s">
        <v>16</v>
      </c>
      <c r="K75" s="19" t="s">
        <v>8</v>
      </c>
      <c r="L75" s="19">
        <v>32.0</v>
      </c>
      <c r="M75" s="19">
        <v>3.0</v>
      </c>
    </row>
    <row r="76">
      <c r="A76" s="19">
        <v>75.0</v>
      </c>
      <c r="B76" s="19" t="s">
        <v>229</v>
      </c>
      <c r="C76" s="19" t="s">
        <v>889</v>
      </c>
      <c r="D76" s="19" t="s">
        <v>890</v>
      </c>
      <c r="E76" s="43">
        <v>0.556</v>
      </c>
      <c r="F76" s="43">
        <v>0.0</v>
      </c>
      <c r="G76" s="43">
        <v>0.0</v>
      </c>
      <c r="H76" s="43">
        <v>0.6</v>
      </c>
      <c r="I76" s="44" t="str">
        <f>IMAGE("https://drive.google.com/uc?export=view&amp;id=1CN4899auXewQjP2K0kdu4r-AjG5qacZC")</f>
        <v/>
      </c>
      <c r="J76" s="19" t="s">
        <v>17</v>
      </c>
      <c r="K76" s="19" t="s">
        <v>8</v>
      </c>
      <c r="L76" s="19">
        <v>32.0</v>
      </c>
      <c r="M76" s="19">
        <v>3.0</v>
      </c>
    </row>
    <row r="77">
      <c r="A77" s="19">
        <v>76.0</v>
      </c>
      <c r="B77" s="19" t="s">
        <v>241</v>
      </c>
      <c r="C77" s="19" t="s">
        <v>897</v>
      </c>
      <c r="D77" s="19" t="s">
        <v>898</v>
      </c>
      <c r="E77" s="43">
        <v>0.875</v>
      </c>
      <c r="F77" s="43">
        <v>0.0</v>
      </c>
      <c r="G77" s="43">
        <v>0.0</v>
      </c>
      <c r="H77" s="43">
        <v>0.4</v>
      </c>
      <c r="I77" s="44" t="str">
        <f>IMAGE("https://drive.google.com/uc?export=view&amp;id=1LLGLggh50LBlIZI6kdbTbUIAOg5zFz1Y")</f>
        <v/>
      </c>
      <c r="J77" s="19" t="s">
        <v>17</v>
      </c>
      <c r="K77" s="19" t="s">
        <v>8</v>
      </c>
      <c r="L77" s="19">
        <v>32.0</v>
      </c>
      <c r="M77" s="19">
        <v>3.0</v>
      </c>
    </row>
    <row r="78">
      <c r="A78" s="19">
        <v>77.0</v>
      </c>
      <c r="B78" s="19" t="s">
        <v>253</v>
      </c>
      <c r="C78" s="19" t="s">
        <v>903</v>
      </c>
      <c r="D78" s="19" t="s">
        <v>904</v>
      </c>
      <c r="E78" s="43">
        <v>0.846</v>
      </c>
      <c r="F78" s="43">
        <v>0.0</v>
      </c>
      <c r="G78" s="43">
        <v>0.0</v>
      </c>
      <c r="H78" s="43">
        <v>0.143</v>
      </c>
      <c r="I78" s="44" t="str">
        <f>IMAGE("https://drive.google.com/uc?export=view&amp;id=1a6Zn7omks5pgSzuBD3Nd_x2bjbbchHc6")</f>
        <v/>
      </c>
      <c r="J78" s="19" t="s">
        <v>17</v>
      </c>
      <c r="K78" s="19" t="s">
        <v>8</v>
      </c>
      <c r="L78" s="19">
        <v>32.0</v>
      </c>
      <c r="M78" s="19">
        <v>3.0</v>
      </c>
    </row>
    <row r="79">
      <c r="A79" s="19">
        <v>78.0</v>
      </c>
      <c r="B79" s="37" t="s">
        <v>118</v>
      </c>
      <c r="C79" s="37" t="s">
        <v>975</v>
      </c>
      <c r="D79" s="47" t="s">
        <v>976</v>
      </c>
      <c r="E79" s="49">
        <v>1.0</v>
      </c>
      <c r="F79" s="49">
        <v>0.0</v>
      </c>
      <c r="G79" s="49">
        <v>0.0</v>
      </c>
      <c r="H79" s="49">
        <v>0.833</v>
      </c>
      <c r="I79" s="44" t="str">
        <f>IMAGE("https://drive.google.com/uc?export=view&amp;id=1TFYNewob2IEn3mdfnA2RtzSXbODWN8Lz")</f>
        <v/>
      </c>
      <c r="J79" s="19" t="s">
        <v>15</v>
      </c>
      <c r="K79" s="19" t="s">
        <v>8</v>
      </c>
      <c r="L79" s="19">
        <v>32.0</v>
      </c>
      <c r="M79" s="19">
        <v>5.0</v>
      </c>
    </row>
    <row r="80">
      <c r="A80" s="19">
        <v>79.0</v>
      </c>
      <c r="B80" s="37" t="s">
        <v>226</v>
      </c>
      <c r="C80" s="37" t="s">
        <v>1045</v>
      </c>
      <c r="D80" s="47" t="s">
        <v>1046</v>
      </c>
      <c r="E80" s="49">
        <v>0.571</v>
      </c>
      <c r="F80" s="49">
        <v>0.0</v>
      </c>
      <c r="G80" s="49">
        <v>0.583</v>
      </c>
      <c r="H80" s="49">
        <v>1.0</v>
      </c>
      <c r="I80" s="44" t="str">
        <f>IMAGE("https://drive.google.com/uc?export=view&amp;id=1PKSjRJQshmqEv0b20O5wptBFJFZJLPL4")</f>
        <v/>
      </c>
      <c r="J80" s="19" t="s">
        <v>17</v>
      </c>
      <c r="K80" s="19" t="s">
        <v>8</v>
      </c>
      <c r="L80" s="19">
        <v>32.0</v>
      </c>
      <c r="M80" s="19">
        <v>5.0</v>
      </c>
    </row>
    <row r="81">
      <c r="A81" s="19">
        <v>80.0</v>
      </c>
      <c r="B81" s="19" t="s">
        <v>64</v>
      </c>
      <c r="C81" s="19" t="s">
        <v>1095</v>
      </c>
      <c r="D81" s="19" t="s">
        <v>1096</v>
      </c>
      <c r="E81" s="43">
        <v>1.0</v>
      </c>
      <c r="F81" s="43">
        <v>0.474</v>
      </c>
      <c r="G81" s="43">
        <v>1.0</v>
      </c>
      <c r="H81" s="43">
        <v>0.857</v>
      </c>
      <c r="I81" s="44" t="str">
        <f>IMAGE("https://drive.google.com/uc?export=view&amp;id=1y51faqzdwFIofLNoTIXrYGdRsxQcB1ZX")</f>
        <v/>
      </c>
      <c r="J81" s="19" t="s">
        <v>14</v>
      </c>
      <c r="K81" s="19" t="s">
        <v>8</v>
      </c>
      <c r="L81" s="19">
        <v>64.0</v>
      </c>
      <c r="M81" s="19">
        <v>3.0</v>
      </c>
    </row>
    <row r="82">
      <c r="A82" s="19">
        <v>81.0</v>
      </c>
      <c r="B82" s="19" t="s">
        <v>106</v>
      </c>
      <c r="C82" s="19" t="s">
        <v>1127</v>
      </c>
      <c r="D82" s="19" t="s">
        <v>1128</v>
      </c>
      <c r="E82" s="43">
        <v>0.444</v>
      </c>
      <c r="F82" s="43">
        <v>0.0</v>
      </c>
      <c r="G82" s="43">
        <v>0.0</v>
      </c>
      <c r="H82" s="43">
        <v>0.667</v>
      </c>
      <c r="I82" s="44" t="str">
        <f>IMAGE("https://drive.google.com/uc?export=view&amp;id=1eH0fE7w-5Jucww9xPf1pb0nBUqAdLuDy")</f>
        <v/>
      </c>
      <c r="J82" s="19" t="s">
        <v>15</v>
      </c>
      <c r="K82" s="19" t="s">
        <v>8</v>
      </c>
      <c r="L82" s="19">
        <v>64.0</v>
      </c>
      <c r="M82" s="19">
        <v>3.0</v>
      </c>
    </row>
    <row r="83">
      <c r="A83" s="19">
        <v>82.0</v>
      </c>
      <c r="B83" s="19" t="s">
        <v>109</v>
      </c>
      <c r="C83" s="19" t="s">
        <v>1129</v>
      </c>
      <c r="D83" s="19" t="s">
        <v>1130</v>
      </c>
      <c r="E83" s="43">
        <v>0.467</v>
      </c>
      <c r="F83" s="43">
        <v>0.0</v>
      </c>
      <c r="G83" s="43">
        <v>1.0</v>
      </c>
      <c r="H83" s="43">
        <v>0.8</v>
      </c>
      <c r="I83" s="44" t="str">
        <f>IMAGE("https://drive.google.com/uc?export=view&amp;id=193xsr14xWG8iVl6l4e0n21_GomTSNEXx")</f>
        <v/>
      </c>
      <c r="J83" s="19" t="s">
        <v>15</v>
      </c>
      <c r="K83" s="19" t="s">
        <v>8</v>
      </c>
      <c r="L83" s="19">
        <v>64.0</v>
      </c>
      <c r="M83" s="19">
        <v>3.0</v>
      </c>
    </row>
    <row r="84">
      <c r="A84" s="19">
        <v>83.0</v>
      </c>
      <c r="B84" s="19" t="s">
        <v>118</v>
      </c>
      <c r="C84" s="19" t="s">
        <v>1133</v>
      </c>
      <c r="D84" s="19" t="s">
        <v>1134</v>
      </c>
      <c r="E84" s="43">
        <v>0.75</v>
      </c>
      <c r="F84" s="43">
        <v>0.0</v>
      </c>
      <c r="G84" s="43">
        <v>0.0</v>
      </c>
      <c r="H84" s="43">
        <v>0.333</v>
      </c>
      <c r="I84" s="44" t="str">
        <f>IMAGE("https://drive.google.com/uc?export=view&amp;id=1RTSzKpQfGhCnOWPNWuq8U50kxs4uLEcB")</f>
        <v/>
      </c>
      <c r="J84" s="19" t="s">
        <v>15</v>
      </c>
      <c r="K84" s="19" t="s">
        <v>8</v>
      </c>
      <c r="L84" s="19">
        <v>64.0</v>
      </c>
      <c r="M84" s="19">
        <v>3.0</v>
      </c>
    </row>
    <row r="85">
      <c r="A85" s="19">
        <v>84.0</v>
      </c>
      <c r="B85" s="19" t="s">
        <v>229</v>
      </c>
      <c r="C85" s="19" t="s">
        <v>1205</v>
      </c>
      <c r="D85" s="19" t="s">
        <v>1206</v>
      </c>
      <c r="E85" s="43">
        <v>0.875</v>
      </c>
      <c r="F85" s="43">
        <v>0.0</v>
      </c>
      <c r="G85" s="43">
        <v>0.0</v>
      </c>
      <c r="H85" s="43">
        <v>1.0</v>
      </c>
      <c r="I85" s="44" t="str">
        <f>IMAGE("https://drive.google.com/uc?export=view&amp;id=1D7jirXqX4C64GH9XVlZx3u7azDbTVusm")</f>
        <v/>
      </c>
      <c r="J85" s="19" t="s">
        <v>17</v>
      </c>
      <c r="K85" s="19" t="s">
        <v>8</v>
      </c>
      <c r="L85" s="19">
        <v>64.0</v>
      </c>
      <c r="M85" s="19">
        <v>3.0</v>
      </c>
    </row>
    <row r="86">
      <c r="A86" s="19">
        <v>85.0</v>
      </c>
      <c r="B86" s="19" t="s">
        <v>241</v>
      </c>
      <c r="C86" s="19" t="s">
        <v>1215</v>
      </c>
      <c r="D86" s="19" t="s">
        <v>1216</v>
      </c>
      <c r="E86" s="43">
        <v>1.0</v>
      </c>
      <c r="F86" s="43">
        <v>0.0</v>
      </c>
      <c r="G86" s="43">
        <v>0.0</v>
      </c>
      <c r="H86" s="43">
        <v>0.833</v>
      </c>
      <c r="I86" s="44" t="str">
        <f>IMAGE("https://drive.google.com/uc?export=view&amp;id=1UmgWThcmM2JQC_g0hFT62bXDFx-VHI0v")</f>
        <v/>
      </c>
      <c r="J86" s="19" t="s">
        <v>17</v>
      </c>
      <c r="K86" s="19" t="s">
        <v>8</v>
      </c>
      <c r="L86" s="19">
        <v>64.0</v>
      </c>
      <c r="M86" s="19">
        <v>3.0</v>
      </c>
    </row>
    <row r="87">
      <c r="A87" s="19">
        <v>86.0</v>
      </c>
      <c r="B87" s="19" t="s">
        <v>247</v>
      </c>
      <c r="C87" s="19" t="s">
        <v>1219</v>
      </c>
      <c r="D87" s="19" t="s">
        <v>1220</v>
      </c>
      <c r="E87" s="43">
        <v>0.75</v>
      </c>
      <c r="F87" s="43">
        <v>0.0</v>
      </c>
      <c r="G87" s="43">
        <v>0.0</v>
      </c>
      <c r="H87" s="43">
        <v>0.333</v>
      </c>
      <c r="I87" s="44" t="str">
        <f>IMAGE("https://drive.google.com/uc?export=view&amp;id=1vqPGgT9p2QQW4vIebI6EH154mLNOe4bK")</f>
        <v/>
      </c>
      <c r="J87" s="19" t="s">
        <v>17</v>
      </c>
      <c r="K87" s="19" t="s">
        <v>8</v>
      </c>
      <c r="L87" s="19">
        <v>64.0</v>
      </c>
      <c r="M87" s="19">
        <v>3.0</v>
      </c>
    </row>
    <row r="88">
      <c r="A88" s="19">
        <v>87.0</v>
      </c>
      <c r="B88" s="19" t="s">
        <v>70</v>
      </c>
      <c r="C88" s="19" t="s">
        <v>1261</v>
      </c>
      <c r="D88" s="19" t="s">
        <v>1262</v>
      </c>
      <c r="E88" s="43">
        <v>0.667</v>
      </c>
      <c r="F88" s="43">
        <v>0.494</v>
      </c>
      <c r="G88" s="43">
        <v>1.0</v>
      </c>
      <c r="H88" s="43">
        <v>1.0</v>
      </c>
      <c r="I88" s="44" t="str">
        <f>IMAGE("https://drive.google.com/uc?export=view&amp;id=1dZSqzxCzCGcjFiUcR5v0dR7mp2Xm5nV5")</f>
        <v/>
      </c>
      <c r="J88" s="19" t="s">
        <v>14</v>
      </c>
      <c r="K88" s="19" t="s">
        <v>8</v>
      </c>
      <c r="L88" s="19">
        <v>64.0</v>
      </c>
      <c r="M88" s="19">
        <v>5.0</v>
      </c>
    </row>
    <row r="89">
      <c r="A89" s="19">
        <v>88.0</v>
      </c>
      <c r="B89" s="19" t="s">
        <v>106</v>
      </c>
      <c r="C89" s="19" t="s">
        <v>1287</v>
      </c>
      <c r="D89" s="19" t="s">
        <v>1288</v>
      </c>
      <c r="E89" s="43">
        <v>0.889</v>
      </c>
      <c r="F89" s="43">
        <v>0.0</v>
      </c>
      <c r="G89" s="43">
        <v>0.0</v>
      </c>
      <c r="H89" s="43">
        <v>0.667</v>
      </c>
      <c r="I89" s="44" t="str">
        <f>IMAGE("https://drive.google.com/uc?export=view&amp;id=1E-gkl9Jl8qRypr4NdgH48NM-5Xdqlzhm")</f>
        <v/>
      </c>
      <c r="J89" s="19" t="s">
        <v>15</v>
      </c>
      <c r="K89" s="19" t="s">
        <v>8</v>
      </c>
      <c r="L89" s="19">
        <v>64.0</v>
      </c>
      <c r="M89" s="19">
        <v>5.0</v>
      </c>
    </row>
    <row r="90">
      <c r="A90" s="19">
        <v>89.0</v>
      </c>
      <c r="B90" s="19" t="s">
        <v>229</v>
      </c>
      <c r="C90" s="19" t="s">
        <v>1368</v>
      </c>
      <c r="D90" s="19" t="s">
        <v>1369</v>
      </c>
      <c r="E90" s="43">
        <v>0.75</v>
      </c>
      <c r="F90" s="43">
        <v>0.0</v>
      </c>
      <c r="G90" s="43">
        <v>0.0</v>
      </c>
      <c r="H90" s="43">
        <v>1.0</v>
      </c>
      <c r="I90" s="44" t="str">
        <f>IMAGE("https://drive.google.com/uc?export=view&amp;id=19WvOdsFZtMEPBX2AH0_aEzgou8bH3sOL")</f>
        <v/>
      </c>
      <c r="J90" s="19" t="s">
        <v>17</v>
      </c>
      <c r="K90" s="19" t="s">
        <v>8</v>
      </c>
      <c r="L90" s="19">
        <v>64.0</v>
      </c>
      <c r="M90" s="19">
        <v>5.0</v>
      </c>
    </row>
    <row r="91">
      <c r="A91" s="19">
        <v>90.0</v>
      </c>
      <c r="B91" s="19" t="s">
        <v>241</v>
      </c>
      <c r="C91" s="19" t="s">
        <v>1376</v>
      </c>
      <c r="D91" s="19" t="s">
        <v>1377</v>
      </c>
      <c r="E91" s="43">
        <v>0.5</v>
      </c>
      <c r="F91" s="43">
        <v>0.0</v>
      </c>
      <c r="G91" s="43">
        <v>0.0</v>
      </c>
      <c r="H91" s="43">
        <v>0.727</v>
      </c>
      <c r="I91" s="44" t="str">
        <f>IMAGE("https://drive.google.com/uc?export=view&amp;id=1QQm_oSN9Sm23XRf8Q_TpaPaEInVB5PHi")</f>
        <v/>
      </c>
      <c r="J91" s="19" t="s">
        <v>17</v>
      </c>
      <c r="K91" s="19" t="s">
        <v>8</v>
      </c>
      <c r="L91" s="19">
        <v>64.0</v>
      </c>
      <c r="M91" s="19">
        <v>5.0</v>
      </c>
    </row>
    <row r="92">
      <c r="A92" s="19">
        <v>91.0</v>
      </c>
      <c r="B92" s="19" t="s">
        <v>283</v>
      </c>
      <c r="C92" s="19" t="s">
        <v>1402</v>
      </c>
      <c r="D92" s="19" t="s">
        <v>1403</v>
      </c>
      <c r="E92" s="43">
        <v>0.214</v>
      </c>
      <c r="F92" s="43">
        <v>0.0</v>
      </c>
      <c r="G92" s="43">
        <v>0.806</v>
      </c>
      <c r="H92" s="43">
        <v>0.0</v>
      </c>
      <c r="I92" s="44" t="str">
        <f>IMAGE("https://drive.google.com/uc?export=view&amp;id=1R347I0qw0QWBlJ2zvVKXFfT1JkSh5qwn")</f>
        <v/>
      </c>
      <c r="J92" s="19" t="s">
        <v>17</v>
      </c>
      <c r="K92" s="19" t="s">
        <v>8</v>
      </c>
      <c r="L92" s="19">
        <v>64.0</v>
      </c>
      <c r="M92" s="19">
        <v>5.0</v>
      </c>
    </row>
  </sheetData>
  <autoFilter ref="$A$1:$M$92"/>
  <dataValidations>
    <dataValidation type="list" allowBlank="1" showErrorMessage="1" sqref="K2:K92">
      <formula1>"LaBSE,BGE-M3"</formula1>
    </dataValidation>
    <dataValidation type="list" allowBlank="1" showErrorMessage="1" sqref="J2:J92">
      <formula1>"Trend Analysis ,Gap Detection,Evidence-based QA,Comparative Synthesis"</formula1>
    </dataValidation>
    <dataValidation type="list" allowBlank="1" showErrorMessage="1" sqref="L2:L92">
      <formula1>"32,64"</formula1>
    </dataValidation>
    <dataValidation type="list" allowBlank="1" showErrorMessage="1" sqref="M2:M92">
      <formula1>"3,5"</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6" max="6" width="19.63"/>
    <col customWidth="1" min="7" max="7" width="24.13"/>
    <col customWidth="1" min="8" max="8" width="20.25"/>
    <col customWidth="1" min="10" max="10" width="31.88"/>
  </cols>
  <sheetData>
    <row r="1">
      <c r="A1" s="41" t="s">
        <v>41</v>
      </c>
      <c r="B1" s="41" t="s">
        <v>42</v>
      </c>
      <c r="C1" s="41" t="s">
        <v>43</v>
      </c>
      <c r="D1" s="41" t="s">
        <v>44</v>
      </c>
      <c r="E1" s="32" t="s">
        <v>3</v>
      </c>
      <c r="F1" s="32" t="s">
        <v>4</v>
      </c>
      <c r="G1" s="32" t="s">
        <v>5</v>
      </c>
      <c r="H1" s="32" t="s">
        <v>6</v>
      </c>
      <c r="I1" s="41" t="s">
        <v>45</v>
      </c>
      <c r="J1" s="42" t="s">
        <v>1406</v>
      </c>
      <c r="K1" s="33" t="s">
        <v>0</v>
      </c>
      <c r="L1" s="33" t="s">
        <v>1</v>
      </c>
      <c r="M1" s="33" t="s">
        <v>2</v>
      </c>
    </row>
    <row r="2">
      <c r="A2" s="19">
        <v>1.0</v>
      </c>
      <c r="B2" s="19" t="s">
        <v>49</v>
      </c>
      <c r="C2" s="19" t="s">
        <v>50</v>
      </c>
      <c r="D2" s="19" t="s">
        <v>51</v>
      </c>
      <c r="E2" s="43">
        <v>0.429</v>
      </c>
      <c r="F2" s="43">
        <v>1.0</v>
      </c>
      <c r="G2" s="43">
        <v>0.333</v>
      </c>
      <c r="H2" s="43">
        <v>1.0</v>
      </c>
      <c r="I2" s="44" t="str">
        <f>IMAGE("https://drive.google.com/uc?export=view&amp;id=1FxO3OeVVwVfdbWaVF-TiLUcIeXutQ-6f")</f>
        <v/>
      </c>
      <c r="J2" s="19" t="s">
        <v>14</v>
      </c>
      <c r="K2" s="45" t="s">
        <v>7</v>
      </c>
      <c r="L2" s="46">
        <v>32.0</v>
      </c>
      <c r="M2" s="46">
        <v>3.0</v>
      </c>
    </row>
    <row r="3">
      <c r="A3" s="19">
        <v>2.0</v>
      </c>
      <c r="B3" s="19" t="s">
        <v>64</v>
      </c>
      <c r="C3" s="19" t="s">
        <v>65</v>
      </c>
      <c r="D3" s="19" t="s">
        <v>66</v>
      </c>
      <c r="E3" s="43">
        <v>0.0</v>
      </c>
      <c r="F3" s="43">
        <v>0.81</v>
      </c>
      <c r="G3" s="43">
        <v>0.0</v>
      </c>
      <c r="H3" s="43">
        <v>0.2</v>
      </c>
      <c r="I3" s="44" t="str">
        <f>IMAGE("https://drive.google.com/uc?export=view&amp;id=19w73J71Q6HnNGTwLM0fZ8hw84ev8h03Y")</f>
        <v/>
      </c>
      <c r="J3" s="19" t="s">
        <v>14</v>
      </c>
      <c r="K3" s="43" t="s">
        <v>7</v>
      </c>
      <c r="L3" s="19">
        <v>32.0</v>
      </c>
      <c r="M3" s="19">
        <v>3.0</v>
      </c>
    </row>
    <row r="4">
      <c r="A4" s="19">
        <v>3.0</v>
      </c>
      <c r="B4" s="19" t="s">
        <v>73</v>
      </c>
      <c r="C4" s="19" t="s">
        <v>74</v>
      </c>
      <c r="D4" s="19" t="s">
        <v>75</v>
      </c>
      <c r="E4" s="43">
        <v>0.286</v>
      </c>
      <c r="F4" s="43">
        <v>0.849</v>
      </c>
      <c r="G4" s="43">
        <v>0.333</v>
      </c>
      <c r="H4" s="43">
        <v>0.75</v>
      </c>
      <c r="I4" s="44" t="str">
        <f>IMAGE("https://drive.google.com/uc?export=view&amp;id=16_CTN-aJL1gxlASC-0unn2FOlybBzKC-")</f>
        <v/>
      </c>
      <c r="J4" s="19" t="s">
        <v>14</v>
      </c>
      <c r="K4" s="43" t="s">
        <v>7</v>
      </c>
      <c r="L4" s="19">
        <v>32.0</v>
      </c>
      <c r="M4" s="19">
        <v>3.0</v>
      </c>
    </row>
    <row r="5">
      <c r="A5" s="19">
        <v>4.0</v>
      </c>
      <c r="B5" s="19" t="s">
        <v>79</v>
      </c>
      <c r="C5" s="19" t="s">
        <v>80</v>
      </c>
      <c r="D5" s="19" t="s">
        <v>81</v>
      </c>
      <c r="E5" s="43">
        <v>0.889</v>
      </c>
      <c r="F5" s="43">
        <v>0.0</v>
      </c>
      <c r="G5" s="43">
        <v>0.0</v>
      </c>
      <c r="H5" s="43">
        <v>0.667</v>
      </c>
      <c r="I5" s="44" t="str">
        <f>IMAGE("https://drive.google.com/uc?export=view&amp;id=10g3KSphlYmmWl8uVd0ORoR48gg0P6sTO")</f>
        <v/>
      </c>
      <c r="J5" s="19" t="s">
        <v>14</v>
      </c>
      <c r="K5" s="43" t="s">
        <v>7</v>
      </c>
      <c r="L5" s="19">
        <v>32.0</v>
      </c>
      <c r="M5" s="19">
        <v>3.0</v>
      </c>
    </row>
    <row r="6">
      <c r="A6" s="19">
        <v>5.0</v>
      </c>
      <c r="B6" s="19" t="s">
        <v>85</v>
      </c>
      <c r="C6" s="19" t="s">
        <v>86</v>
      </c>
      <c r="D6" s="19" t="s">
        <v>87</v>
      </c>
      <c r="E6" s="43">
        <v>0.786</v>
      </c>
      <c r="F6" s="43">
        <v>0.867</v>
      </c>
      <c r="G6" s="43">
        <v>0.0</v>
      </c>
      <c r="H6" s="43">
        <v>0.5</v>
      </c>
      <c r="I6" s="44" t="str">
        <f>IMAGE("https://drive.google.com/uc?export=view&amp;id=1v3vDBi_Tto_l9g1pufR3eisWwi3JIw52")</f>
        <v/>
      </c>
      <c r="J6" s="19" t="s">
        <v>14</v>
      </c>
      <c r="K6" s="43" t="s">
        <v>7</v>
      </c>
      <c r="L6" s="19">
        <v>32.0</v>
      </c>
      <c r="M6" s="19">
        <v>3.0</v>
      </c>
    </row>
    <row r="7">
      <c r="A7" s="19">
        <v>6.0</v>
      </c>
      <c r="B7" s="19" t="s">
        <v>88</v>
      </c>
      <c r="C7" s="19" t="s">
        <v>89</v>
      </c>
      <c r="D7" s="19" t="s">
        <v>90</v>
      </c>
      <c r="E7" s="43">
        <v>1.0</v>
      </c>
      <c r="F7" s="43">
        <v>0.0</v>
      </c>
      <c r="G7" s="43">
        <v>0.0</v>
      </c>
      <c r="H7" s="43">
        <v>0.6</v>
      </c>
      <c r="I7" s="44" t="str">
        <f>IMAGE("https://drive.google.com/uc?export=view&amp;id=1LwhIqBgkAyCQ8maH4JVJ5YAyeYkgQh71")</f>
        <v/>
      </c>
      <c r="J7" s="19" t="s">
        <v>14</v>
      </c>
      <c r="K7" s="43" t="s">
        <v>7</v>
      </c>
      <c r="L7" s="19">
        <v>32.0</v>
      </c>
      <c r="M7" s="19">
        <v>3.0</v>
      </c>
    </row>
    <row r="8">
      <c r="A8" s="19">
        <v>7.0</v>
      </c>
      <c r="B8" s="19" t="s">
        <v>94</v>
      </c>
      <c r="C8" s="19" t="s">
        <v>95</v>
      </c>
      <c r="D8" s="19" t="s">
        <v>96</v>
      </c>
      <c r="E8" s="43">
        <v>0.0</v>
      </c>
      <c r="F8" s="43">
        <v>0.568</v>
      </c>
      <c r="G8" s="43">
        <v>0.333</v>
      </c>
      <c r="H8" s="43">
        <v>0.429</v>
      </c>
      <c r="I8" s="44" t="str">
        <f>IMAGE("https://drive.google.com/uc?export=view&amp;id=1OA_pJZ8kpxJXMw4q_oGuZcXkRXPpTPSR")</f>
        <v/>
      </c>
      <c r="J8" s="19" t="s">
        <v>14</v>
      </c>
      <c r="K8" s="43" t="s">
        <v>7</v>
      </c>
      <c r="L8" s="19">
        <v>32.0</v>
      </c>
      <c r="M8" s="19">
        <v>3.0</v>
      </c>
    </row>
    <row r="9">
      <c r="A9" s="19">
        <v>8.0</v>
      </c>
      <c r="B9" s="19" t="s">
        <v>100</v>
      </c>
      <c r="C9" s="19" t="s">
        <v>101</v>
      </c>
      <c r="D9" s="19" t="s">
        <v>102</v>
      </c>
      <c r="E9" s="43">
        <v>0.231</v>
      </c>
      <c r="F9" s="43">
        <v>0.933</v>
      </c>
      <c r="G9" s="43">
        <v>0.5</v>
      </c>
      <c r="H9" s="43">
        <v>1.0</v>
      </c>
      <c r="I9" s="44" t="str">
        <f>IMAGE("https://drive.google.com/uc?export=view&amp;id=1uHbhg6sQyqSpA-Wec4Oom2cnx6TehU9S")</f>
        <v/>
      </c>
      <c r="J9" s="19" t="s">
        <v>14</v>
      </c>
      <c r="K9" s="43" t="s">
        <v>7</v>
      </c>
      <c r="L9" s="19">
        <v>32.0</v>
      </c>
      <c r="M9" s="19">
        <v>3.0</v>
      </c>
    </row>
    <row r="10">
      <c r="A10" s="19">
        <v>9.0</v>
      </c>
      <c r="B10" s="19" t="s">
        <v>106</v>
      </c>
      <c r="C10" s="19" t="s">
        <v>107</v>
      </c>
      <c r="D10" s="19" t="s">
        <v>108</v>
      </c>
      <c r="E10" s="43">
        <v>0.909</v>
      </c>
      <c r="F10" s="43">
        <v>0.0</v>
      </c>
      <c r="G10" s="43">
        <v>0.0</v>
      </c>
      <c r="H10" s="43">
        <v>0.5</v>
      </c>
      <c r="I10" s="44" t="str">
        <f>IMAGE("https://drive.google.com/uc?export=view&amp;id=1ono8yAQKlxu2oMNAU9ILnErQ6LuzaiEh")</f>
        <v/>
      </c>
      <c r="J10" s="19" t="s">
        <v>15</v>
      </c>
      <c r="K10" s="43" t="s">
        <v>7</v>
      </c>
      <c r="L10" s="19">
        <v>32.0</v>
      </c>
      <c r="M10" s="19">
        <v>3.0</v>
      </c>
    </row>
    <row r="11">
      <c r="A11" s="19">
        <v>10.0</v>
      </c>
      <c r="B11" s="19" t="s">
        <v>118</v>
      </c>
      <c r="C11" s="19" t="s">
        <v>119</v>
      </c>
      <c r="D11" s="19" t="s">
        <v>120</v>
      </c>
      <c r="E11" s="43">
        <v>0.417</v>
      </c>
      <c r="F11" s="43">
        <v>1.0</v>
      </c>
      <c r="G11" s="43">
        <v>0.0</v>
      </c>
      <c r="H11" s="43">
        <v>0.833</v>
      </c>
      <c r="I11" s="44" t="str">
        <f>IMAGE("https://drive.google.com/uc?export=view&amp;id=1twjvGs92Q9SZf2CFWlAOaWC0jBL954NB")</f>
        <v/>
      </c>
      <c r="J11" s="19" t="s">
        <v>15</v>
      </c>
      <c r="K11" s="43" t="s">
        <v>7</v>
      </c>
      <c r="L11" s="19">
        <v>32.0</v>
      </c>
      <c r="M11" s="19">
        <v>3.0</v>
      </c>
    </row>
    <row r="12">
      <c r="A12" s="19">
        <v>11.0</v>
      </c>
      <c r="B12" s="19" t="s">
        <v>121</v>
      </c>
      <c r="C12" s="19" t="s">
        <v>122</v>
      </c>
      <c r="D12" s="19" t="s">
        <v>123</v>
      </c>
      <c r="E12" s="43">
        <v>0.917</v>
      </c>
      <c r="F12" s="43">
        <v>0.874</v>
      </c>
      <c r="G12" s="43">
        <v>0.0</v>
      </c>
      <c r="H12" s="43">
        <v>0.667</v>
      </c>
      <c r="I12" s="44" t="str">
        <f>IMAGE("https://drive.google.com/uc?export=view&amp;id=1rwSFn2jMq7gy515qsOkA2P3jNxORmBXX")</f>
        <v/>
      </c>
      <c r="J12" s="19" t="s">
        <v>15</v>
      </c>
      <c r="K12" s="43" t="s">
        <v>7</v>
      </c>
      <c r="L12" s="19">
        <v>32.0</v>
      </c>
      <c r="M12" s="19">
        <v>3.0</v>
      </c>
    </row>
    <row r="13">
      <c r="A13" s="19">
        <v>12.0</v>
      </c>
      <c r="B13" s="19" t="s">
        <v>133</v>
      </c>
      <c r="C13" s="19" t="s">
        <v>134</v>
      </c>
      <c r="D13" s="19" t="s">
        <v>135</v>
      </c>
      <c r="E13" s="43">
        <v>0.636</v>
      </c>
      <c r="F13" s="43">
        <v>0.0</v>
      </c>
      <c r="G13" s="43">
        <v>0.0</v>
      </c>
      <c r="H13" s="43">
        <v>0.833</v>
      </c>
      <c r="I13" s="44" t="str">
        <f>IMAGE("https://drive.google.com/uc?export=view&amp;id=16qR0NBfmgUhRWFcgED_caeRK0QVq4OCo")</f>
        <v/>
      </c>
      <c r="J13" s="19" t="s">
        <v>15</v>
      </c>
      <c r="K13" s="43" t="s">
        <v>7</v>
      </c>
      <c r="L13" s="19">
        <v>32.0</v>
      </c>
      <c r="M13" s="19">
        <v>3.0</v>
      </c>
    </row>
    <row r="14">
      <c r="A14" s="19">
        <v>13.0</v>
      </c>
      <c r="B14" s="19" t="s">
        <v>142</v>
      </c>
      <c r="C14" s="19" t="s">
        <v>143</v>
      </c>
      <c r="D14" s="19" t="s">
        <v>144</v>
      </c>
      <c r="E14" s="43">
        <v>1.0</v>
      </c>
      <c r="F14" s="43">
        <v>0.781</v>
      </c>
      <c r="G14" s="43">
        <v>0.0</v>
      </c>
      <c r="H14" s="43">
        <v>0.0</v>
      </c>
      <c r="I14" s="44" t="str">
        <f>IMAGE("https://drive.google.com/uc?export=view&amp;id=1_7Fkg3Ap8HPDFWWp45NdGVyyl7LRjthD")</f>
        <v/>
      </c>
      <c r="J14" s="19" t="s">
        <v>15</v>
      </c>
      <c r="K14" s="43" t="s">
        <v>7</v>
      </c>
      <c r="L14" s="19">
        <v>32.0</v>
      </c>
      <c r="M14" s="19">
        <v>3.0</v>
      </c>
    </row>
    <row r="15">
      <c r="A15" s="19">
        <v>14.0</v>
      </c>
      <c r="B15" s="19" t="s">
        <v>148</v>
      </c>
      <c r="C15" s="19" t="s">
        <v>149</v>
      </c>
      <c r="D15" s="19" t="s">
        <v>150</v>
      </c>
      <c r="E15" s="43">
        <v>0.167</v>
      </c>
      <c r="F15" s="43">
        <v>0.633</v>
      </c>
      <c r="G15" s="43">
        <v>0.333</v>
      </c>
      <c r="H15" s="43">
        <v>0.75</v>
      </c>
      <c r="I15" s="44" t="str">
        <f>IMAGE("https://drive.google.com/uc?export=view&amp;id=1g9J73cfCWCbyNuXCrjNt522MTfFsAYX8")</f>
        <v/>
      </c>
      <c r="J15" s="19" t="s">
        <v>15</v>
      </c>
      <c r="K15" s="43" t="s">
        <v>7</v>
      </c>
      <c r="L15" s="19">
        <v>32.0</v>
      </c>
      <c r="M15" s="19">
        <v>3.0</v>
      </c>
    </row>
    <row r="16">
      <c r="A16" s="19">
        <v>15.0</v>
      </c>
      <c r="B16" s="19" t="s">
        <v>169</v>
      </c>
      <c r="C16" s="19" t="s">
        <v>170</v>
      </c>
      <c r="D16" s="19" t="s">
        <v>171</v>
      </c>
      <c r="E16" s="43">
        <v>0.733</v>
      </c>
      <c r="F16" s="43">
        <v>0.724</v>
      </c>
      <c r="G16" s="43">
        <v>0.5</v>
      </c>
      <c r="H16" s="43">
        <v>0.0</v>
      </c>
      <c r="I16" s="44" t="str">
        <f>IMAGE("https://drive.google.com/uc?export=view&amp;id=13KAnbvmNygz_-roDb2gZhhkePpSJEFVw")</f>
        <v/>
      </c>
      <c r="J16" s="19" t="s">
        <v>16</v>
      </c>
      <c r="K16" s="43" t="s">
        <v>7</v>
      </c>
      <c r="L16" s="19">
        <v>32.0</v>
      </c>
      <c r="M16" s="19">
        <v>3.0</v>
      </c>
    </row>
    <row r="17">
      <c r="A17" s="19">
        <v>16.0</v>
      </c>
      <c r="B17" s="19" t="s">
        <v>172</v>
      </c>
      <c r="C17" s="19" t="s">
        <v>173</v>
      </c>
      <c r="D17" s="19" t="s">
        <v>174</v>
      </c>
      <c r="E17" s="43">
        <v>0.875</v>
      </c>
      <c r="F17" s="43">
        <v>0.0</v>
      </c>
      <c r="G17" s="43">
        <v>0.0</v>
      </c>
      <c r="H17" s="43">
        <v>0.2</v>
      </c>
      <c r="I17" s="44" t="str">
        <f>IMAGE("https://drive.google.com/uc?export=view&amp;id=1p0umA6oALCJiPY5_Irhm8Vuc9Jwd-tGq")</f>
        <v/>
      </c>
      <c r="J17" s="19" t="s">
        <v>16</v>
      </c>
      <c r="K17" s="43" t="s">
        <v>7</v>
      </c>
      <c r="L17" s="19">
        <v>32.0</v>
      </c>
      <c r="M17" s="19">
        <v>3.0</v>
      </c>
    </row>
    <row r="18">
      <c r="A18" s="19">
        <v>17.0</v>
      </c>
      <c r="B18" s="19" t="s">
        <v>175</v>
      </c>
      <c r="C18" s="19" t="s">
        <v>176</v>
      </c>
      <c r="D18" s="19" t="s">
        <v>177</v>
      </c>
      <c r="E18" s="43">
        <v>0.667</v>
      </c>
      <c r="F18" s="43">
        <v>0.0</v>
      </c>
      <c r="G18" s="43">
        <v>0.0</v>
      </c>
      <c r="H18" s="43">
        <v>0.333</v>
      </c>
      <c r="I18" s="44" t="str">
        <f>IMAGE("https://drive.google.com/uc?export=view&amp;id=1mqSHgo2h4GpJNcjeUwDWg6YbRXGip_bh")</f>
        <v/>
      </c>
      <c r="J18" s="19" t="s">
        <v>16</v>
      </c>
      <c r="K18" s="43" t="s">
        <v>7</v>
      </c>
      <c r="L18" s="19">
        <v>32.0</v>
      </c>
      <c r="M18" s="19">
        <v>3.0</v>
      </c>
    </row>
    <row r="19">
      <c r="A19" s="19">
        <v>18.0</v>
      </c>
      <c r="B19" s="19" t="s">
        <v>178</v>
      </c>
      <c r="C19" s="19" t="s">
        <v>179</v>
      </c>
      <c r="D19" s="19" t="s">
        <v>180</v>
      </c>
      <c r="E19" s="43">
        <v>0.111</v>
      </c>
      <c r="F19" s="43">
        <v>0.863</v>
      </c>
      <c r="G19" s="43">
        <v>0.0</v>
      </c>
      <c r="H19" s="43">
        <v>0.0</v>
      </c>
      <c r="I19" s="44" t="str">
        <f>IMAGE("https://drive.google.com/uc?export=view&amp;id=1yPmKAELlL9sBrFvofBw-OVm1mQaxVPwR")</f>
        <v/>
      </c>
      <c r="J19" s="19" t="s">
        <v>16</v>
      </c>
      <c r="K19" s="43" t="s">
        <v>7</v>
      </c>
      <c r="L19" s="19">
        <v>32.0</v>
      </c>
      <c r="M19" s="19">
        <v>3.0</v>
      </c>
    </row>
    <row r="20">
      <c r="A20" s="19">
        <v>19.0</v>
      </c>
      <c r="B20" s="19" t="s">
        <v>193</v>
      </c>
      <c r="C20" s="19" t="s">
        <v>194</v>
      </c>
      <c r="D20" s="19" t="s">
        <v>195</v>
      </c>
      <c r="E20" s="43">
        <v>0.222</v>
      </c>
      <c r="F20" s="43">
        <v>0.389</v>
      </c>
      <c r="G20" s="43">
        <v>0.333</v>
      </c>
      <c r="H20" s="43">
        <v>0.0</v>
      </c>
      <c r="I20" s="44" t="str">
        <f>IMAGE("https://drive.google.com/uc?export=view&amp;id=1F0M_5Bgc1foHunLrgY4xgC33q47AMySd")</f>
        <v/>
      </c>
      <c r="J20" s="19" t="s">
        <v>16</v>
      </c>
      <c r="K20" s="43" t="s">
        <v>7</v>
      </c>
      <c r="L20" s="19">
        <v>32.0</v>
      </c>
      <c r="M20" s="19">
        <v>3.0</v>
      </c>
    </row>
    <row r="21">
      <c r="A21" s="19">
        <v>20.0</v>
      </c>
      <c r="B21" s="19" t="s">
        <v>196</v>
      </c>
      <c r="C21" s="19" t="s">
        <v>197</v>
      </c>
      <c r="D21" s="19" t="s">
        <v>198</v>
      </c>
      <c r="E21" s="43">
        <v>1.0</v>
      </c>
      <c r="F21" s="43">
        <v>0.0</v>
      </c>
      <c r="G21" s="43">
        <v>0.0</v>
      </c>
      <c r="H21" s="43">
        <v>0.571</v>
      </c>
      <c r="I21" s="44" t="str">
        <f>IMAGE("https://drive.google.com/uc?export=view&amp;id=18anli5Uya-MohZyBN7MI6gZYWv8SLaQj")</f>
        <v/>
      </c>
      <c r="J21" s="19" t="s">
        <v>16</v>
      </c>
      <c r="K21" s="43" t="s">
        <v>7</v>
      </c>
      <c r="L21" s="19">
        <v>32.0</v>
      </c>
      <c r="M21" s="19">
        <v>3.0</v>
      </c>
    </row>
    <row r="22">
      <c r="A22" s="19">
        <v>21.0</v>
      </c>
      <c r="B22" s="19" t="s">
        <v>199</v>
      </c>
      <c r="C22" s="19" t="s">
        <v>200</v>
      </c>
      <c r="D22" s="19" t="s">
        <v>201</v>
      </c>
      <c r="E22" s="43">
        <v>0.25</v>
      </c>
      <c r="F22" s="43">
        <v>0.862</v>
      </c>
      <c r="G22" s="43">
        <v>0.5</v>
      </c>
      <c r="H22" s="43">
        <v>0.857</v>
      </c>
      <c r="I22" s="44" t="str">
        <f>IMAGE("https://drive.google.com/uc?export=view&amp;id=1KutkJ5-U0ZD_Jli1HXn7GZrZJXLyz6YJ")</f>
        <v/>
      </c>
      <c r="J22" s="19" t="s">
        <v>16</v>
      </c>
      <c r="K22" s="43" t="s">
        <v>7</v>
      </c>
      <c r="L22" s="19">
        <v>32.0</v>
      </c>
      <c r="M22" s="19">
        <v>3.0</v>
      </c>
    </row>
    <row r="23">
      <c r="A23" s="19">
        <v>22.0</v>
      </c>
      <c r="B23" s="19" t="s">
        <v>202</v>
      </c>
      <c r="C23" s="19" t="s">
        <v>203</v>
      </c>
      <c r="D23" s="19" t="s">
        <v>204</v>
      </c>
      <c r="E23" s="43">
        <v>0.462</v>
      </c>
      <c r="F23" s="43">
        <v>0.605</v>
      </c>
      <c r="G23" s="43">
        <v>0.0</v>
      </c>
      <c r="H23" s="43">
        <v>1.0</v>
      </c>
      <c r="I23" s="44" t="str">
        <f>IMAGE("https://drive.google.com/uc?export=view&amp;id=1BjIT34BE5CT_6n7GJnrYjIuv9NDs9gft")</f>
        <v/>
      </c>
      <c r="J23" s="19" t="s">
        <v>16</v>
      </c>
      <c r="K23" s="43" t="s">
        <v>7</v>
      </c>
      <c r="L23" s="19">
        <v>32.0</v>
      </c>
      <c r="M23" s="19">
        <v>3.0</v>
      </c>
    </row>
    <row r="24">
      <c r="A24" s="19">
        <v>23.0</v>
      </c>
      <c r="B24" s="19" t="s">
        <v>205</v>
      </c>
      <c r="C24" s="19" t="s">
        <v>206</v>
      </c>
      <c r="D24" s="19" t="s">
        <v>207</v>
      </c>
      <c r="E24" s="43">
        <v>0.0</v>
      </c>
      <c r="F24" s="43">
        <v>1.0</v>
      </c>
      <c r="G24" s="43">
        <v>0.5</v>
      </c>
      <c r="H24" s="43">
        <v>0.0</v>
      </c>
      <c r="I24" s="44" t="str">
        <f>IMAGE("https://drive.google.com/uc?export=view&amp;id=1BnknDk_7LOEv8jrFLoPv7Fm6YJTa_p_9")</f>
        <v/>
      </c>
      <c r="J24" s="19" t="s">
        <v>16</v>
      </c>
      <c r="K24" s="43" t="s">
        <v>7</v>
      </c>
      <c r="L24" s="19">
        <v>32.0</v>
      </c>
      <c r="M24" s="19">
        <v>3.0</v>
      </c>
    </row>
    <row r="25">
      <c r="A25" s="19">
        <v>24.0</v>
      </c>
      <c r="B25" s="19" t="s">
        <v>217</v>
      </c>
      <c r="C25" s="19" t="s">
        <v>218</v>
      </c>
      <c r="D25" s="19" t="s">
        <v>219</v>
      </c>
      <c r="E25" s="43">
        <v>0.714</v>
      </c>
      <c r="F25" s="43">
        <v>0.803</v>
      </c>
      <c r="G25" s="43">
        <v>0.0</v>
      </c>
      <c r="H25" s="43">
        <v>0.0</v>
      </c>
      <c r="I25" s="44" t="str">
        <f>IMAGE("https://drive.google.com/uc?export=view&amp;id=1LkOzJNVZWdyvawAH45jPXoDnqwPUfT0q")</f>
        <v/>
      </c>
      <c r="J25" s="19" t="s">
        <v>16</v>
      </c>
      <c r="K25" s="43" t="s">
        <v>7</v>
      </c>
      <c r="L25" s="19">
        <v>32.0</v>
      </c>
      <c r="M25" s="19">
        <v>3.0</v>
      </c>
    </row>
    <row r="26">
      <c r="A26" s="19">
        <v>25.0</v>
      </c>
      <c r="B26" s="19" t="s">
        <v>226</v>
      </c>
      <c r="C26" s="19" t="s">
        <v>227</v>
      </c>
      <c r="D26" s="19" t="s">
        <v>228</v>
      </c>
      <c r="E26" s="43">
        <v>1.0</v>
      </c>
      <c r="F26" s="43">
        <v>0.0</v>
      </c>
      <c r="G26" s="43">
        <v>0.0</v>
      </c>
      <c r="H26" s="43">
        <v>1.0</v>
      </c>
      <c r="I26" s="44" t="str">
        <f>IMAGE("https://drive.google.com/uc?export=view&amp;id=1uFlYVq6dWmlQ629Fu8GGgK0oXMbKRF3c")</f>
        <v/>
      </c>
      <c r="J26" s="19" t="s">
        <v>17</v>
      </c>
      <c r="K26" s="43" t="s">
        <v>7</v>
      </c>
      <c r="L26" s="19">
        <v>32.0</v>
      </c>
      <c r="M26" s="19">
        <v>3.0</v>
      </c>
    </row>
    <row r="27">
      <c r="A27" s="19">
        <v>26.0</v>
      </c>
      <c r="B27" s="19" t="s">
        <v>229</v>
      </c>
      <c r="C27" s="19" t="s">
        <v>230</v>
      </c>
      <c r="D27" s="19" t="s">
        <v>231</v>
      </c>
      <c r="E27" s="43">
        <v>0.818</v>
      </c>
      <c r="F27" s="43">
        <v>0.0</v>
      </c>
      <c r="G27" s="43">
        <v>0.0</v>
      </c>
      <c r="H27" s="43">
        <v>0.8</v>
      </c>
      <c r="I27" s="44" t="str">
        <f>IMAGE("https://drive.google.com/uc?export=view&amp;id=1kv54n0gylMmhluXY0Qnkx8xuriQV38Ua")</f>
        <v/>
      </c>
      <c r="J27" s="19" t="s">
        <v>17</v>
      </c>
      <c r="K27" s="43" t="s">
        <v>7</v>
      </c>
      <c r="L27" s="19">
        <v>32.0</v>
      </c>
      <c r="M27" s="19">
        <v>3.0</v>
      </c>
    </row>
    <row r="28">
      <c r="A28" s="19">
        <v>27.0</v>
      </c>
      <c r="B28" s="19" t="s">
        <v>241</v>
      </c>
      <c r="C28" s="19" t="s">
        <v>242</v>
      </c>
      <c r="D28" s="19" t="s">
        <v>243</v>
      </c>
      <c r="E28" s="43">
        <v>0.917</v>
      </c>
      <c r="F28" s="43">
        <v>0.0</v>
      </c>
      <c r="G28" s="43">
        <v>0.0</v>
      </c>
      <c r="H28" s="43">
        <v>0.833</v>
      </c>
      <c r="I28" s="44" t="str">
        <f>IMAGE("https://drive.google.com/uc?export=view&amp;id=1iqffCmtCGaHX4Ei3hd9y5PlBKdVoeDg3")</f>
        <v/>
      </c>
      <c r="J28" s="19" t="s">
        <v>17</v>
      </c>
      <c r="K28" s="43" t="s">
        <v>7</v>
      </c>
      <c r="L28" s="19">
        <v>32.0</v>
      </c>
      <c r="M28" s="19">
        <v>3.0</v>
      </c>
    </row>
    <row r="29">
      <c r="A29" s="19">
        <v>28.0</v>
      </c>
      <c r="B29" s="19" t="s">
        <v>244</v>
      </c>
      <c r="C29" s="19" t="s">
        <v>245</v>
      </c>
      <c r="D29" s="19" t="s">
        <v>246</v>
      </c>
      <c r="E29" s="43">
        <v>0.667</v>
      </c>
      <c r="F29" s="43">
        <v>0.637</v>
      </c>
      <c r="G29" s="43">
        <v>0.0</v>
      </c>
      <c r="H29" s="43">
        <v>0.75</v>
      </c>
      <c r="I29" s="44" t="str">
        <f>IMAGE("https://drive.google.com/uc?export=view&amp;id=1vs1C56Z_EVjyDuFeiNeVXZPu9RO_L1_T")</f>
        <v/>
      </c>
      <c r="J29" s="19" t="s">
        <v>17</v>
      </c>
      <c r="K29" s="43" t="s">
        <v>7</v>
      </c>
      <c r="L29" s="19">
        <v>32.0</v>
      </c>
      <c r="M29" s="19">
        <v>3.0</v>
      </c>
    </row>
    <row r="30">
      <c r="A30" s="19">
        <v>29.0</v>
      </c>
      <c r="B30" s="19" t="s">
        <v>247</v>
      </c>
      <c r="C30" s="19" t="s">
        <v>248</v>
      </c>
      <c r="D30" s="19" t="s">
        <v>249</v>
      </c>
      <c r="E30" s="43">
        <v>1.0</v>
      </c>
      <c r="F30" s="43">
        <v>0.0</v>
      </c>
      <c r="G30" s="43">
        <v>0.0</v>
      </c>
      <c r="H30" s="43">
        <v>0.833</v>
      </c>
      <c r="I30" s="44" t="str">
        <f>IMAGE("https://drive.google.com/uc?export=view&amp;id=1uMgvkwNStSgXGIN25euRxEVKvjY-CpgW")</f>
        <v/>
      </c>
      <c r="J30" s="19" t="s">
        <v>17</v>
      </c>
      <c r="K30" s="43" t="s">
        <v>7</v>
      </c>
      <c r="L30" s="19">
        <v>32.0</v>
      </c>
      <c r="M30" s="19">
        <v>3.0</v>
      </c>
    </row>
    <row r="31">
      <c r="A31" s="19">
        <v>30.0</v>
      </c>
      <c r="B31" s="19" t="s">
        <v>250</v>
      </c>
      <c r="C31" s="19" t="s">
        <v>251</v>
      </c>
      <c r="D31" s="19" t="s">
        <v>252</v>
      </c>
      <c r="E31" s="43">
        <v>0.692</v>
      </c>
      <c r="F31" s="43">
        <v>0.0</v>
      </c>
      <c r="G31" s="43">
        <v>0.0</v>
      </c>
      <c r="H31" s="43">
        <v>0.857</v>
      </c>
      <c r="I31" s="44" t="str">
        <f>IMAGE("https://drive.google.com/uc?export=view&amp;id=1jw-5ZWzDr5PS8nGAVDqKEO-SXszidSu3")</f>
        <v/>
      </c>
      <c r="J31" s="19" t="s">
        <v>17</v>
      </c>
      <c r="K31" s="43" t="s">
        <v>7</v>
      </c>
      <c r="L31" s="19">
        <v>32.0</v>
      </c>
      <c r="M31" s="19">
        <v>3.0</v>
      </c>
    </row>
    <row r="32">
      <c r="A32" s="19">
        <v>31.0</v>
      </c>
      <c r="B32" s="19" t="s">
        <v>259</v>
      </c>
      <c r="C32" s="19" t="s">
        <v>260</v>
      </c>
      <c r="D32" s="19" t="s">
        <v>261</v>
      </c>
      <c r="E32" s="43">
        <v>0.857</v>
      </c>
      <c r="F32" s="43">
        <v>0.0</v>
      </c>
      <c r="G32" s="43">
        <v>0.0</v>
      </c>
      <c r="H32" s="43">
        <v>0.0</v>
      </c>
      <c r="I32" s="44" t="str">
        <f>IMAGE("https://drive.google.com/uc?export=view&amp;id=10mhDHsMU6OWSJdzXOmCAH07FSnJxxfE-")</f>
        <v/>
      </c>
      <c r="J32" s="19" t="s">
        <v>17</v>
      </c>
      <c r="K32" s="43" t="s">
        <v>7</v>
      </c>
      <c r="L32" s="19">
        <v>32.0</v>
      </c>
      <c r="M32" s="19">
        <v>3.0</v>
      </c>
    </row>
    <row r="33">
      <c r="A33" s="19">
        <v>32.0</v>
      </c>
      <c r="B33" s="19" t="s">
        <v>262</v>
      </c>
      <c r="C33" s="19" t="s">
        <v>263</v>
      </c>
      <c r="D33" s="19" t="s">
        <v>264</v>
      </c>
      <c r="E33" s="43">
        <v>0.0</v>
      </c>
      <c r="F33" s="43">
        <v>1.0</v>
      </c>
      <c r="G33" s="43">
        <v>0.0</v>
      </c>
      <c r="H33" s="43">
        <v>1.0</v>
      </c>
      <c r="I33" s="44" t="str">
        <f>IMAGE("https://drive.google.com/uc?export=view&amp;id=1qTEbfOgyDguepKtBYIfHvcbse6P_Z3ZG")</f>
        <v/>
      </c>
      <c r="J33" s="19" t="s">
        <v>17</v>
      </c>
      <c r="K33" s="43" t="s">
        <v>7</v>
      </c>
      <c r="L33" s="19">
        <v>32.0</v>
      </c>
      <c r="M33" s="19">
        <v>3.0</v>
      </c>
    </row>
    <row r="34">
      <c r="A34" s="19">
        <v>33.0</v>
      </c>
      <c r="B34" s="19" t="s">
        <v>265</v>
      </c>
      <c r="C34" s="19" t="s">
        <v>266</v>
      </c>
      <c r="D34" s="19" t="s">
        <v>267</v>
      </c>
      <c r="E34" s="43">
        <v>0.5</v>
      </c>
      <c r="F34" s="43">
        <v>0.978</v>
      </c>
      <c r="G34" s="43">
        <v>0.333</v>
      </c>
      <c r="H34" s="43">
        <v>1.0</v>
      </c>
      <c r="I34" s="44" t="str">
        <f>IMAGE("https://drive.google.com/uc?export=view&amp;id=1SfHJO37HjRiEYtR0DDD7dh0sDLFPyKVJ")</f>
        <v/>
      </c>
      <c r="J34" s="19" t="s">
        <v>17</v>
      </c>
      <c r="K34" s="43" t="s">
        <v>7</v>
      </c>
      <c r="L34" s="19">
        <v>32.0</v>
      </c>
      <c r="M34" s="19">
        <v>3.0</v>
      </c>
    </row>
    <row r="35">
      <c r="A35" s="19">
        <v>34.0</v>
      </c>
      <c r="B35" s="19" t="s">
        <v>277</v>
      </c>
      <c r="C35" s="19" t="s">
        <v>278</v>
      </c>
      <c r="D35" s="19" t="s">
        <v>279</v>
      </c>
      <c r="E35" s="43">
        <v>0.5</v>
      </c>
      <c r="F35" s="43">
        <v>1.0</v>
      </c>
      <c r="G35" s="43">
        <v>0.5</v>
      </c>
      <c r="H35" s="43">
        <v>1.0</v>
      </c>
      <c r="I35" s="44" t="str">
        <f>IMAGE("https://drive.google.com/uc?export=view&amp;id=175n6mpYgKwk7BFRj3FRdnjxbiqkU4rTZ")</f>
        <v/>
      </c>
      <c r="J35" s="19" t="s">
        <v>17</v>
      </c>
      <c r="K35" s="43" t="s">
        <v>7</v>
      </c>
      <c r="L35" s="19">
        <v>32.0</v>
      </c>
      <c r="M35" s="19">
        <v>3.0</v>
      </c>
    </row>
    <row r="36">
      <c r="A36" s="19">
        <v>35.0</v>
      </c>
      <c r="B36" s="19" t="s">
        <v>280</v>
      </c>
      <c r="C36" s="19" t="s">
        <v>281</v>
      </c>
      <c r="D36" s="19" t="s">
        <v>282</v>
      </c>
      <c r="E36" s="43">
        <v>0.6</v>
      </c>
      <c r="F36" s="43">
        <v>0.0</v>
      </c>
      <c r="G36" s="43">
        <v>0.0</v>
      </c>
      <c r="H36" s="43">
        <v>0.0</v>
      </c>
      <c r="I36" s="44" t="str">
        <f>IMAGE("https://drive.google.com/uc?export=view&amp;id=1h_dN3xp9cAkAiI7fms_HH8-bsP3OpOIV")</f>
        <v/>
      </c>
      <c r="J36" s="19" t="s">
        <v>17</v>
      </c>
      <c r="K36" s="43" t="s">
        <v>7</v>
      </c>
      <c r="L36" s="19">
        <v>32.0</v>
      </c>
      <c r="M36" s="19">
        <v>3.0</v>
      </c>
    </row>
    <row r="37">
      <c r="A37" s="19">
        <v>36.0</v>
      </c>
      <c r="B37" s="47" t="s">
        <v>49</v>
      </c>
      <c r="C37" s="47" t="s">
        <v>288</v>
      </c>
      <c r="D37" s="47" t="s">
        <v>289</v>
      </c>
      <c r="E37" s="48">
        <v>1.0</v>
      </c>
      <c r="F37" s="48">
        <v>0.0</v>
      </c>
      <c r="G37" s="48">
        <v>0.333</v>
      </c>
      <c r="H37" s="48">
        <v>0.8</v>
      </c>
      <c r="I37" s="44" t="str">
        <f>IMAGE("https://drive.google.com/uc?export=view&amp;id=1hUTwgIpVD0-2KBRwGUSeaAhE6SdJ8Ttr")</f>
        <v/>
      </c>
      <c r="J37" s="19" t="s">
        <v>14</v>
      </c>
      <c r="K37" s="43" t="s">
        <v>7</v>
      </c>
      <c r="L37" s="19">
        <v>32.0</v>
      </c>
      <c r="M37" s="19">
        <v>5.0</v>
      </c>
    </row>
    <row r="38">
      <c r="A38" s="19">
        <v>37.0</v>
      </c>
      <c r="B38" s="47" t="s">
        <v>64</v>
      </c>
      <c r="C38" s="47" t="s">
        <v>298</v>
      </c>
      <c r="D38" s="47" t="s">
        <v>299</v>
      </c>
      <c r="E38" s="48">
        <v>0.5</v>
      </c>
      <c r="F38" s="48">
        <v>0.471</v>
      </c>
      <c r="G38" s="48">
        <v>0.0</v>
      </c>
      <c r="H38" s="48">
        <v>0.833</v>
      </c>
      <c r="I38" s="44" t="str">
        <f>IMAGE("https://drive.google.com/uc?export=view&amp;id=10b3bm5d9HKLWIItwCfa1wgj-fYC0RaVY")</f>
        <v/>
      </c>
      <c r="J38" s="19" t="s">
        <v>14</v>
      </c>
      <c r="K38" s="43" t="s">
        <v>7</v>
      </c>
      <c r="L38" s="19">
        <v>32.0</v>
      </c>
      <c r="M38" s="19">
        <v>5.0</v>
      </c>
    </row>
    <row r="39">
      <c r="A39" s="19">
        <v>38.0</v>
      </c>
      <c r="B39" s="47" t="s">
        <v>70</v>
      </c>
      <c r="C39" s="47" t="s">
        <v>302</v>
      </c>
      <c r="D39" s="47" t="s">
        <v>303</v>
      </c>
      <c r="E39" s="48">
        <v>0.444</v>
      </c>
      <c r="F39" s="48">
        <v>0.812</v>
      </c>
      <c r="G39" s="48">
        <v>0.2</v>
      </c>
      <c r="H39" s="48">
        <v>1.0</v>
      </c>
      <c r="I39" s="44" t="str">
        <f>IMAGE("https://drive.google.com/uc?export=view&amp;id=1XzeKHIoV5VZ9LcUBPRKmEUyV2O3eawy2")</f>
        <v/>
      </c>
      <c r="J39" s="19" t="s">
        <v>14</v>
      </c>
      <c r="K39" s="43" t="s">
        <v>7</v>
      </c>
      <c r="L39" s="19">
        <v>32.0</v>
      </c>
      <c r="M39" s="19">
        <v>5.0</v>
      </c>
    </row>
    <row r="40">
      <c r="A40" s="19">
        <v>39.0</v>
      </c>
      <c r="B40" s="47" t="s">
        <v>73</v>
      </c>
      <c r="C40" s="47" t="s">
        <v>304</v>
      </c>
      <c r="D40" s="47" t="s">
        <v>305</v>
      </c>
      <c r="E40" s="48">
        <v>0.778</v>
      </c>
      <c r="F40" s="48">
        <v>0.849</v>
      </c>
      <c r="G40" s="48">
        <v>0.417</v>
      </c>
      <c r="H40" s="48">
        <v>0.833</v>
      </c>
      <c r="I40" s="44" t="str">
        <f>IMAGE("https://drive.google.com/uc?export=view&amp;id=1eeQYVVD_msm7F-4pHYF3UE4JZXSuyhsf")</f>
        <v/>
      </c>
      <c r="J40" s="19" t="s">
        <v>14</v>
      </c>
      <c r="K40" s="43" t="s">
        <v>7</v>
      </c>
      <c r="L40" s="19">
        <v>32.0</v>
      </c>
      <c r="M40" s="19">
        <v>5.0</v>
      </c>
    </row>
    <row r="41">
      <c r="A41" s="19">
        <v>40.0</v>
      </c>
      <c r="B41" s="47" t="s">
        <v>79</v>
      </c>
      <c r="C41" s="47" t="s">
        <v>308</v>
      </c>
      <c r="D41" s="47" t="s">
        <v>309</v>
      </c>
      <c r="E41" s="48">
        <v>0.571</v>
      </c>
      <c r="F41" s="48">
        <v>0.0</v>
      </c>
      <c r="G41" s="48">
        <v>0.0</v>
      </c>
      <c r="H41" s="48">
        <v>1.0</v>
      </c>
      <c r="I41" s="44" t="str">
        <f>IMAGE("https://drive.google.com/uc?export=view&amp;id=18jsZy_NC7eyaajHCfVWrj1HO1hVtHBwE")</f>
        <v/>
      </c>
      <c r="J41" s="19" t="s">
        <v>14</v>
      </c>
      <c r="K41" s="43" t="s">
        <v>7</v>
      </c>
      <c r="L41" s="19">
        <v>32.0</v>
      </c>
      <c r="M41" s="19">
        <v>5.0</v>
      </c>
    </row>
    <row r="42">
      <c r="A42" s="19">
        <v>41.0</v>
      </c>
      <c r="B42" s="47" t="s">
        <v>82</v>
      </c>
      <c r="C42" s="47" t="s">
        <v>310</v>
      </c>
      <c r="D42" s="47" t="s">
        <v>311</v>
      </c>
      <c r="E42" s="48">
        <v>1.0</v>
      </c>
      <c r="F42" s="48">
        <v>0.634</v>
      </c>
      <c r="G42" s="48">
        <v>0.417</v>
      </c>
      <c r="H42" s="48">
        <v>1.0</v>
      </c>
      <c r="I42" s="44" t="str">
        <f>IMAGE("https://drive.google.com/uc?export=view&amp;id=1h5Et1JPyrrEvHQrUZ5E1NvyXg6TfrOfW")</f>
        <v/>
      </c>
      <c r="J42" s="19" t="s">
        <v>14</v>
      </c>
      <c r="K42" s="43" t="s">
        <v>7</v>
      </c>
      <c r="L42" s="19">
        <v>32.0</v>
      </c>
      <c r="M42" s="19">
        <v>5.0</v>
      </c>
    </row>
    <row r="43">
      <c r="A43" s="19">
        <v>42.0</v>
      </c>
      <c r="B43" s="47" t="s">
        <v>85</v>
      </c>
      <c r="C43" s="47" t="s">
        <v>312</v>
      </c>
      <c r="D43" s="47" t="s">
        <v>313</v>
      </c>
      <c r="E43" s="48">
        <v>0.75</v>
      </c>
      <c r="F43" s="48">
        <v>0.982</v>
      </c>
      <c r="G43" s="48">
        <v>0.5</v>
      </c>
      <c r="H43" s="48">
        <v>0.0</v>
      </c>
      <c r="I43" s="44" t="str">
        <f>IMAGE("https://drive.google.com/uc?export=view&amp;id=10zh8wIP8cd-ExtNEBSI1xV2MfgyQ-p2X")</f>
        <v/>
      </c>
      <c r="J43" s="19" t="s">
        <v>14</v>
      </c>
      <c r="K43" s="43" t="s">
        <v>7</v>
      </c>
      <c r="L43" s="19">
        <v>32.0</v>
      </c>
      <c r="M43" s="19">
        <v>5.0</v>
      </c>
    </row>
    <row r="44">
      <c r="A44" s="19">
        <v>43.0</v>
      </c>
      <c r="B44" s="47" t="s">
        <v>88</v>
      </c>
      <c r="C44" s="47" t="s">
        <v>314</v>
      </c>
      <c r="D44" s="47" t="s">
        <v>315</v>
      </c>
      <c r="E44" s="48">
        <v>0.875</v>
      </c>
      <c r="F44" s="48">
        <v>0.0</v>
      </c>
      <c r="G44" s="48">
        <v>0.0</v>
      </c>
      <c r="H44" s="48">
        <v>1.0</v>
      </c>
      <c r="I44" s="44" t="str">
        <f>IMAGE("https://drive.google.com/uc?export=view&amp;id=1rkawDHH9onpP4ySOoYnaCAULtzHs6gIT")</f>
        <v/>
      </c>
      <c r="J44" s="19" t="s">
        <v>14</v>
      </c>
      <c r="K44" s="43" t="s">
        <v>7</v>
      </c>
      <c r="L44" s="19">
        <v>32.0</v>
      </c>
      <c r="M44" s="19">
        <v>5.0</v>
      </c>
    </row>
    <row r="45">
      <c r="A45" s="19">
        <v>44.0</v>
      </c>
      <c r="B45" s="47" t="s">
        <v>94</v>
      </c>
      <c r="C45" s="47" t="s">
        <v>316</v>
      </c>
      <c r="D45" s="47" t="s">
        <v>317</v>
      </c>
      <c r="E45" s="48">
        <v>0.875</v>
      </c>
      <c r="F45" s="48">
        <v>0.575</v>
      </c>
      <c r="G45" s="48">
        <v>0.333</v>
      </c>
      <c r="H45" s="48">
        <v>0.3</v>
      </c>
      <c r="I45" s="44" t="str">
        <f>IMAGE("https://drive.google.com/uc?export=view&amp;id=1HUdaj3LodGs8x_bd9AQezQNCD0TcPcSm")</f>
        <v/>
      </c>
      <c r="J45" s="19" t="s">
        <v>14</v>
      </c>
      <c r="K45" s="43" t="s">
        <v>7</v>
      </c>
      <c r="L45" s="19">
        <v>32.0</v>
      </c>
      <c r="M45" s="19">
        <v>5.0</v>
      </c>
    </row>
    <row r="46">
      <c r="A46" s="19">
        <v>45.0</v>
      </c>
      <c r="B46" s="47" t="s">
        <v>100</v>
      </c>
      <c r="C46" s="47" t="s">
        <v>318</v>
      </c>
      <c r="D46" s="47" t="s">
        <v>319</v>
      </c>
      <c r="E46" s="48">
        <v>0.636</v>
      </c>
      <c r="F46" s="48">
        <v>0.965</v>
      </c>
      <c r="G46" s="48">
        <v>0.0</v>
      </c>
      <c r="H46" s="48">
        <v>1.0</v>
      </c>
      <c r="I46" s="44" t="str">
        <f>IMAGE("https://drive.google.com/uc?export=view&amp;id=115_uXqSfodQ7vWGGrWiUZ4-nnEge1DWJ")</f>
        <v/>
      </c>
      <c r="J46" s="19" t="s">
        <v>14</v>
      </c>
      <c r="K46" s="43" t="s">
        <v>7</v>
      </c>
      <c r="L46" s="19">
        <v>32.0</v>
      </c>
      <c r="M46" s="19">
        <v>5.0</v>
      </c>
    </row>
    <row r="47">
      <c r="A47" s="19">
        <v>46.0</v>
      </c>
      <c r="B47" s="47" t="s">
        <v>97</v>
      </c>
      <c r="C47" s="47" t="s">
        <v>324</v>
      </c>
      <c r="D47" s="47" t="s">
        <v>325</v>
      </c>
      <c r="E47" s="48">
        <v>1.0</v>
      </c>
      <c r="F47" s="48">
        <v>0.963</v>
      </c>
      <c r="G47" s="48">
        <v>0.5</v>
      </c>
      <c r="H47" s="48">
        <v>1.0</v>
      </c>
      <c r="I47" s="44" t="str">
        <f>IMAGE("https://drive.google.com/uc?export=view&amp;id=19ig3muR3EXCJO2d9SU4coFKLamjJ-lpw")</f>
        <v/>
      </c>
      <c r="J47" s="19" t="s">
        <v>14</v>
      </c>
      <c r="K47" s="43" t="s">
        <v>7</v>
      </c>
      <c r="L47" s="19">
        <v>32.0</v>
      </c>
      <c r="M47" s="19">
        <v>5.0</v>
      </c>
    </row>
    <row r="48">
      <c r="A48" s="19">
        <v>47.0</v>
      </c>
      <c r="B48" s="47" t="s">
        <v>106</v>
      </c>
      <c r="C48" s="47" t="s">
        <v>328</v>
      </c>
      <c r="D48" s="47" t="s">
        <v>329</v>
      </c>
      <c r="E48" s="48">
        <v>0.786</v>
      </c>
      <c r="F48" s="48">
        <v>0.0</v>
      </c>
      <c r="G48" s="48">
        <v>0.0</v>
      </c>
      <c r="H48" s="48">
        <v>0.667</v>
      </c>
      <c r="I48" s="44" t="str">
        <f>IMAGE("https://drive.google.com/uc?export=view&amp;id=1DU30dOWBRyw_clYB6wYejdkWTAETfJaN")</f>
        <v/>
      </c>
      <c r="J48" s="19" t="s">
        <v>15</v>
      </c>
      <c r="K48" s="43" t="s">
        <v>7</v>
      </c>
      <c r="L48" s="19">
        <v>32.0</v>
      </c>
      <c r="M48" s="19">
        <v>5.0</v>
      </c>
    </row>
    <row r="49">
      <c r="A49" s="19">
        <v>48.0</v>
      </c>
      <c r="B49" s="47" t="s">
        <v>121</v>
      </c>
      <c r="C49" s="47" t="s">
        <v>336</v>
      </c>
      <c r="D49" s="47" t="s">
        <v>337</v>
      </c>
      <c r="E49" s="48">
        <v>0.909</v>
      </c>
      <c r="F49" s="48">
        <v>0.997</v>
      </c>
      <c r="G49" s="48">
        <v>0.45</v>
      </c>
      <c r="H49" s="48">
        <v>0.2</v>
      </c>
      <c r="I49" s="44" t="str">
        <f>IMAGE("https://drive.google.com/uc?export=view&amp;id=1rq-FabmxPxq2Xq1h_mbIKB09E4Utx8cf")</f>
        <v/>
      </c>
      <c r="J49" s="19" t="s">
        <v>15</v>
      </c>
      <c r="K49" s="43" t="s">
        <v>7</v>
      </c>
      <c r="L49" s="19">
        <v>32.0</v>
      </c>
      <c r="M49" s="19">
        <v>5.0</v>
      </c>
    </row>
    <row r="50">
      <c r="A50" s="19">
        <v>49.0</v>
      </c>
      <c r="B50" s="47" t="s">
        <v>124</v>
      </c>
      <c r="C50" s="47" t="s">
        <v>338</v>
      </c>
      <c r="D50" s="47" t="s">
        <v>339</v>
      </c>
      <c r="E50" s="48">
        <v>0.0</v>
      </c>
      <c r="F50" s="48">
        <v>0.908</v>
      </c>
      <c r="G50" s="48">
        <v>0.0</v>
      </c>
      <c r="H50" s="48">
        <v>0.333</v>
      </c>
      <c r="I50" s="44" t="str">
        <f>IMAGE("https://drive.google.com/uc?export=view&amp;id=1FBNlDPS2W-UqdDayyzPuH68ohvi6zesR")</f>
        <v/>
      </c>
      <c r="J50" s="19" t="s">
        <v>15</v>
      </c>
      <c r="K50" s="43" t="s">
        <v>7</v>
      </c>
      <c r="L50" s="19">
        <v>32.0</v>
      </c>
      <c r="M50" s="19">
        <v>5.0</v>
      </c>
    </row>
    <row r="51">
      <c r="A51" s="19">
        <v>50.0</v>
      </c>
      <c r="B51" s="47" t="s">
        <v>133</v>
      </c>
      <c r="C51" s="47" t="s">
        <v>344</v>
      </c>
      <c r="D51" s="47" t="s">
        <v>345</v>
      </c>
      <c r="E51" s="48">
        <v>0.05</v>
      </c>
      <c r="F51" s="48">
        <v>0.993</v>
      </c>
      <c r="G51" s="48">
        <v>0.0</v>
      </c>
      <c r="H51" s="48">
        <v>0.583</v>
      </c>
      <c r="I51" s="44" t="str">
        <f>IMAGE("https://drive.google.com/uc?export=view&amp;id=19t7htM7HKok6D4MNOrYXeGCxv8JZRQTA")</f>
        <v/>
      </c>
      <c r="J51" s="19" t="s">
        <v>15</v>
      </c>
      <c r="K51" s="43" t="s">
        <v>7</v>
      </c>
      <c r="L51" s="19">
        <v>32.0</v>
      </c>
      <c r="M51" s="19">
        <v>5.0</v>
      </c>
    </row>
    <row r="52">
      <c r="A52" s="19">
        <v>51.0</v>
      </c>
      <c r="B52" s="47" t="s">
        <v>145</v>
      </c>
      <c r="C52" s="47" t="s">
        <v>352</v>
      </c>
      <c r="D52" s="47" t="s">
        <v>353</v>
      </c>
      <c r="E52" s="48">
        <v>0.583</v>
      </c>
      <c r="F52" s="48">
        <v>0.0</v>
      </c>
      <c r="G52" s="48">
        <v>0.0</v>
      </c>
      <c r="H52" s="48">
        <v>0.8</v>
      </c>
      <c r="I52" s="44" t="str">
        <f>IMAGE("https://drive.google.com/uc?export=view&amp;id=1pLXNdcwhpBRiDitC4vhw3B2CBkGuD4Ej")</f>
        <v/>
      </c>
      <c r="J52" s="19" t="s">
        <v>15</v>
      </c>
      <c r="K52" s="43" t="s">
        <v>7</v>
      </c>
      <c r="L52" s="19">
        <v>32.0</v>
      </c>
      <c r="M52" s="19">
        <v>5.0</v>
      </c>
    </row>
    <row r="53">
      <c r="A53" s="19">
        <v>52.0</v>
      </c>
      <c r="B53" s="47" t="s">
        <v>157</v>
      </c>
      <c r="C53" s="47" t="s">
        <v>360</v>
      </c>
      <c r="D53" s="47" t="s">
        <v>361</v>
      </c>
      <c r="E53" s="48">
        <v>0.692</v>
      </c>
      <c r="F53" s="48">
        <v>0.545</v>
      </c>
      <c r="G53" s="48">
        <v>0.417</v>
      </c>
      <c r="H53" s="48">
        <v>0.6</v>
      </c>
      <c r="I53" s="44" t="str">
        <f>IMAGE("https://drive.google.com/uc?export=view&amp;id=124t5vdn3DgTg8Z7XCyM_yV909SyrKZOX")</f>
        <v/>
      </c>
      <c r="J53" s="19" t="s">
        <v>15</v>
      </c>
      <c r="K53" s="43" t="s">
        <v>7</v>
      </c>
      <c r="L53" s="19">
        <v>32.0</v>
      </c>
      <c r="M53" s="19">
        <v>5.0</v>
      </c>
    </row>
    <row r="54">
      <c r="A54" s="19">
        <v>53.0</v>
      </c>
      <c r="B54" s="47" t="s">
        <v>172</v>
      </c>
      <c r="C54" s="47" t="s">
        <v>371</v>
      </c>
      <c r="D54" s="47" t="s">
        <v>372</v>
      </c>
      <c r="E54" s="48">
        <v>0.4</v>
      </c>
      <c r="F54" s="48">
        <v>0.916</v>
      </c>
      <c r="G54" s="48">
        <v>0.417</v>
      </c>
      <c r="H54" s="48">
        <v>0.0</v>
      </c>
      <c r="I54" s="44" t="str">
        <f>IMAGE("https://drive.google.com/uc?export=view&amp;id=1z0NAJ-4h1SX_jlFYG9monzn7MY7Lz1Kh")</f>
        <v/>
      </c>
      <c r="J54" s="19" t="s">
        <v>16</v>
      </c>
      <c r="K54" s="43" t="s">
        <v>7</v>
      </c>
      <c r="L54" s="19">
        <v>32.0</v>
      </c>
      <c r="M54" s="19">
        <v>5.0</v>
      </c>
    </row>
    <row r="55">
      <c r="A55" s="19">
        <v>54.0</v>
      </c>
      <c r="B55" s="47" t="s">
        <v>175</v>
      </c>
      <c r="C55" s="47" t="s">
        <v>373</v>
      </c>
      <c r="D55" s="47" t="s">
        <v>374</v>
      </c>
      <c r="E55" s="48">
        <v>0.636</v>
      </c>
      <c r="F55" s="48">
        <v>0.879</v>
      </c>
      <c r="G55" s="48">
        <v>0.0</v>
      </c>
      <c r="H55" s="48">
        <v>0.167</v>
      </c>
      <c r="I55" s="44" t="str">
        <f>IMAGE("https://drive.google.com/uc?export=view&amp;id=1jtLRr0XZiUfQQfmZLUX6VRKTVQ4I1QAO")</f>
        <v/>
      </c>
      <c r="J55" s="19" t="s">
        <v>16</v>
      </c>
      <c r="K55" s="43" t="s">
        <v>7</v>
      </c>
      <c r="L55" s="19">
        <v>32.0</v>
      </c>
      <c r="M55" s="19">
        <v>5.0</v>
      </c>
    </row>
    <row r="56">
      <c r="A56" s="19">
        <v>55.0</v>
      </c>
      <c r="B56" s="47" t="s">
        <v>178</v>
      </c>
      <c r="C56" s="47" t="s">
        <v>375</v>
      </c>
      <c r="D56" s="47" t="s">
        <v>376</v>
      </c>
      <c r="E56" s="48">
        <v>0.875</v>
      </c>
      <c r="F56" s="48">
        <v>0.863</v>
      </c>
      <c r="G56" s="48">
        <v>0.0</v>
      </c>
      <c r="H56" s="48">
        <v>0.167</v>
      </c>
      <c r="I56" s="44" t="str">
        <f>IMAGE("https://drive.google.com/uc?export=view&amp;id=1RUvtDj1VrKCUZKxGOX4DCQlMy3zbzt7W")</f>
        <v/>
      </c>
      <c r="J56" s="19" t="s">
        <v>16</v>
      </c>
      <c r="K56" s="43" t="s">
        <v>7</v>
      </c>
      <c r="L56" s="19">
        <v>32.0</v>
      </c>
      <c r="M56" s="19">
        <v>5.0</v>
      </c>
    </row>
    <row r="57">
      <c r="A57" s="19">
        <v>56.0</v>
      </c>
      <c r="B57" s="47" t="s">
        <v>187</v>
      </c>
      <c r="C57" s="47" t="s">
        <v>381</v>
      </c>
      <c r="D57" s="47" t="s">
        <v>382</v>
      </c>
      <c r="E57" s="48">
        <v>0.583</v>
      </c>
      <c r="F57" s="48">
        <v>0.995</v>
      </c>
      <c r="G57" s="48">
        <v>0.25</v>
      </c>
      <c r="H57" s="48">
        <v>1.0</v>
      </c>
      <c r="I57" s="44" t="str">
        <f>IMAGE("https://drive.google.com/uc?export=view&amp;id=1zNAFKZfyo-7kidiOls0hxzRFIxyYxXWX")</f>
        <v/>
      </c>
      <c r="J57" s="19" t="s">
        <v>16</v>
      </c>
      <c r="K57" s="43" t="s">
        <v>7</v>
      </c>
      <c r="L57" s="19">
        <v>32.0</v>
      </c>
      <c r="M57" s="19">
        <v>5.0</v>
      </c>
    </row>
    <row r="58">
      <c r="A58" s="19">
        <v>57.0</v>
      </c>
      <c r="B58" s="47" t="s">
        <v>199</v>
      </c>
      <c r="C58" s="47" t="s">
        <v>389</v>
      </c>
      <c r="D58" s="47" t="s">
        <v>390</v>
      </c>
      <c r="E58" s="48">
        <v>0.9</v>
      </c>
      <c r="F58" s="48">
        <v>0.818</v>
      </c>
      <c r="G58" s="48">
        <v>0.5</v>
      </c>
      <c r="H58" s="48">
        <v>1.0</v>
      </c>
      <c r="I58" s="44" t="str">
        <f>IMAGE("https://drive.google.com/uc?export=view&amp;id=1ieaqgOJVRprcUtT1JmjZDZXwY124-WSz")</f>
        <v/>
      </c>
      <c r="J58" s="19" t="s">
        <v>16</v>
      </c>
      <c r="K58" s="43" t="s">
        <v>7</v>
      </c>
      <c r="L58" s="19">
        <v>32.0</v>
      </c>
      <c r="M58" s="19">
        <v>5.0</v>
      </c>
    </row>
    <row r="59">
      <c r="A59" s="19">
        <v>58.0</v>
      </c>
      <c r="B59" s="47" t="s">
        <v>202</v>
      </c>
      <c r="C59" s="47" t="s">
        <v>391</v>
      </c>
      <c r="D59" s="47" t="s">
        <v>392</v>
      </c>
      <c r="E59" s="48">
        <v>0.0</v>
      </c>
      <c r="F59" s="48">
        <v>0.605</v>
      </c>
      <c r="G59" s="48">
        <v>0.2</v>
      </c>
      <c r="H59" s="48">
        <v>0.0</v>
      </c>
      <c r="I59" s="44" t="str">
        <f>IMAGE("https://drive.google.com/uc?export=view&amp;id=1etAbNDMXiD2umpgDt9PNtoaJRNU0wx0M")</f>
        <v/>
      </c>
      <c r="J59" s="19" t="s">
        <v>16</v>
      </c>
      <c r="K59" s="43" t="s">
        <v>7</v>
      </c>
      <c r="L59" s="19">
        <v>32.0</v>
      </c>
      <c r="M59" s="19">
        <v>5.0</v>
      </c>
    </row>
    <row r="60">
      <c r="A60" s="19">
        <v>59.0</v>
      </c>
      <c r="B60" s="47" t="s">
        <v>217</v>
      </c>
      <c r="C60" s="47" t="s">
        <v>401</v>
      </c>
      <c r="D60" s="47" t="s">
        <v>402</v>
      </c>
      <c r="E60" s="48">
        <v>0.6</v>
      </c>
      <c r="F60" s="48">
        <v>0.803</v>
      </c>
      <c r="G60" s="48">
        <v>0.25</v>
      </c>
      <c r="H60" s="48">
        <v>0.0</v>
      </c>
      <c r="I60" s="44" t="str">
        <f>IMAGE("https://drive.google.com/uc?export=view&amp;id=1nPdoHIwqAgt0Dkyh5Pdufi-Tlu7vWX9M")</f>
        <v/>
      </c>
      <c r="J60" s="19" t="s">
        <v>16</v>
      </c>
      <c r="K60" s="43" t="s">
        <v>7</v>
      </c>
      <c r="L60" s="19">
        <v>32.0</v>
      </c>
      <c r="M60" s="19">
        <v>5.0</v>
      </c>
    </row>
    <row r="61">
      <c r="A61" s="19">
        <v>60.0</v>
      </c>
      <c r="B61" s="47" t="s">
        <v>226</v>
      </c>
      <c r="C61" s="47" t="s">
        <v>407</v>
      </c>
      <c r="D61" s="47" t="s">
        <v>408</v>
      </c>
      <c r="E61" s="48">
        <v>0.688</v>
      </c>
      <c r="F61" s="48">
        <v>0.0</v>
      </c>
      <c r="G61" s="48">
        <v>0.0</v>
      </c>
      <c r="H61" s="48">
        <v>0.857</v>
      </c>
      <c r="I61" s="44" t="str">
        <f>IMAGE("https://drive.google.com/uc?export=view&amp;id=1NVGwi4LcH-kUYM6bO5eN77prLRNj-bkb")</f>
        <v/>
      </c>
      <c r="J61" s="19" t="s">
        <v>17</v>
      </c>
      <c r="K61" s="43" t="s">
        <v>7</v>
      </c>
      <c r="L61" s="19">
        <v>32.0</v>
      </c>
      <c r="M61" s="19">
        <v>5.0</v>
      </c>
    </row>
    <row r="62">
      <c r="A62" s="19">
        <v>61.0</v>
      </c>
      <c r="B62" s="47" t="s">
        <v>238</v>
      </c>
      <c r="C62" s="47" t="s">
        <v>415</v>
      </c>
      <c r="D62" s="47" t="s">
        <v>416</v>
      </c>
      <c r="E62" s="48">
        <v>0.7</v>
      </c>
      <c r="F62" s="48">
        <v>0.423</v>
      </c>
      <c r="G62" s="48">
        <v>0.45</v>
      </c>
      <c r="H62" s="48">
        <v>0.75</v>
      </c>
      <c r="I62" s="44" t="str">
        <f>IMAGE("https://drive.google.com/uc?export=view&amp;id=16wf5d5BtxU6rL-l-0l_koQjfeitSVVSU")</f>
        <v/>
      </c>
      <c r="J62" s="19" t="s">
        <v>17</v>
      </c>
      <c r="K62" s="43" t="s">
        <v>7</v>
      </c>
      <c r="L62" s="19">
        <v>32.0</v>
      </c>
      <c r="M62" s="19">
        <v>5.0</v>
      </c>
    </row>
    <row r="63">
      <c r="A63" s="19">
        <v>62.0</v>
      </c>
      <c r="B63" s="47" t="s">
        <v>241</v>
      </c>
      <c r="C63" s="47" t="s">
        <v>417</v>
      </c>
      <c r="D63" s="47" t="s">
        <v>418</v>
      </c>
      <c r="E63" s="48">
        <v>0.429</v>
      </c>
      <c r="F63" s="48">
        <v>0.979</v>
      </c>
      <c r="G63" s="48">
        <v>0.25</v>
      </c>
      <c r="H63" s="48">
        <v>1.0</v>
      </c>
      <c r="I63" s="44" t="str">
        <f>IMAGE("https://drive.google.com/uc?export=view&amp;id=1MgXllcL1Rlw0ToqHx5R9prTRBlLhT_wm")</f>
        <v/>
      </c>
      <c r="J63" s="19" t="s">
        <v>17</v>
      </c>
      <c r="K63" s="43" t="s">
        <v>7</v>
      </c>
      <c r="L63" s="19">
        <v>32.0</v>
      </c>
      <c r="M63" s="19">
        <v>5.0</v>
      </c>
    </row>
    <row r="64">
      <c r="A64" s="19">
        <v>63.0</v>
      </c>
      <c r="B64" s="47" t="s">
        <v>244</v>
      </c>
      <c r="C64" s="47" t="s">
        <v>419</v>
      </c>
      <c r="D64" s="47" t="s">
        <v>420</v>
      </c>
      <c r="E64" s="48">
        <v>0.769</v>
      </c>
      <c r="F64" s="48">
        <v>0.856</v>
      </c>
      <c r="G64" s="48">
        <v>0.2</v>
      </c>
      <c r="H64" s="48">
        <v>0.8</v>
      </c>
      <c r="I64" s="44" t="str">
        <f>IMAGE("https://drive.google.com/uc?export=view&amp;id=1-BhZxCVE4djdk_KDR3mAjfgagA82ShVx")</f>
        <v/>
      </c>
      <c r="J64" s="19" t="s">
        <v>17</v>
      </c>
      <c r="K64" s="43" t="s">
        <v>7</v>
      </c>
      <c r="L64" s="19">
        <v>32.0</v>
      </c>
      <c r="M64" s="19">
        <v>5.0</v>
      </c>
    </row>
    <row r="65">
      <c r="A65" s="19">
        <v>64.0</v>
      </c>
      <c r="B65" s="47" t="s">
        <v>247</v>
      </c>
      <c r="C65" s="47" t="s">
        <v>421</v>
      </c>
      <c r="D65" s="47" t="s">
        <v>422</v>
      </c>
      <c r="E65" s="48">
        <v>0.778</v>
      </c>
      <c r="F65" s="48">
        <v>0.0</v>
      </c>
      <c r="G65" s="48">
        <v>0.2</v>
      </c>
      <c r="H65" s="48">
        <v>0.4</v>
      </c>
      <c r="I65" s="44" t="str">
        <f>IMAGE("https://drive.google.com/uc?export=view&amp;id=1IRqwZCZlJsCGG-MuowdYPDHXw_dxGrk1")</f>
        <v/>
      </c>
      <c r="J65" s="19" t="s">
        <v>17</v>
      </c>
      <c r="K65" s="43" t="s">
        <v>7</v>
      </c>
      <c r="L65" s="19">
        <v>32.0</v>
      </c>
      <c r="M65" s="19">
        <v>5.0</v>
      </c>
    </row>
    <row r="66">
      <c r="A66" s="19">
        <v>65.0</v>
      </c>
      <c r="B66" s="47" t="s">
        <v>250</v>
      </c>
      <c r="C66" s="47" t="s">
        <v>423</v>
      </c>
      <c r="D66" s="47" t="s">
        <v>424</v>
      </c>
      <c r="E66" s="48">
        <v>0.81</v>
      </c>
      <c r="F66" s="48">
        <v>0.893</v>
      </c>
      <c r="G66" s="48">
        <v>0.333</v>
      </c>
      <c r="H66" s="48">
        <v>0.286</v>
      </c>
      <c r="I66" s="44" t="str">
        <f>IMAGE("https://drive.google.com/uc?export=view&amp;id=1pFGj-VUAJ8Mld6_xBKpDf7tS0rIppVk1")</f>
        <v/>
      </c>
      <c r="J66" s="19" t="s">
        <v>17</v>
      </c>
      <c r="K66" s="43" t="s">
        <v>7</v>
      </c>
      <c r="L66" s="19">
        <v>32.0</v>
      </c>
      <c r="M66" s="19">
        <v>5.0</v>
      </c>
    </row>
    <row r="67">
      <c r="A67" s="19">
        <v>66.0</v>
      </c>
      <c r="B67" s="47" t="s">
        <v>256</v>
      </c>
      <c r="C67" s="47" t="s">
        <v>427</v>
      </c>
      <c r="D67" s="47" t="s">
        <v>428</v>
      </c>
      <c r="E67" s="48">
        <v>0.75</v>
      </c>
      <c r="F67" s="48">
        <v>0.814</v>
      </c>
      <c r="G67" s="48">
        <v>0.333</v>
      </c>
      <c r="H67" s="48">
        <v>0.6</v>
      </c>
      <c r="I67" s="44" t="str">
        <f>IMAGE("https://drive.google.com/uc?export=view&amp;id=1A9p8dTF-4HRqa2ELr6vTmd3uEjYhCs5W")</f>
        <v/>
      </c>
      <c r="J67" s="19" t="s">
        <v>17</v>
      </c>
      <c r="K67" s="43" t="s">
        <v>7</v>
      </c>
      <c r="L67" s="19">
        <v>32.0</v>
      </c>
      <c r="M67" s="19">
        <v>5.0</v>
      </c>
    </row>
    <row r="68">
      <c r="A68" s="19">
        <v>67.0</v>
      </c>
      <c r="B68" s="47" t="s">
        <v>259</v>
      </c>
      <c r="C68" s="47" t="s">
        <v>429</v>
      </c>
      <c r="D68" s="47" t="s">
        <v>430</v>
      </c>
      <c r="E68" s="48">
        <v>0.857</v>
      </c>
      <c r="F68" s="48">
        <v>0.972</v>
      </c>
      <c r="G68" s="48">
        <v>0.478</v>
      </c>
      <c r="H68" s="48">
        <v>1.0</v>
      </c>
      <c r="I68" s="44" t="str">
        <f>IMAGE("https://drive.google.com/uc?export=view&amp;id=1IMUMKO6FXST5AlMc7r88iDbauaiCOtym")</f>
        <v/>
      </c>
      <c r="J68" s="19" t="s">
        <v>17</v>
      </c>
      <c r="K68" s="43" t="s">
        <v>7</v>
      </c>
      <c r="L68" s="19">
        <v>32.0</v>
      </c>
      <c r="M68" s="19">
        <v>5.0</v>
      </c>
    </row>
    <row r="69">
      <c r="A69" s="19">
        <v>68.0</v>
      </c>
      <c r="B69" s="47" t="s">
        <v>265</v>
      </c>
      <c r="C69" s="47" t="s">
        <v>433</v>
      </c>
      <c r="D69" s="47" t="s">
        <v>434</v>
      </c>
      <c r="E69" s="48">
        <v>0.273</v>
      </c>
      <c r="F69" s="48">
        <v>0.978</v>
      </c>
      <c r="G69" s="48">
        <v>0.333</v>
      </c>
      <c r="H69" s="48">
        <v>1.0</v>
      </c>
      <c r="I69" s="44" t="str">
        <f>IMAGE("https://drive.google.com/uc?export=view&amp;id=1LGXtdooJvRMT0IPBtwMYB-bcZcMgEZkS")</f>
        <v/>
      </c>
      <c r="J69" s="19" t="s">
        <v>17</v>
      </c>
      <c r="K69" s="43" t="s">
        <v>7</v>
      </c>
      <c r="L69" s="19">
        <v>32.0</v>
      </c>
      <c r="M69" s="19">
        <v>5.0</v>
      </c>
    </row>
    <row r="70">
      <c r="A70" s="19">
        <v>69.0</v>
      </c>
      <c r="B70" s="47" t="s">
        <v>274</v>
      </c>
      <c r="C70" s="47" t="s">
        <v>439</v>
      </c>
      <c r="D70" s="47" t="s">
        <v>440</v>
      </c>
      <c r="E70" s="48">
        <v>0.5</v>
      </c>
      <c r="F70" s="48">
        <v>0.624</v>
      </c>
      <c r="G70" s="48">
        <v>0.0</v>
      </c>
      <c r="H70" s="48">
        <v>1.0</v>
      </c>
      <c r="I70" s="44" t="str">
        <f>IMAGE("https://drive.google.com/uc?export=view&amp;id=11-88rHfUHJjNQ8du6ECMXim2__IiwFhx")</f>
        <v/>
      </c>
      <c r="J70" s="19" t="s">
        <v>17</v>
      </c>
      <c r="K70" s="43" t="s">
        <v>7</v>
      </c>
      <c r="L70" s="19">
        <v>32.0</v>
      </c>
      <c r="M70" s="19">
        <v>5.0</v>
      </c>
    </row>
    <row r="71">
      <c r="A71" s="19">
        <v>70.0</v>
      </c>
      <c r="B71" s="47" t="s">
        <v>277</v>
      </c>
      <c r="C71" s="47" t="s">
        <v>441</v>
      </c>
      <c r="D71" s="47" t="s">
        <v>442</v>
      </c>
      <c r="E71" s="48">
        <v>0.529</v>
      </c>
      <c r="F71" s="48">
        <v>0.0</v>
      </c>
      <c r="G71" s="48">
        <v>0.0</v>
      </c>
      <c r="H71" s="48">
        <v>0.857</v>
      </c>
      <c r="I71" s="44" t="str">
        <f>IMAGE("https://drive.google.com/uc?export=view&amp;id=1MSEp3uPSvU3_W_ZDN-2TxBdgddTbjAvT")</f>
        <v/>
      </c>
      <c r="J71" s="19" t="s">
        <v>17</v>
      </c>
      <c r="K71" s="43" t="s">
        <v>7</v>
      </c>
      <c r="L71" s="19">
        <v>32.0</v>
      </c>
      <c r="M71" s="19">
        <v>5.0</v>
      </c>
    </row>
    <row r="72">
      <c r="A72" s="19">
        <v>71.0</v>
      </c>
      <c r="B72" s="47" t="s">
        <v>445</v>
      </c>
      <c r="C72" s="47" t="s">
        <v>446</v>
      </c>
      <c r="D72" s="47" t="s">
        <v>447</v>
      </c>
      <c r="E72" s="48">
        <v>0.556</v>
      </c>
      <c r="F72" s="48">
        <v>0.933</v>
      </c>
      <c r="G72" s="48">
        <v>0.2</v>
      </c>
      <c r="H72" s="48">
        <v>0.75</v>
      </c>
      <c r="I72" s="44" t="str">
        <f>IMAGE("https://drive.google.com/uc?export=view&amp;id=1i_Kl8a2oLDBBOrqNww-Ug_PjmzSURChp")</f>
        <v/>
      </c>
      <c r="J72" s="19" t="s">
        <v>17</v>
      </c>
      <c r="K72" s="43" t="s">
        <v>7</v>
      </c>
      <c r="L72" s="19">
        <v>32.0</v>
      </c>
      <c r="M72" s="19">
        <v>5.0</v>
      </c>
    </row>
    <row r="73">
      <c r="A73" s="19">
        <v>72.0</v>
      </c>
      <c r="B73" s="19" t="s">
        <v>46</v>
      </c>
      <c r="C73" s="19" t="s">
        <v>448</v>
      </c>
      <c r="D73" s="19" t="s">
        <v>449</v>
      </c>
      <c r="E73" s="43">
        <v>0.1</v>
      </c>
      <c r="F73" s="43">
        <v>0.954</v>
      </c>
      <c r="G73" s="43">
        <v>0.5</v>
      </c>
      <c r="H73" s="43">
        <v>0.4</v>
      </c>
      <c r="I73" s="44" t="str">
        <f>IMAGE("https://drive.google.com/uc?export=view&amp;id=1DEfDbG4XVJYkxlBJNjtYN7otOpWd0iyq")</f>
        <v/>
      </c>
      <c r="J73" s="19" t="s">
        <v>14</v>
      </c>
      <c r="K73" s="43" t="s">
        <v>7</v>
      </c>
      <c r="L73" s="19">
        <v>64.0</v>
      </c>
      <c r="M73" s="19">
        <v>3.0</v>
      </c>
    </row>
    <row r="74">
      <c r="A74" s="19">
        <v>73.0</v>
      </c>
      <c r="B74" s="19" t="s">
        <v>49</v>
      </c>
      <c r="C74" s="19" t="s">
        <v>450</v>
      </c>
      <c r="D74" s="19" t="s">
        <v>451</v>
      </c>
      <c r="E74" s="43">
        <v>0.417</v>
      </c>
      <c r="F74" s="43">
        <v>0.0</v>
      </c>
      <c r="G74" s="43">
        <v>0.0</v>
      </c>
      <c r="H74" s="43">
        <v>0.833</v>
      </c>
      <c r="I74" s="44" t="str">
        <f>IMAGE("https://drive.google.com/uc?export=view&amp;id=1tch9f8FvuaYTDBlSzTNxLWQjdMhNfIkR")</f>
        <v/>
      </c>
      <c r="J74" s="19" t="s">
        <v>14</v>
      </c>
      <c r="K74" s="43" t="s">
        <v>7</v>
      </c>
      <c r="L74" s="19">
        <v>64.0</v>
      </c>
      <c r="M74" s="19">
        <v>3.0</v>
      </c>
    </row>
    <row r="75">
      <c r="A75" s="19">
        <v>74.0</v>
      </c>
      <c r="B75" s="19" t="s">
        <v>70</v>
      </c>
      <c r="C75" s="19" t="s">
        <v>464</v>
      </c>
      <c r="D75" s="19" t="s">
        <v>465</v>
      </c>
      <c r="E75" s="43">
        <v>1.0</v>
      </c>
      <c r="F75" s="43">
        <v>0.771</v>
      </c>
      <c r="G75" s="43">
        <v>0.333</v>
      </c>
      <c r="H75" s="43">
        <v>1.0</v>
      </c>
      <c r="I75" s="44" t="str">
        <f>IMAGE("https://drive.google.com/uc?export=view&amp;id=1W2YbFf_nLqiKalWtouv-zgqpAzfk4fRp")</f>
        <v/>
      </c>
      <c r="J75" s="19" t="s">
        <v>14</v>
      </c>
      <c r="K75" s="43" t="s">
        <v>7</v>
      </c>
      <c r="L75" s="19">
        <v>64.0</v>
      </c>
      <c r="M75" s="19">
        <v>3.0</v>
      </c>
    </row>
    <row r="76">
      <c r="A76" s="19">
        <v>75.0</v>
      </c>
      <c r="B76" s="19" t="s">
        <v>73</v>
      </c>
      <c r="C76" s="19" t="s">
        <v>466</v>
      </c>
      <c r="D76" s="19" t="s">
        <v>467</v>
      </c>
      <c r="E76" s="43">
        <v>0.938</v>
      </c>
      <c r="F76" s="43">
        <v>0.0</v>
      </c>
      <c r="G76" s="43">
        <v>0.0</v>
      </c>
      <c r="H76" s="43">
        <v>1.0</v>
      </c>
      <c r="I76" s="44" t="str">
        <f>IMAGE("https://drive.google.com/uc?export=view&amp;id=1XjLPuKuL3S5cTGECPPpHso7Wi3TeeUt_")</f>
        <v/>
      </c>
      <c r="J76" s="19" t="s">
        <v>14</v>
      </c>
      <c r="K76" s="43" t="s">
        <v>7</v>
      </c>
      <c r="L76" s="19">
        <v>64.0</v>
      </c>
      <c r="M76" s="19">
        <v>3.0</v>
      </c>
    </row>
    <row r="77">
      <c r="A77" s="19">
        <v>76.0</v>
      </c>
      <c r="B77" s="19" t="s">
        <v>82</v>
      </c>
      <c r="C77" s="19" t="s">
        <v>472</v>
      </c>
      <c r="D77" s="19" t="s">
        <v>473</v>
      </c>
      <c r="E77" s="43">
        <v>0.286</v>
      </c>
      <c r="F77" s="43">
        <v>0.433</v>
      </c>
      <c r="G77" s="43">
        <v>0.0</v>
      </c>
      <c r="H77" s="43">
        <v>1.0</v>
      </c>
      <c r="I77" s="44" t="str">
        <f>IMAGE("https://drive.google.com/uc?export=view&amp;id=1j--DCe-h-swVJDtRWqzvS-BO1-RRMQaB")</f>
        <v/>
      </c>
      <c r="J77" s="19" t="s">
        <v>14</v>
      </c>
      <c r="K77" s="43" t="s">
        <v>7</v>
      </c>
      <c r="L77" s="19">
        <v>64.0</v>
      </c>
      <c r="M77" s="19">
        <v>3.0</v>
      </c>
    </row>
    <row r="78">
      <c r="A78" s="19">
        <v>77.0</v>
      </c>
      <c r="B78" s="19" t="s">
        <v>85</v>
      </c>
      <c r="C78" s="19" t="s">
        <v>474</v>
      </c>
      <c r="D78" s="19" t="s">
        <v>475</v>
      </c>
      <c r="E78" s="43">
        <v>0.333</v>
      </c>
      <c r="F78" s="43">
        <v>0.0</v>
      </c>
      <c r="G78" s="43">
        <v>0.0</v>
      </c>
      <c r="H78" s="43">
        <v>0.8</v>
      </c>
      <c r="I78" s="44" t="str">
        <f>IMAGE("https://drive.google.com/uc?export=view&amp;id=1WsWTvGPIDuoTv3JsZ3Oe-_Ml_Nfebc0S")</f>
        <v/>
      </c>
      <c r="J78" s="19" t="s">
        <v>14</v>
      </c>
      <c r="K78" s="43" t="s">
        <v>7</v>
      </c>
      <c r="L78" s="19">
        <v>64.0</v>
      </c>
      <c r="M78" s="19">
        <v>3.0</v>
      </c>
    </row>
    <row r="79">
      <c r="A79" s="19">
        <v>78.0</v>
      </c>
      <c r="B79" s="19" t="s">
        <v>88</v>
      </c>
      <c r="C79" s="19" t="s">
        <v>476</v>
      </c>
      <c r="D79" s="19" t="s">
        <v>477</v>
      </c>
      <c r="E79" s="43">
        <v>0.917</v>
      </c>
      <c r="F79" s="43">
        <v>0.0</v>
      </c>
      <c r="G79" s="43">
        <v>0.0</v>
      </c>
      <c r="H79" s="43">
        <v>1.0</v>
      </c>
      <c r="I79" s="44" t="str">
        <f>IMAGE("https://drive.google.com/uc?export=view&amp;id=1bj5UGemI-tJOVzGAvNTd03oonKu-Y6cf")</f>
        <v/>
      </c>
      <c r="J79" s="19" t="s">
        <v>14</v>
      </c>
      <c r="K79" s="43" t="s">
        <v>7</v>
      </c>
      <c r="L79" s="19">
        <v>64.0</v>
      </c>
      <c r="M79" s="19">
        <v>3.0</v>
      </c>
    </row>
    <row r="80">
      <c r="A80" s="19">
        <v>79.0</v>
      </c>
      <c r="B80" s="19" t="s">
        <v>94</v>
      </c>
      <c r="C80" s="19" t="s">
        <v>480</v>
      </c>
      <c r="D80" s="19" t="s">
        <v>481</v>
      </c>
      <c r="E80" s="43">
        <v>0.778</v>
      </c>
      <c r="F80" s="43">
        <v>0.574</v>
      </c>
      <c r="G80" s="43">
        <v>0.333</v>
      </c>
      <c r="H80" s="43">
        <v>0.429</v>
      </c>
      <c r="I80" s="44" t="str">
        <f>IMAGE("https://drive.google.com/uc?export=view&amp;id=10hmBcAdT0u1oljul6UPghHqt1xRXXD2R")</f>
        <v/>
      </c>
      <c r="J80" s="19" t="s">
        <v>14</v>
      </c>
      <c r="K80" s="43" t="s">
        <v>7</v>
      </c>
      <c r="L80" s="19">
        <v>64.0</v>
      </c>
      <c r="M80" s="19">
        <v>3.0</v>
      </c>
    </row>
    <row r="81">
      <c r="A81" s="19">
        <v>80.0</v>
      </c>
      <c r="B81" s="19" t="s">
        <v>97</v>
      </c>
      <c r="C81" s="19" t="s">
        <v>482</v>
      </c>
      <c r="D81" s="19" t="s">
        <v>483</v>
      </c>
      <c r="E81" s="43">
        <v>0.583</v>
      </c>
      <c r="F81" s="43">
        <v>0.78</v>
      </c>
      <c r="G81" s="43">
        <v>0.5</v>
      </c>
      <c r="H81" s="43">
        <v>1.0</v>
      </c>
      <c r="I81" s="44" t="str">
        <f>IMAGE("https://drive.google.com/uc?export=view&amp;id=1FVLLFDUcjiyJeO_ikE3ieAARUAzMdRpl")</f>
        <v/>
      </c>
      <c r="J81" s="19" t="s">
        <v>14</v>
      </c>
      <c r="K81" s="43" t="s">
        <v>7</v>
      </c>
      <c r="L81" s="19">
        <v>64.0</v>
      </c>
      <c r="M81" s="19">
        <v>3.0</v>
      </c>
    </row>
    <row r="82">
      <c r="A82" s="19">
        <v>81.0</v>
      </c>
      <c r="B82" s="19" t="s">
        <v>100</v>
      </c>
      <c r="C82" s="19" t="s">
        <v>484</v>
      </c>
      <c r="D82" s="19" t="s">
        <v>485</v>
      </c>
      <c r="E82" s="43">
        <v>0.706</v>
      </c>
      <c r="F82" s="43">
        <v>0.788</v>
      </c>
      <c r="G82" s="43">
        <v>0.0</v>
      </c>
      <c r="H82" s="43">
        <v>0.0</v>
      </c>
      <c r="I82" s="44" t="str">
        <f>IMAGE("https://drive.google.com/uc?export=view&amp;id=1WynGiQzbhmS0XlO4G5MVxGZCWopWyQKR")</f>
        <v/>
      </c>
      <c r="J82" s="19" t="s">
        <v>14</v>
      </c>
      <c r="K82" s="43" t="s">
        <v>7</v>
      </c>
      <c r="L82" s="19">
        <v>64.0</v>
      </c>
      <c r="M82" s="19">
        <v>3.0</v>
      </c>
    </row>
    <row r="83">
      <c r="A83" s="19">
        <v>82.0</v>
      </c>
      <c r="B83" s="19" t="s">
        <v>106</v>
      </c>
      <c r="C83" s="19" t="s">
        <v>490</v>
      </c>
      <c r="D83" s="19" t="s">
        <v>491</v>
      </c>
      <c r="E83" s="43">
        <v>0.5</v>
      </c>
      <c r="F83" s="43">
        <v>0.0</v>
      </c>
      <c r="G83" s="43">
        <v>0.0</v>
      </c>
      <c r="H83" s="43">
        <v>0.8</v>
      </c>
      <c r="I83" s="44" t="str">
        <f>IMAGE("https://drive.google.com/uc?export=view&amp;id=1hxS87Nvjd4DyqiSIZjsS17Dh78PdXEiP")</f>
        <v/>
      </c>
      <c r="J83" s="19" t="s">
        <v>15</v>
      </c>
      <c r="K83" s="43" t="s">
        <v>7</v>
      </c>
      <c r="L83" s="19">
        <v>64.0</v>
      </c>
      <c r="M83" s="19">
        <v>3.0</v>
      </c>
    </row>
    <row r="84">
      <c r="A84" s="19">
        <v>83.0</v>
      </c>
      <c r="B84" s="19" t="s">
        <v>121</v>
      </c>
      <c r="C84" s="19" t="s">
        <v>498</v>
      </c>
      <c r="D84" s="19" t="s">
        <v>499</v>
      </c>
      <c r="E84" s="43">
        <v>0.667</v>
      </c>
      <c r="F84" s="43">
        <v>0.0</v>
      </c>
      <c r="G84" s="43">
        <v>0.0</v>
      </c>
      <c r="H84" s="43">
        <v>1.0</v>
      </c>
      <c r="I84" s="44" t="str">
        <f>IMAGE("https://drive.google.com/uc?export=view&amp;id=1SPm0-DgPdLm7xOukZzXwwbV3BmuKA2_0")</f>
        <v/>
      </c>
      <c r="J84" s="19" t="s">
        <v>15</v>
      </c>
      <c r="K84" s="43" t="s">
        <v>7</v>
      </c>
      <c r="L84" s="19">
        <v>64.0</v>
      </c>
      <c r="M84" s="19">
        <v>3.0</v>
      </c>
    </row>
    <row r="85">
      <c r="A85" s="19">
        <v>84.0</v>
      </c>
      <c r="B85" s="19" t="s">
        <v>133</v>
      </c>
      <c r="C85" s="19" t="s">
        <v>506</v>
      </c>
      <c r="D85" s="19" t="s">
        <v>507</v>
      </c>
      <c r="E85" s="43">
        <v>1.0</v>
      </c>
      <c r="F85" s="43">
        <v>0.0</v>
      </c>
      <c r="G85" s="43">
        <v>0.0</v>
      </c>
      <c r="H85" s="43">
        <v>0.7</v>
      </c>
      <c r="I85" s="44" t="str">
        <f>IMAGE("https://drive.google.com/uc?export=view&amp;id=1FDvfQAovl6ZDBLnvzBBZ3b9Pih9IV-0G")</f>
        <v/>
      </c>
      <c r="J85" s="19" t="s">
        <v>15</v>
      </c>
      <c r="K85" s="43" t="s">
        <v>7</v>
      </c>
      <c r="L85" s="19">
        <v>64.0</v>
      </c>
      <c r="M85" s="19">
        <v>3.0</v>
      </c>
    </row>
    <row r="86">
      <c r="A86" s="19">
        <v>85.0</v>
      </c>
      <c r="B86" s="19" t="s">
        <v>142</v>
      </c>
      <c r="C86" s="19" t="s">
        <v>512</v>
      </c>
      <c r="D86" s="19" t="s">
        <v>513</v>
      </c>
      <c r="E86" s="43">
        <v>0.6</v>
      </c>
      <c r="F86" s="43">
        <v>0.0</v>
      </c>
      <c r="G86" s="43">
        <v>0.0</v>
      </c>
      <c r="H86" s="43">
        <v>0.0</v>
      </c>
      <c r="I86" s="44" t="str">
        <f>IMAGE("https://drive.google.com/uc?export=view&amp;id=1mSvyRqpx_CA1Ln_qixFP4dQgNmnDrxC9")</f>
        <v/>
      </c>
      <c r="J86" s="19" t="s">
        <v>15</v>
      </c>
      <c r="K86" s="43" t="s">
        <v>7</v>
      </c>
      <c r="L86" s="19">
        <v>64.0</v>
      </c>
      <c r="M86" s="19">
        <v>3.0</v>
      </c>
    </row>
    <row r="87">
      <c r="A87" s="19">
        <v>86.0</v>
      </c>
      <c r="B87" s="19" t="s">
        <v>145</v>
      </c>
      <c r="C87" s="19" t="s">
        <v>514</v>
      </c>
      <c r="D87" s="19" t="s">
        <v>515</v>
      </c>
      <c r="E87" s="43">
        <v>1.0</v>
      </c>
      <c r="F87" s="43">
        <v>0.0</v>
      </c>
      <c r="G87" s="43">
        <v>0.0</v>
      </c>
      <c r="H87" s="43">
        <v>0.0</v>
      </c>
      <c r="I87" s="44" t="str">
        <f>IMAGE("https://drive.google.com/uc?export=view&amp;id=1XBtKEsfg4v8VS3m9a0EC2DhYJg_J5rxN")</f>
        <v/>
      </c>
      <c r="J87" s="19" t="s">
        <v>15</v>
      </c>
      <c r="K87" s="43" t="s">
        <v>7</v>
      </c>
      <c r="L87" s="19">
        <v>64.0</v>
      </c>
      <c r="M87" s="19">
        <v>3.0</v>
      </c>
    </row>
    <row r="88">
      <c r="A88" s="19">
        <v>87.0</v>
      </c>
      <c r="B88" s="19" t="s">
        <v>166</v>
      </c>
      <c r="C88" s="19" t="s">
        <v>528</v>
      </c>
      <c r="D88" s="19" t="s">
        <v>529</v>
      </c>
      <c r="E88" s="43">
        <v>0.273</v>
      </c>
      <c r="F88" s="43">
        <v>0.935</v>
      </c>
      <c r="G88" s="43">
        <v>0.5</v>
      </c>
      <c r="H88" s="43">
        <v>0.4</v>
      </c>
      <c r="I88" s="44" t="str">
        <f>IMAGE("https://drive.google.com/uc?export=view&amp;id=1lxQfehr7dtP_0GiFboWcfDi_Ca-tEYRy")</f>
        <v/>
      </c>
      <c r="J88" s="19" t="s">
        <v>16</v>
      </c>
      <c r="K88" s="43" t="s">
        <v>7</v>
      </c>
      <c r="L88" s="19">
        <v>64.0</v>
      </c>
      <c r="M88" s="19">
        <v>3.0</v>
      </c>
    </row>
    <row r="89">
      <c r="A89" s="19">
        <v>88.0</v>
      </c>
      <c r="B89" s="19" t="s">
        <v>172</v>
      </c>
      <c r="C89" s="19" t="s">
        <v>532</v>
      </c>
      <c r="D89" s="19" t="s">
        <v>533</v>
      </c>
      <c r="E89" s="43">
        <v>0.909</v>
      </c>
      <c r="F89" s="43">
        <v>0.911</v>
      </c>
      <c r="G89" s="43">
        <v>0.0</v>
      </c>
      <c r="H89" s="43">
        <v>0.125</v>
      </c>
      <c r="I89" s="44" t="str">
        <f>IMAGE("https://drive.google.com/uc?export=view&amp;id=1s9ayxxQTncVx5teuPv0LxWb8HVk83Ccy")</f>
        <v/>
      </c>
      <c r="J89" s="19" t="s">
        <v>16</v>
      </c>
      <c r="K89" s="43" t="s">
        <v>7</v>
      </c>
      <c r="L89" s="19">
        <v>64.0</v>
      </c>
      <c r="M89" s="19">
        <v>3.0</v>
      </c>
    </row>
    <row r="90">
      <c r="A90" s="19">
        <v>89.0</v>
      </c>
      <c r="B90" s="19" t="s">
        <v>175</v>
      </c>
      <c r="C90" s="19" t="s">
        <v>534</v>
      </c>
      <c r="D90" s="19" t="s">
        <v>535</v>
      </c>
      <c r="E90" s="43">
        <v>0.091</v>
      </c>
      <c r="F90" s="43">
        <v>0.865</v>
      </c>
      <c r="G90" s="43">
        <v>0.5</v>
      </c>
      <c r="H90" s="43">
        <v>0.286</v>
      </c>
      <c r="I90" s="44" t="str">
        <f>IMAGE("https://drive.google.com/uc?export=view&amp;id=1hYSM3b8MRF9Dnzs_fJGsqipLsD4g2XlN")</f>
        <v/>
      </c>
      <c r="J90" s="19" t="s">
        <v>16</v>
      </c>
      <c r="K90" s="43" t="s">
        <v>7</v>
      </c>
      <c r="L90" s="19">
        <v>64.0</v>
      </c>
      <c r="M90" s="19">
        <v>3.0</v>
      </c>
    </row>
    <row r="91">
      <c r="A91" s="19">
        <v>90.0</v>
      </c>
      <c r="B91" s="19" t="s">
        <v>178</v>
      </c>
      <c r="C91" s="19" t="s">
        <v>536</v>
      </c>
      <c r="D91" s="19" t="s">
        <v>537</v>
      </c>
      <c r="E91" s="43">
        <v>0.571</v>
      </c>
      <c r="F91" s="43">
        <v>0.863</v>
      </c>
      <c r="G91" s="43">
        <v>0.0</v>
      </c>
      <c r="H91" s="43">
        <v>0.0</v>
      </c>
      <c r="I91" s="44" t="str">
        <f>IMAGE("https://drive.google.com/uc?export=view&amp;id=1KxNL6Q_akQBtuTp0txdq8FIbdVmI9Y6s")</f>
        <v/>
      </c>
      <c r="J91" s="19" t="s">
        <v>16</v>
      </c>
      <c r="K91" s="43" t="s">
        <v>7</v>
      </c>
      <c r="L91" s="19">
        <v>64.0</v>
      </c>
      <c r="M91" s="19">
        <v>3.0</v>
      </c>
    </row>
    <row r="92">
      <c r="A92" s="19">
        <v>91.0</v>
      </c>
      <c r="B92" s="19" t="s">
        <v>202</v>
      </c>
      <c r="C92" s="19" t="s">
        <v>552</v>
      </c>
      <c r="D92" s="19" t="s">
        <v>553</v>
      </c>
      <c r="E92" s="43">
        <v>0.889</v>
      </c>
      <c r="F92" s="43">
        <v>0.708</v>
      </c>
      <c r="G92" s="43">
        <v>0.5</v>
      </c>
      <c r="H92" s="43">
        <v>1.0</v>
      </c>
      <c r="I92" s="44" t="str">
        <f>IMAGE("https://drive.google.com/uc?export=view&amp;id=1NOmnQSoEYyQ6j_n9XezpEri1bda2h_7W")</f>
        <v/>
      </c>
      <c r="J92" s="19" t="s">
        <v>16</v>
      </c>
      <c r="K92" s="43" t="s">
        <v>7</v>
      </c>
      <c r="L92" s="19">
        <v>64.0</v>
      </c>
      <c r="M92" s="19">
        <v>3.0</v>
      </c>
    </row>
    <row r="93">
      <c r="A93" s="19">
        <v>92.0</v>
      </c>
      <c r="B93" s="19" t="s">
        <v>211</v>
      </c>
      <c r="C93" s="19" t="s">
        <v>558</v>
      </c>
      <c r="D93" s="19" t="s">
        <v>559</v>
      </c>
      <c r="E93" s="43">
        <v>0.625</v>
      </c>
      <c r="F93" s="43">
        <v>0.796</v>
      </c>
      <c r="G93" s="43">
        <v>0.5</v>
      </c>
      <c r="H93" s="43">
        <v>1.0</v>
      </c>
      <c r="I93" s="44" t="str">
        <f>IMAGE("https://drive.google.com/uc?export=view&amp;id=1Zb5bWOjoQyJLzGIiSPQhk5eNez1C8fJ8")</f>
        <v/>
      </c>
      <c r="J93" s="19" t="s">
        <v>16</v>
      </c>
      <c r="K93" s="43" t="s">
        <v>7</v>
      </c>
      <c r="L93" s="19">
        <v>64.0</v>
      </c>
      <c r="M93" s="19">
        <v>3.0</v>
      </c>
    </row>
    <row r="94">
      <c r="A94" s="19">
        <v>93.0</v>
      </c>
      <c r="B94" s="19" t="s">
        <v>214</v>
      </c>
      <c r="C94" s="19" t="s">
        <v>560</v>
      </c>
      <c r="D94" s="19" t="s">
        <v>561</v>
      </c>
      <c r="E94" s="43">
        <v>0.462</v>
      </c>
      <c r="F94" s="43">
        <v>0.759</v>
      </c>
      <c r="G94" s="43">
        <v>0.333</v>
      </c>
      <c r="H94" s="43">
        <v>1.0</v>
      </c>
      <c r="I94" s="44" t="str">
        <f>IMAGE("https://drive.google.com/uc?export=view&amp;id=12PFJ_ebparn_hgo3sz8LdsYergIXi_dm")</f>
        <v/>
      </c>
      <c r="J94" s="19" t="s">
        <v>16</v>
      </c>
      <c r="K94" s="43" t="s">
        <v>7</v>
      </c>
      <c r="L94" s="19">
        <v>64.0</v>
      </c>
      <c r="M94" s="19">
        <v>3.0</v>
      </c>
    </row>
    <row r="95">
      <c r="A95" s="19">
        <v>94.0</v>
      </c>
      <c r="B95" s="19" t="s">
        <v>217</v>
      </c>
      <c r="C95" s="19" t="s">
        <v>562</v>
      </c>
      <c r="D95" s="19" t="s">
        <v>563</v>
      </c>
      <c r="E95" s="43">
        <v>0.6</v>
      </c>
      <c r="F95" s="43">
        <v>0.803</v>
      </c>
      <c r="G95" s="43">
        <v>0.0</v>
      </c>
      <c r="H95" s="43">
        <v>0.0</v>
      </c>
      <c r="I95" s="44" t="str">
        <f>IMAGE("https://drive.google.com/uc?export=view&amp;id=10E3sSt3TNICa5PuOC7zbna0RkL1C3E_O")</f>
        <v/>
      </c>
      <c r="J95" s="19" t="s">
        <v>16</v>
      </c>
      <c r="K95" s="43" t="s">
        <v>7</v>
      </c>
      <c r="L95" s="19">
        <v>64.0</v>
      </c>
      <c r="M95" s="19">
        <v>3.0</v>
      </c>
    </row>
    <row r="96">
      <c r="A96" s="19">
        <v>95.0</v>
      </c>
      <c r="B96" s="19" t="s">
        <v>226</v>
      </c>
      <c r="C96" s="19" t="s">
        <v>568</v>
      </c>
      <c r="D96" s="19" t="s">
        <v>569</v>
      </c>
      <c r="E96" s="43">
        <v>0.778</v>
      </c>
      <c r="F96" s="43">
        <v>0.0</v>
      </c>
      <c r="G96" s="43">
        <v>0.0</v>
      </c>
      <c r="H96" s="43">
        <v>0.6</v>
      </c>
      <c r="I96" s="44" t="str">
        <f>IMAGE("https://drive.google.com/uc?export=view&amp;id=1bZ2HuoXMQno1E4vsiwr51dYah4QwyT2B")</f>
        <v/>
      </c>
      <c r="J96" s="19" t="s">
        <v>17</v>
      </c>
      <c r="K96" s="43" t="s">
        <v>7</v>
      </c>
      <c r="L96" s="19">
        <v>64.0</v>
      </c>
      <c r="M96" s="19">
        <v>3.0</v>
      </c>
    </row>
    <row r="97">
      <c r="A97" s="19">
        <v>96.0</v>
      </c>
      <c r="B97" s="19" t="s">
        <v>229</v>
      </c>
      <c r="C97" s="19" t="s">
        <v>570</v>
      </c>
      <c r="D97" s="19" t="s">
        <v>571</v>
      </c>
      <c r="E97" s="43">
        <v>0.75</v>
      </c>
      <c r="F97" s="43">
        <v>0.0</v>
      </c>
      <c r="G97" s="43">
        <v>0.0</v>
      </c>
      <c r="H97" s="43">
        <v>0.667</v>
      </c>
      <c r="I97" s="44" t="str">
        <f>IMAGE("https://drive.google.com/uc?export=view&amp;id=1Z1E6jAGMgXPLdExhs0z35olO8w1zZFys")</f>
        <v/>
      </c>
      <c r="J97" s="19" t="s">
        <v>17</v>
      </c>
      <c r="K97" s="43" t="s">
        <v>7</v>
      </c>
      <c r="L97" s="19">
        <v>64.0</v>
      </c>
      <c r="M97" s="19">
        <v>3.0</v>
      </c>
    </row>
    <row r="98">
      <c r="A98" s="19">
        <v>97.0</v>
      </c>
      <c r="B98" s="19" t="s">
        <v>238</v>
      </c>
      <c r="C98" s="19" t="s">
        <v>576</v>
      </c>
      <c r="D98" s="19" t="s">
        <v>577</v>
      </c>
      <c r="E98" s="43">
        <v>1.0</v>
      </c>
      <c r="F98" s="43">
        <v>0.0</v>
      </c>
      <c r="G98" s="43">
        <v>0.0</v>
      </c>
      <c r="H98" s="43">
        <v>0.0</v>
      </c>
      <c r="I98" s="44" t="str">
        <f>IMAGE("https://drive.google.com/uc?export=view&amp;id=1EGH4P1-B0N9FQdX3s5L2u_VmWMGspt2C")</f>
        <v/>
      </c>
      <c r="J98" s="19" t="s">
        <v>17</v>
      </c>
      <c r="K98" s="43" t="s">
        <v>7</v>
      </c>
      <c r="L98" s="19">
        <v>64.0</v>
      </c>
      <c r="M98" s="19">
        <v>3.0</v>
      </c>
    </row>
    <row r="99">
      <c r="A99" s="19">
        <v>98.0</v>
      </c>
      <c r="B99" s="19" t="s">
        <v>241</v>
      </c>
      <c r="C99" s="19" t="s">
        <v>578</v>
      </c>
      <c r="D99" s="19" t="s">
        <v>579</v>
      </c>
      <c r="E99" s="43">
        <v>0.556</v>
      </c>
      <c r="F99" s="43">
        <v>0.0</v>
      </c>
      <c r="G99" s="43">
        <v>0.0</v>
      </c>
      <c r="H99" s="43">
        <v>0.8</v>
      </c>
      <c r="I99" s="44" t="str">
        <f>IMAGE("https://drive.google.com/uc?export=view&amp;id=1W3kQMJEWwUq9z9HW5ZyMTQQ9TOil6Noi")</f>
        <v/>
      </c>
      <c r="J99" s="19" t="s">
        <v>17</v>
      </c>
      <c r="K99" s="43" t="s">
        <v>7</v>
      </c>
      <c r="L99" s="19">
        <v>64.0</v>
      </c>
      <c r="M99" s="19">
        <v>3.0</v>
      </c>
    </row>
    <row r="100">
      <c r="A100" s="19">
        <v>99.0</v>
      </c>
      <c r="B100" s="19" t="s">
        <v>247</v>
      </c>
      <c r="C100" s="19" t="s">
        <v>582</v>
      </c>
      <c r="D100" s="19" t="s">
        <v>583</v>
      </c>
      <c r="E100" s="43">
        <v>0.25</v>
      </c>
      <c r="F100" s="43">
        <v>1.0</v>
      </c>
      <c r="G100" s="43">
        <v>0.0</v>
      </c>
      <c r="H100" s="43">
        <v>0.0</v>
      </c>
      <c r="I100" s="44" t="str">
        <f>IMAGE("https://drive.google.com/uc?export=view&amp;id=1RJiGoatbKrugZ9w1kMT7eY8zLX0geSQm")</f>
        <v/>
      </c>
      <c r="J100" s="19" t="s">
        <v>17</v>
      </c>
      <c r="K100" s="43" t="s">
        <v>7</v>
      </c>
      <c r="L100" s="19">
        <v>64.0</v>
      </c>
      <c r="M100" s="19">
        <v>3.0</v>
      </c>
    </row>
    <row r="101">
      <c r="A101" s="19">
        <v>100.0</v>
      </c>
      <c r="B101" s="19" t="s">
        <v>250</v>
      </c>
      <c r="C101" s="19" t="s">
        <v>584</v>
      </c>
      <c r="D101" s="19" t="s">
        <v>585</v>
      </c>
      <c r="E101" s="43">
        <v>0.143</v>
      </c>
      <c r="F101" s="43">
        <v>0.0</v>
      </c>
      <c r="G101" s="43">
        <v>0.0</v>
      </c>
      <c r="H101" s="43">
        <v>0.667</v>
      </c>
      <c r="I101" s="44" t="str">
        <f>IMAGE("https://drive.google.com/uc?export=view&amp;id=1XAliQp-oVkfkgRzaWkgya-ZePJJ-czn2")</f>
        <v/>
      </c>
      <c r="J101" s="19" t="s">
        <v>17</v>
      </c>
      <c r="K101" s="43" t="s">
        <v>7</v>
      </c>
      <c r="L101" s="19">
        <v>64.0</v>
      </c>
      <c r="M101" s="19">
        <v>3.0</v>
      </c>
    </row>
    <row r="102">
      <c r="A102" s="19">
        <v>101.0</v>
      </c>
      <c r="B102" s="19" t="s">
        <v>253</v>
      </c>
      <c r="C102" s="19" t="s">
        <v>586</v>
      </c>
      <c r="D102" s="19" t="s">
        <v>587</v>
      </c>
      <c r="E102" s="43">
        <v>0.0</v>
      </c>
      <c r="F102" s="43">
        <v>0.0</v>
      </c>
      <c r="G102" s="43">
        <v>0.0</v>
      </c>
      <c r="H102" s="43">
        <v>1.0</v>
      </c>
      <c r="I102" s="44" t="str">
        <f>IMAGE("https://drive.google.com/uc?export=view&amp;id=17B8KJPhCMnwqfoVDNO6tubq_tQ0j60XX")</f>
        <v/>
      </c>
      <c r="J102" s="19" t="s">
        <v>17</v>
      </c>
      <c r="K102" s="43" t="s">
        <v>7</v>
      </c>
      <c r="L102" s="19">
        <v>64.0</v>
      </c>
      <c r="M102" s="19">
        <v>3.0</v>
      </c>
    </row>
    <row r="103">
      <c r="A103" s="19">
        <v>102.0</v>
      </c>
      <c r="B103" s="19" t="s">
        <v>256</v>
      </c>
      <c r="C103" s="19" t="s">
        <v>588</v>
      </c>
      <c r="D103" s="19" t="s">
        <v>589</v>
      </c>
      <c r="E103" s="43">
        <v>0.625</v>
      </c>
      <c r="F103" s="43">
        <v>0.0</v>
      </c>
      <c r="G103" s="43">
        <v>0.333</v>
      </c>
      <c r="H103" s="43">
        <v>0.75</v>
      </c>
      <c r="I103" s="44" t="str">
        <f>IMAGE("https://drive.google.com/uc?export=view&amp;id=1jn35y30s0pZ0BPpTEyXZvfm1JVgaFCXt")</f>
        <v/>
      </c>
      <c r="J103" s="19" t="s">
        <v>17</v>
      </c>
      <c r="K103" s="43" t="s">
        <v>7</v>
      </c>
      <c r="L103" s="19">
        <v>64.0</v>
      </c>
      <c r="M103" s="19">
        <v>3.0</v>
      </c>
    </row>
    <row r="104">
      <c r="A104" s="19">
        <v>103.0</v>
      </c>
      <c r="B104" s="19" t="s">
        <v>259</v>
      </c>
      <c r="C104" s="19" t="s">
        <v>590</v>
      </c>
      <c r="D104" s="19" t="s">
        <v>591</v>
      </c>
      <c r="E104" s="43">
        <v>0.667</v>
      </c>
      <c r="F104" s="43">
        <v>0.588</v>
      </c>
      <c r="G104" s="43">
        <v>0.333</v>
      </c>
      <c r="H104" s="43">
        <v>1.0</v>
      </c>
      <c r="I104" s="44" t="str">
        <f>IMAGE("https://drive.google.com/uc?export=view&amp;id=11ImoTCEtVR1tpMl2c2AapHtA-PptHBcf")</f>
        <v/>
      </c>
      <c r="J104" s="19" t="s">
        <v>17</v>
      </c>
      <c r="K104" s="43" t="s">
        <v>7</v>
      </c>
      <c r="L104" s="19">
        <v>64.0</v>
      </c>
      <c r="M104" s="19">
        <v>3.0</v>
      </c>
    </row>
    <row r="105">
      <c r="A105" s="19">
        <v>104.0</v>
      </c>
      <c r="B105" s="19" t="s">
        <v>265</v>
      </c>
      <c r="C105" s="19" t="s">
        <v>594</v>
      </c>
      <c r="D105" s="19" t="s">
        <v>595</v>
      </c>
      <c r="E105" s="43">
        <v>0.625</v>
      </c>
      <c r="F105" s="43">
        <v>0.388</v>
      </c>
      <c r="G105" s="43">
        <v>0.5</v>
      </c>
      <c r="H105" s="43">
        <v>1.0</v>
      </c>
      <c r="I105" s="44" t="str">
        <f>IMAGE("https://drive.google.com/uc?export=view&amp;id=1ex2YiT8P60f8_NsyXh0M3-nyRi22HRQu")</f>
        <v/>
      </c>
      <c r="J105" s="19" t="s">
        <v>17</v>
      </c>
      <c r="K105" s="43" t="s">
        <v>7</v>
      </c>
      <c r="L105" s="19">
        <v>64.0</v>
      </c>
      <c r="M105" s="19">
        <v>3.0</v>
      </c>
    </row>
    <row r="106">
      <c r="A106" s="19">
        <v>105.0</v>
      </c>
      <c r="B106" s="19" t="s">
        <v>277</v>
      </c>
      <c r="C106" s="19" t="s">
        <v>602</v>
      </c>
      <c r="D106" s="19" t="s">
        <v>603</v>
      </c>
      <c r="E106" s="43">
        <v>0.615</v>
      </c>
      <c r="F106" s="43">
        <v>0.0</v>
      </c>
      <c r="G106" s="43">
        <v>0.0</v>
      </c>
      <c r="H106" s="43">
        <v>0.833</v>
      </c>
      <c r="I106" s="44" t="str">
        <f>IMAGE("https://drive.google.com/uc?export=view&amp;id=1ChpzaXpfLk_ayMJP4vHvE6ZQ2R5jXmpZ")</f>
        <v/>
      </c>
      <c r="J106" s="19" t="s">
        <v>17</v>
      </c>
      <c r="K106" s="43" t="s">
        <v>7</v>
      </c>
      <c r="L106" s="19">
        <v>64.0</v>
      </c>
      <c r="M106" s="19">
        <v>3.0</v>
      </c>
    </row>
    <row r="107">
      <c r="A107" s="19">
        <v>106.0</v>
      </c>
      <c r="B107" s="19" t="s">
        <v>280</v>
      </c>
      <c r="C107" s="19" t="s">
        <v>604</v>
      </c>
      <c r="D107" s="19" t="s">
        <v>605</v>
      </c>
      <c r="E107" s="43">
        <v>0.727</v>
      </c>
      <c r="F107" s="43">
        <v>0.0</v>
      </c>
      <c r="G107" s="43">
        <v>0.0</v>
      </c>
      <c r="H107" s="43">
        <v>0.167</v>
      </c>
      <c r="I107" s="44" t="str">
        <f>IMAGE("https://drive.google.com/uc?export=view&amp;id=1OiStd4LbQ9D0O2Cwycq2EucZCvuUYCRC")</f>
        <v/>
      </c>
      <c r="J107" s="19" t="s">
        <v>17</v>
      </c>
      <c r="K107" s="43" t="s">
        <v>7</v>
      </c>
      <c r="L107" s="19">
        <v>64.0</v>
      </c>
      <c r="M107" s="19">
        <v>3.0</v>
      </c>
    </row>
    <row r="108">
      <c r="A108" s="19">
        <v>107.0</v>
      </c>
      <c r="B108" s="19" t="s">
        <v>46</v>
      </c>
      <c r="C108" s="19" t="s">
        <v>608</v>
      </c>
      <c r="D108" s="19" t="s">
        <v>609</v>
      </c>
      <c r="E108" s="43">
        <v>1.0</v>
      </c>
      <c r="F108" s="43">
        <v>0.914</v>
      </c>
      <c r="G108" s="43">
        <v>0.5</v>
      </c>
      <c r="H108" s="43">
        <v>0.0</v>
      </c>
      <c r="I108" s="44" t="str">
        <f>IMAGE("https://drive.google.com/uc?export=view&amp;id=103aGJwQuqePAB7OfnyKZwALBCOhFnYuk")</f>
        <v/>
      </c>
      <c r="J108" s="19" t="s">
        <v>14</v>
      </c>
      <c r="K108" s="43" t="s">
        <v>7</v>
      </c>
      <c r="L108" s="19">
        <v>64.0</v>
      </c>
      <c r="M108" s="19">
        <v>5.0</v>
      </c>
    </row>
    <row r="109">
      <c r="A109" s="19">
        <v>108.0</v>
      </c>
      <c r="B109" s="19" t="s">
        <v>61</v>
      </c>
      <c r="C109" s="19" t="s">
        <v>618</v>
      </c>
      <c r="D109" s="19" t="s">
        <v>619</v>
      </c>
      <c r="E109" s="43">
        <v>1.0</v>
      </c>
      <c r="F109" s="43">
        <v>0.976</v>
      </c>
      <c r="G109" s="43">
        <v>0.5</v>
      </c>
      <c r="H109" s="43">
        <v>1.0</v>
      </c>
      <c r="I109" s="44" t="str">
        <f>IMAGE("https://drive.google.com/uc?export=view&amp;id=1O9rXGnJ2aWqVZESVSjpB1Aysa-ETSgt_")</f>
        <v/>
      </c>
      <c r="J109" s="19" t="s">
        <v>14</v>
      </c>
      <c r="K109" s="43" t="s">
        <v>7</v>
      </c>
      <c r="L109" s="19">
        <v>64.0</v>
      </c>
      <c r="M109" s="19">
        <v>5.0</v>
      </c>
    </row>
    <row r="110">
      <c r="A110" s="19">
        <v>109.0</v>
      </c>
      <c r="B110" s="19" t="s">
        <v>70</v>
      </c>
      <c r="C110" s="19" t="s">
        <v>624</v>
      </c>
      <c r="D110" s="19" t="s">
        <v>625</v>
      </c>
      <c r="E110" s="43">
        <v>0.5</v>
      </c>
      <c r="F110" s="43">
        <v>0.686</v>
      </c>
      <c r="G110" s="43">
        <v>0.417</v>
      </c>
      <c r="H110" s="43">
        <v>1.0</v>
      </c>
      <c r="I110" s="44" t="str">
        <f>IMAGE("https://drive.google.com/uc?export=view&amp;id=1bisemCUfu0neTF9Or7iad1pnyZ3Uh6nj")</f>
        <v/>
      </c>
      <c r="J110" s="19" t="s">
        <v>14</v>
      </c>
      <c r="K110" s="43" t="s">
        <v>7</v>
      </c>
      <c r="L110" s="19">
        <v>64.0</v>
      </c>
      <c r="M110" s="19">
        <v>5.0</v>
      </c>
    </row>
    <row r="111">
      <c r="A111" s="19">
        <v>110.0</v>
      </c>
      <c r="B111" s="19" t="s">
        <v>85</v>
      </c>
      <c r="C111" s="19" t="s">
        <v>634</v>
      </c>
      <c r="D111" s="19" t="s">
        <v>635</v>
      </c>
      <c r="E111" s="43">
        <v>0.778</v>
      </c>
      <c r="F111" s="43">
        <v>0.982</v>
      </c>
      <c r="G111" s="43">
        <v>0.2</v>
      </c>
      <c r="H111" s="43">
        <v>1.0</v>
      </c>
      <c r="I111" s="44" t="str">
        <f>IMAGE("https://drive.google.com/uc?export=view&amp;id=1Ch03urZW6g9gBfYH5CfKwUTXiNG8zJw2")</f>
        <v/>
      </c>
      <c r="J111" s="19" t="s">
        <v>14</v>
      </c>
      <c r="K111" s="43" t="s">
        <v>7</v>
      </c>
      <c r="L111" s="19">
        <v>64.0</v>
      </c>
      <c r="M111" s="19">
        <v>5.0</v>
      </c>
    </row>
    <row r="112">
      <c r="A112" s="19">
        <v>111.0</v>
      </c>
      <c r="B112" s="19" t="s">
        <v>88</v>
      </c>
      <c r="C112" s="19" t="s">
        <v>636</v>
      </c>
      <c r="D112" s="19" t="s">
        <v>637</v>
      </c>
      <c r="E112" s="43">
        <v>0.429</v>
      </c>
      <c r="F112" s="43">
        <v>0.0</v>
      </c>
      <c r="G112" s="43">
        <v>0.0</v>
      </c>
      <c r="H112" s="43">
        <v>0.333</v>
      </c>
      <c r="I112" s="44" t="str">
        <f>IMAGE("https://drive.google.com/uc?export=view&amp;id=1rduqT1IvqLKh0BOLyi9KlAFUk4E1m47N")</f>
        <v/>
      </c>
      <c r="J112" s="19" t="s">
        <v>14</v>
      </c>
      <c r="K112" s="43" t="s">
        <v>7</v>
      </c>
      <c r="L112" s="19">
        <v>64.0</v>
      </c>
      <c r="M112" s="19">
        <v>5.0</v>
      </c>
    </row>
    <row r="113">
      <c r="A113" s="19">
        <v>112.0</v>
      </c>
      <c r="B113" s="19" t="s">
        <v>94</v>
      </c>
      <c r="C113" s="19" t="s">
        <v>640</v>
      </c>
      <c r="D113" s="19" t="s">
        <v>641</v>
      </c>
      <c r="E113" s="43">
        <v>0.2</v>
      </c>
      <c r="F113" s="43">
        <v>0.66</v>
      </c>
      <c r="G113" s="43">
        <v>0.2</v>
      </c>
      <c r="H113" s="43">
        <v>1.0</v>
      </c>
      <c r="I113" s="44" t="str">
        <f>IMAGE("https://drive.google.com/uc?export=view&amp;id=1SY7-PjupdGWhKHFA9zSe4A4tk1jvwm1k")</f>
        <v/>
      </c>
      <c r="J113" s="19" t="s">
        <v>14</v>
      </c>
      <c r="K113" s="43" t="s">
        <v>7</v>
      </c>
      <c r="L113" s="19">
        <v>64.0</v>
      </c>
      <c r="M113" s="19">
        <v>5.0</v>
      </c>
    </row>
    <row r="114">
      <c r="A114" s="19">
        <v>113.0</v>
      </c>
      <c r="B114" s="19" t="s">
        <v>100</v>
      </c>
      <c r="C114" s="19" t="s">
        <v>644</v>
      </c>
      <c r="D114" s="19" t="s">
        <v>645</v>
      </c>
      <c r="E114" s="43">
        <v>0.923</v>
      </c>
      <c r="F114" s="43">
        <v>0.962</v>
      </c>
      <c r="G114" s="43">
        <v>0.0</v>
      </c>
      <c r="H114" s="43">
        <v>1.0</v>
      </c>
      <c r="I114" s="44" t="str">
        <f>IMAGE("https://drive.google.com/uc?export=view&amp;id=1P1EdEvqUlKyZi4B19sZNzUcbhjD6Z2cN")</f>
        <v/>
      </c>
      <c r="J114" s="19" t="s">
        <v>14</v>
      </c>
      <c r="K114" s="43" t="s">
        <v>7</v>
      </c>
      <c r="L114" s="19">
        <v>64.0</v>
      </c>
      <c r="M114" s="19">
        <v>5.0</v>
      </c>
    </row>
    <row r="115">
      <c r="A115" s="19">
        <v>114.0</v>
      </c>
      <c r="B115" s="19" t="s">
        <v>106</v>
      </c>
      <c r="C115" s="19" t="s">
        <v>650</v>
      </c>
      <c r="D115" s="19" t="s">
        <v>651</v>
      </c>
      <c r="E115" s="43">
        <v>0.625</v>
      </c>
      <c r="F115" s="43">
        <v>0.0</v>
      </c>
      <c r="G115" s="43">
        <v>0.0</v>
      </c>
      <c r="H115" s="43">
        <v>0.6</v>
      </c>
      <c r="I115" s="44" t="str">
        <f>IMAGE("https://drive.google.com/uc?export=view&amp;id=1NUiadzzxdQQiFJbFf2tpNyJjpHLJhi4b")</f>
        <v/>
      </c>
      <c r="J115" s="19" t="s">
        <v>15</v>
      </c>
      <c r="K115" s="43" t="s">
        <v>7</v>
      </c>
      <c r="L115" s="19">
        <v>64.0</v>
      </c>
      <c r="M115" s="19">
        <v>5.0</v>
      </c>
    </row>
    <row r="116">
      <c r="A116" s="19">
        <v>115.0</v>
      </c>
      <c r="B116" s="19" t="s">
        <v>121</v>
      </c>
      <c r="C116" s="19" t="s">
        <v>658</v>
      </c>
      <c r="D116" s="19" t="s">
        <v>659</v>
      </c>
      <c r="E116" s="43">
        <v>0.667</v>
      </c>
      <c r="F116" s="43">
        <v>0.993</v>
      </c>
      <c r="G116" s="43">
        <v>0.0</v>
      </c>
      <c r="H116" s="43">
        <v>0.875</v>
      </c>
      <c r="I116" s="44" t="str">
        <f>IMAGE("https://drive.google.com/uc?export=view&amp;id=1uKraOi9ZFpB-fToq4EQHZwzn1eQIBiMh")</f>
        <v/>
      </c>
      <c r="J116" s="19" t="s">
        <v>15</v>
      </c>
      <c r="K116" s="43" t="s">
        <v>7</v>
      </c>
      <c r="L116" s="19">
        <v>64.0</v>
      </c>
      <c r="M116" s="19">
        <v>5.0</v>
      </c>
    </row>
    <row r="117">
      <c r="A117" s="19">
        <v>116.0</v>
      </c>
      <c r="B117" s="19" t="s">
        <v>139</v>
      </c>
      <c r="C117" s="19" t="s">
        <v>668</v>
      </c>
      <c r="D117" s="19" t="s">
        <v>669</v>
      </c>
      <c r="E117" s="43">
        <v>0.455</v>
      </c>
      <c r="F117" s="43">
        <v>0.0</v>
      </c>
      <c r="G117" s="43">
        <v>0.478</v>
      </c>
      <c r="H117" s="43">
        <v>1.0</v>
      </c>
      <c r="I117" s="44" t="str">
        <f>IMAGE("https://drive.google.com/uc?export=view&amp;id=1RVnwKBdb1y--KXcwSk-Ry3i71YXgkyEa")</f>
        <v/>
      </c>
      <c r="J117" s="19" t="s">
        <v>15</v>
      </c>
      <c r="K117" s="43" t="s">
        <v>7</v>
      </c>
      <c r="L117" s="19">
        <v>64.0</v>
      </c>
      <c r="M117" s="19">
        <v>5.0</v>
      </c>
    </row>
    <row r="118">
      <c r="A118" s="19">
        <v>117.0</v>
      </c>
      <c r="B118" s="19" t="s">
        <v>142</v>
      </c>
      <c r="C118" s="19" t="s">
        <v>670</v>
      </c>
      <c r="D118" s="19" t="s">
        <v>671</v>
      </c>
      <c r="E118" s="43">
        <v>0.0</v>
      </c>
      <c r="F118" s="43">
        <v>0.0</v>
      </c>
      <c r="G118" s="43">
        <v>0.0</v>
      </c>
      <c r="H118" s="43">
        <v>0.125</v>
      </c>
      <c r="I118" s="44" t="str">
        <f>IMAGE("https://drive.google.com/uc?export=view&amp;id=1aUNor0i-UD4A73JgrENyWnAF7edelA1_")</f>
        <v/>
      </c>
      <c r="J118" s="19" t="s">
        <v>15</v>
      </c>
      <c r="K118" s="43" t="s">
        <v>7</v>
      </c>
      <c r="L118" s="19">
        <v>64.0</v>
      </c>
      <c r="M118" s="19">
        <v>5.0</v>
      </c>
    </row>
    <row r="119">
      <c r="A119" s="19">
        <v>118.0</v>
      </c>
      <c r="B119" s="19" t="s">
        <v>157</v>
      </c>
      <c r="C119" s="19" t="s">
        <v>680</v>
      </c>
      <c r="D119" s="19" t="s">
        <v>681</v>
      </c>
      <c r="E119" s="43">
        <v>0.524</v>
      </c>
      <c r="F119" s="43">
        <v>0.0</v>
      </c>
      <c r="G119" s="43">
        <v>0.0</v>
      </c>
      <c r="H119" s="43">
        <v>1.0</v>
      </c>
      <c r="I119" s="44" t="str">
        <f>IMAGE("https://drive.google.com/uc?export=view&amp;id=1x_OKNjO5KgDpd7o5_pOSRfpgsxQ2PLq6")</f>
        <v/>
      </c>
      <c r="J119" s="19" t="s">
        <v>15</v>
      </c>
      <c r="K119" s="43" t="s">
        <v>7</v>
      </c>
      <c r="L119" s="19">
        <v>64.0</v>
      </c>
      <c r="M119" s="19">
        <v>5.0</v>
      </c>
    </row>
    <row r="120">
      <c r="A120" s="19">
        <v>119.0</v>
      </c>
      <c r="B120" s="19" t="s">
        <v>169</v>
      </c>
      <c r="C120" s="19" t="s">
        <v>690</v>
      </c>
      <c r="D120" s="19" t="s">
        <v>691</v>
      </c>
      <c r="E120" s="43">
        <v>0.5</v>
      </c>
      <c r="F120" s="43">
        <v>0.693</v>
      </c>
      <c r="G120" s="43">
        <v>0.45</v>
      </c>
      <c r="H120" s="43">
        <v>0.6</v>
      </c>
      <c r="I120" s="44" t="str">
        <f>IMAGE("https://drive.google.com/uc?export=view&amp;id=1RnI3JcHpX9RvJLeoNcMl85IMd1qonTuT")</f>
        <v/>
      </c>
      <c r="J120" s="19" t="s">
        <v>16</v>
      </c>
      <c r="K120" s="43" t="s">
        <v>7</v>
      </c>
      <c r="L120" s="19">
        <v>64.0</v>
      </c>
      <c r="M120" s="19">
        <v>5.0</v>
      </c>
    </row>
    <row r="121">
      <c r="A121" s="19">
        <v>120.0</v>
      </c>
      <c r="B121" s="19" t="s">
        <v>175</v>
      </c>
      <c r="C121" s="19" t="s">
        <v>694</v>
      </c>
      <c r="D121" s="19" t="s">
        <v>695</v>
      </c>
      <c r="E121" s="43">
        <v>0.0</v>
      </c>
      <c r="F121" s="43">
        <v>0.0</v>
      </c>
      <c r="G121" s="43">
        <v>0.0</v>
      </c>
      <c r="H121" s="43">
        <v>0.0</v>
      </c>
      <c r="I121" s="44" t="str">
        <f>IMAGE("https://drive.google.com/uc?export=view&amp;id=1cJFw4066mWpcM7J3BgMsoDH9-eFJgkyu")</f>
        <v/>
      </c>
      <c r="J121" s="19" t="s">
        <v>16</v>
      </c>
      <c r="K121" s="43" t="s">
        <v>7</v>
      </c>
      <c r="L121" s="19">
        <v>64.0</v>
      </c>
      <c r="M121" s="19">
        <v>5.0</v>
      </c>
    </row>
    <row r="122">
      <c r="A122" s="19">
        <v>121.0</v>
      </c>
      <c r="B122" s="19" t="s">
        <v>181</v>
      </c>
      <c r="C122" s="19" t="s">
        <v>698</v>
      </c>
      <c r="D122" s="19" t="s">
        <v>699</v>
      </c>
      <c r="E122" s="43">
        <v>1.0</v>
      </c>
      <c r="F122" s="43">
        <v>0.0</v>
      </c>
      <c r="G122" s="43">
        <v>0.0</v>
      </c>
      <c r="H122" s="43">
        <v>0.75</v>
      </c>
      <c r="I122" s="44" t="str">
        <f>IMAGE("https://drive.google.com/uc?export=view&amp;id=1I0BhcyE1o9V8_98YHaFt64YB1nKlewwT")</f>
        <v/>
      </c>
      <c r="J122" s="19" t="s">
        <v>16</v>
      </c>
      <c r="K122" s="43" t="s">
        <v>7</v>
      </c>
      <c r="L122" s="19">
        <v>64.0</v>
      </c>
      <c r="M122" s="19">
        <v>5.0</v>
      </c>
    </row>
    <row r="123">
      <c r="A123" s="19">
        <v>122.0</v>
      </c>
      <c r="B123" s="19" t="s">
        <v>202</v>
      </c>
      <c r="C123" s="19" t="s">
        <v>708</v>
      </c>
      <c r="D123" s="19" t="s">
        <v>709</v>
      </c>
      <c r="E123" s="43">
        <v>0.571</v>
      </c>
      <c r="F123" s="43">
        <v>0.708</v>
      </c>
      <c r="G123" s="43">
        <v>0.25</v>
      </c>
      <c r="H123" s="43">
        <v>0.0</v>
      </c>
      <c r="I123" s="44" t="str">
        <f>IMAGE("https://drive.google.com/uc?export=view&amp;id=1IGNKwo-JhErWDlE7ZwXOFFSfZw-GBhn9")</f>
        <v/>
      </c>
      <c r="J123" s="19" t="s">
        <v>16</v>
      </c>
      <c r="K123" s="43" t="s">
        <v>7</v>
      </c>
      <c r="L123" s="19">
        <v>64.0</v>
      </c>
      <c r="M123" s="19">
        <v>5.0</v>
      </c>
    </row>
    <row r="124">
      <c r="A124" s="19">
        <v>123.0</v>
      </c>
      <c r="B124" s="19" t="s">
        <v>214</v>
      </c>
      <c r="C124" s="19" t="s">
        <v>720</v>
      </c>
      <c r="D124" s="19" t="s">
        <v>721</v>
      </c>
      <c r="E124" s="43">
        <v>1.0</v>
      </c>
      <c r="F124" s="43">
        <v>0.675</v>
      </c>
      <c r="G124" s="43">
        <v>0.417</v>
      </c>
      <c r="H124" s="43">
        <v>1.0</v>
      </c>
      <c r="I124" s="44" t="str">
        <f>IMAGE("https://drive.google.com/uc?export=view&amp;id=1JucyqWnaI08m1fX-AlO4PqPddf5HflD1")</f>
        <v/>
      </c>
      <c r="J124" s="19" t="s">
        <v>16</v>
      </c>
      <c r="K124" s="43" t="s">
        <v>7</v>
      </c>
      <c r="L124" s="19">
        <v>64.0</v>
      </c>
      <c r="M124" s="19">
        <v>5.0</v>
      </c>
    </row>
    <row r="125">
      <c r="A125" s="19">
        <v>124.0</v>
      </c>
      <c r="B125" s="19" t="s">
        <v>217</v>
      </c>
      <c r="C125" s="19" t="s">
        <v>722</v>
      </c>
      <c r="D125" s="19" t="s">
        <v>723</v>
      </c>
      <c r="E125" s="43">
        <v>1.0</v>
      </c>
      <c r="F125" s="43">
        <v>0.803</v>
      </c>
      <c r="G125" s="43">
        <v>0.0</v>
      </c>
      <c r="H125" s="43">
        <v>0.0</v>
      </c>
      <c r="I125" s="44" t="str">
        <f>IMAGE("https://drive.google.com/uc?export=view&amp;id=1aKYu7CT-kzOzZFsEBN_1R_6GWt8r4_h2")</f>
        <v/>
      </c>
      <c r="J125" s="19" t="s">
        <v>16</v>
      </c>
      <c r="K125" s="43" t="s">
        <v>7</v>
      </c>
      <c r="L125" s="19">
        <v>64.0</v>
      </c>
      <c r="M125" s="19">
        <v>5.0</v>
      </c>
    </row>
    <row r="126">
      <c r="A126" s="19">
        <v>125.0</v>
      </c>
      <c r="B126" s="19" t="s">
        <v>229</v>
      </c>
      <c r="C126" s="19" t="s">
        <v>730</v>
      </c>
      <c r="D126" s="19" t="s">
        <v>731</v>
      </c>
      <c r="E126" s="43">
        <v>0.65</v>
      </c>
      <c r="F126" s="43">
        <v>0.0</v>
      </c>
      <c r="G126" s="43">
        <v>0.0</v>
      </c>
      <c r="H126" s="43">
        <v>0.6</v>
      </c>
      <c r="I126" s="44" t="str">
        <f>IMAGE("https://drive.google.com/uc?export=view&amp;id=1JgzgeUhav0Ie-mDCpN7a4xaBzKyQf2JP")</f>
        <v/>
      </c>
      <c r="J126" s="19" t="s">
        <v>17</v>
      </c>
      <c r="K126" s="43" t="s">
        <v>7</v>
      </c>
      <c r="L126" s="19">
        <v>64.0</v>
      </c>
      <c r="M126" s="19">
        <v>5.0</v>
      </c>
    </row>
    <row r="127">
      <c r="A127" s="19">
        <v>126.0</v>
      </c>
      <c r="B127" s="19" t="s">
        <v>232</v>
      </c>
      <c r="C127" s="19" t="s">
        <v>732</v>
      </c>
      <c r="D127" s="19" t="s">
        <v>733</v>
      </c>
      <c r="E127" s="43">
        <v>0.583</v>
      </c>
      <c r="F127" s="43">
        <v>0.753</v>
      </c>
      <c r="G127" s="43">
        <v>0.2</v>
      </c>
      <c r="H127" s="43">
        <v>0.25</v>
      </c>
      <c r="I127" s="44" t="str">
        <f>IMAGE("https://drive.google.com/uc?export=view&amp;id=1Z_coNQEdfVHVOhQqeX1fL_bfkvqA9ZR-")</f>
        <v/>
      </c>
      <c r="J127" s="19" t="s">
        <v>17</v>
      </c>
      <c r="K127" s="43" t="s">
        <v>7</v>
      </c>
      <c r="L127" s="19">
        <v>64.0</v>
      </c>
      <c r="M127" s="19">
        <v>5.0</v>
      </c>
    </row>
    <row r="128">
      <c r="A128" s="19">
        <v>127.0</v>
      </c>
      <c r="B128" s="19" t="s">
        <v>238</v>
      </c>
      <c r="C128" s="19" t="s">
        <v>736</v>
      </c>
      <c r="D128" s="19" t="s">
        <v>737</v>
      </c>
      <c r="E128" s="43">
        <v>0.5</v>
      </c>
      <c r="F128" s="43">
        <v>0.786</v>
      </c>
      <c r="G128" s="43">
        <v>0.0</v>
      </c>
      <c r="H128" s="43">
        <v>0.667</v>
      </c>
      <c r="I128" s="44" t="str">
        <f>IMAGE("https://drive.google.com/uc?export=view&amp;id=1dOmf_0GltSv_6ZsNEj9Vj0nrR6xb2biV")</f>
        <v/>
      </c>
      <c r="J128" s="19" t="s">
        <v>17</v>
      </c>
      <c r="K128" s="43" t="s">
        <v>7</v>
      </c>
      <c r="L128" s="19">
        <v>64.0</v>
      </c>
      <c r="M128" s="19">
        <v>5.0</v>
      </c>
    </row>
    <row r="129">
      <c r="A129" s="19">
        <v>128.0</v>
      </c>
      <c r="B129" s="19" t="s">
        <v>241</v>
      </c>
      <c r="C129" s="19" t="s">
        <v>738</v>
      </c>
      <c r="D129" s="19" t="s">
        <v>739</v>
      </c>
      <c r="E129" s="43">
        <v>0.5</v>
      </c>
      <c r="F129" s="43">
        <v>0.627</v>
      </c>
      <c r="G129" s="43">
        <v>0.333</v>
      </c>
      <c r="H129" s="43">
        <v>1.0</v>
      </c>
      <c r="I129" s="44" t="str">
        <f>IMAGE("https://drive.google.com/uc?export=view&amp;id=1lkCbCG1lImW3AQ10DRXPDaERCc5lt-V-")</f>
        <v/>
      </c>
      <c r="J129" s="19" t="s">
        <v>17</v>
      </c>
      <c r="K129" s="43" t="s">
        <v>7</v>
      </c>
      <c r="L129" s="19">
        <v>64.0</v>
      </c>
      <c r="M129" s="19">
        <v>5.0</v>
      </c>
    </row>
    <row r="130">
      <c r="A130" s="19">
        <v>129.0</v>
      </c>
      <c r="B130" s="19" t="s">
        <v>247</v>
      </c>
      <c r="C130" s="19" t="s">
        <v>740</v>
      </c>
      <c r="D130" s="19" t="s">
        <v>741</v>
      </c>
      <c r="E130" s="43">
        <v>0.385</v>
      </c>
      <c r="F130" s="43">
        <v>0.467</v>
      </c>
      <c r="G130" s="43">
        <v>0.0</v>
      </c>
      <c r="H130" s="43">
        <v>0.0</v>
      </c>
      <c r="I130" s="44" t="str">
        <f>IMAGE("https://drive.google.com/uc?export=view&amp;id=1hPnO7xAyn2jYqgL_npTncy459S0ZphRD")</f>
        <v/>
      </c>
      <c r="J130" s="19" t="s">
        <v>17</v>
      </c>
      <c r="K130" s="43" t="s">
        <v>7</v>
      </c>
      <c r="L130" s="19">
        <v>64.0</v>
      </c>
      <c r="M130" s="19">
        <v>5.0</v>
      </c>
    </row>
    <row r="131">
      <c r="A131" s="19">
        <v>130.0</v>
      </c>
      <c r="B131" s="19" t="s">
        <v>250</v>
      </c>
      <c r="C131" s="19" t="s">
        <v>742</v>
      </c>
      <c r="D131" s="19" t="s">
        <v>743</v>
      </c>
      <c r="E131" s="43">
        <v>0.583</v>
      </c>
      <c r="F131" s="43">
        <v>0.0</v>
      </c>
      <c r="G131" s="43">
        <v>0.0</v>
      </c>
      <c r="H131" s="43">
        <v>0.5</v>
      </c>
      <c r="I131" s="44" t="str">
        <f>IMAGE("https://drive.google.com/uc?export=view&amp;id=1CzQ0CTl42AzYrbHutU1vn0GeA4jSCzJK")</f>
        <v/>
      </c>
      <c r="J131" s="19" t="s">
        <v>17</v>
      </c>
      <c r="K131" s="43" t="s">
        <v>7</v>
      </c>
      <c r="L131" s="19">
        <v>64.0</v>
      </c>
      <c r="M131" s="19">
        <v>5.0</v>
      </c>
    </row>
    <row r="132">
      <c r="A132" s="19">
        <v>131.0</v>
      </c>
      <c r="B132" s="19" t="s">
        <v>256</v>
      </c>
      <c r="C132" s="19" t="s">
        <v>744</v>
      </c>
      <c r="D132" s="19" t="s">
        <v>745</v>
      </c>
      <c r="E132" s="43">
        <v>0.667</v>
      </c>
      <c r="F132" s="43">
        <v>0.816</v>
      </c>
      <c r="G132" s="43">
        <v>0.333</v>
      </c>
      <c r="H132" s="43">
        <v>1.0</v>
      </c>
      <c r="I132" s="44" t="str">
        <f>IMAGE("https://drive.google.com/uc?export=view&amp;id=1Qr7cyeqEWHzZXhn3tNVMNIuUrGGsaKoP")</f>
        <v/>
      </c>
      <c r="J132" s="19" t="s">
        <v>17</v>
      </c>
      <c r="K132" s="43" t="s">
        <v>7</v>
      </c>
      <c r="L132" s="19">
        <v>64.0</v>
      </c>
      <c r="M132" s="19">
        <v>5.0</v>
      </c>
    </row>
    <row r="133">
      <c r="A133" s="19">
        <v>132.0</v>
      </c>
      <c r="B133" s="19" t="s">
        <v>265</v>
      </c>
      <c r="C133" s="19" t="s">
        <v>748</v>
      </c>
      <c r="D133" s="19" t="s">
        <v>749</v>
      </c>
      <c r="E133" s="43">
        <v>1.0</v>
      </c>
      <c r="F133" s="43">
        <v>0.745</v>
      </c>
      <c r="G133" s="43">
        <v>0.25</v>
      </c>
      <c r="H133" s="43">
        <v>1.0</v>
      </c>
      <c r="I133" s="44" t="str">
        <f>IMAGE("https://drive.google.com/uc?export=view&amp;id=1FEjhCRCxm0Pp4z2Al6YF5lmnasWy9P7S")</f>
        <v/>
      </c>
      <c r="J133" s="19" t="s">
        <v>17</v>
      </c>
      <c r="K133" s="43" t="s">
        <v>7</v>
      </c>
      <c r="L133" s="19">
        <v>64.0</v>
      </c>
      <c r="M133" s="19">
        <v>5.0</v>
      </c>
    </row>
    <row r="134">
      <c r="A134" s="19">
        <v>133.0</v>
      </c>
      <c r="B134" s="19" t="s">
        <v>262</v>
      </c>
      <c r="C134" s="19" t="s">
        <v>758</v>
      </c>
      <c r="D134" s="19" t="s">
        <v>759</v>
      </c>
      <c r="E134" s="43">
        <v>0.375</v>
      </c>
      <c r="F134" s="43">
        <v>0.902</v>
      </c>
      <c r="G134" s="43">
        <v>0.25</v>
      </c>
      <c r="H134" s="43">
        <v>1.0</v>
      </c>
      <c r="I134" s="44" t="str">
        <f>IMAGE("https://drive.google.com/uc?export=view&amp;id=1FokdUOm0nfNZhfhpTFv_X6KREtOsW6ik")</f>
        <v/>
      </c>
      <c r="J134" s="19" t="s">
        <v>17</v>
      </c>
      <c r="K134" s="43" t="s">
        <v>7</v>
      </c>
      <c r="L134" s="19">
        <v>64.0</v>
      </c>
      <c r="M134" s="19">
        <v>5.0</v>
      </c>
    </row>
    <row r="135">
      <c r="A135" s="19">
        <v>134.0</v>
      </c>
      <c r="B135" s="19" t="s">
        <v>274</v>
      </c>
      <c r="C135" s="19" t="s">
        <v>760</v>
      </c>
      <c r="D135" s="19" t="s">
        <v>761</v>
      </c>
      <c r="E135" s="43">
        <v>0.667</v>
      </c>
      <c r="F135" s="43">
        <v>0.0</v>
      </c>
      <c r="G135" s="43">
        <v>0.2</v>
      </c>
      <c r="H135" s="43">
        <v>0.8</v>
      </c>
      <c r="I135" s="44" t="str">
        <f>IMAGE("https://drive.google.com/uc?export=view&amp;id=11CCBmAR4yKjsZJPIHgLUGtmM_GpfqN4X")</f>
        <v/>
      </c>
      <c r="J135" s="19" t="s">
        <v>17</v>
      </c>
      <c r="K135" s="43" t="s">
        <v>7</v>
      </c>
      <c r="L135" s="19">
        <v>64.0</v>
      </c>
      <c r="M135" s="19">
        <v>5.0</v>
      </c>
    </row>
    <row r="136">
      <c r="A136" s="19">
        <v>135.0</v>
      </c>
      <c r="B136" s="19" t="s">
        <v>277</v>
      </c>
      <c r="C136" s="19" t="s">
        <v>762</v>
      </c>
      <c r="D136" s="19" t="s">
        <v>763</v>
      </c>
      <c r="E136" s="43">
        <v>0.938</v>
      </c>
      <c r="F136" s="43">
        <v>0.0</v>
      </c>
      <c r="G136" s="43">
        <v>0.0</v>
      </c>
      <c r="H136" s="43">
        <v>1.0</v>
      </c>
      <c r="I136" s="44" t="str">
        <f>IMAGE("https://drive.google.com/uc?export=view&amp;id=1XR8mGVoZsFTPz1ljJboSkfmeg4LkAPI3")</f>
        <v/>
      </c>
      <c r="J136" s="19" t="s">
        <v>17</v>
      </c>
      <c r="K136" s="43" t="s">
        <v>7</v>
      </c>
      <c r="L136" s="19">
        <v>64.0</v>
      </c>
      <c r="M136" s="19">
        <v>5.0</v>
      </c>
    </row>
    <row r="137">
      <c r="A137" s="19">
        <v>136.0</v>
      </c>
      <c r="B137" s="19" t="s">
        <v>280</v>
      </c>
      <c r="C137" s="19" t="s">
        <v>764</v>
      </c>
      <c r="D137" s="19" t="s">
        <v>765</v>
      </c>
      <c r="E137" s="43">
        <v>0.571</v>
      </c>
      <c r="F137" s="43">
        <v>0.486</v>
      </c>
      <c r="G137" s="43">
        <v>0.2</v>
      </c>
      <c r="H137" s="43">
        <v>1.0</v>
      </c>
      <c r="I137" s="44" t="str">
        <f>IMAGE("https://drive.google.com/uc?export=view&amp;id=1t16c8O-MPbsAc9EM9zcbdkQolZqQzhfW")</f>
        <v/>
      </c>
      <c r="J137" s="19" t="s">
        <v>17</v>
      </c>
      <c r="K137" s="19" t="s">
        <v>8</v>
      </c>
      <c r="L137" s="19">
        <v>32.0</v>
      </c>
      <c r="M137" s="19">
        <v>3.0</v>
      </c>
    </row>
    <row r="138">
      <c r="A138" s="19">
        <v>137.0</v>
      </c>
      <c r="B138" s="19" t="s">
        <v>49</v>
      </c>
      <c r="C138" s="19" t="s">
        <v>770</v>
      </c>
      <c r="D138" s="19" t="s">
        <v>771</v>
      </c>
      <c r="E138" s="43">
        <v>0.6</v>
      </c>
      <c r="F138" s="43">
        <v>0.99</v>
      </c>
      <c r="G138" s="43">
        <v>0.0</v>
      </c>
      <c r="H138" s="43">
        <v>1.0</v>
      </c>
      <c r="I138" s="44" t="str">
        <f>IMAGE("https://drive.google.com/uc?export=view&amp;id=1eIRRtMkNONAV6kNhCX7gFo5a2jMe3kcO")</f>
        <v/>
      </c>
      <c r="J138" s="19" t="s">
        <v>14</v>
      </c>
      <c r="K138" s="19" t="s">
        <v>8</v>
      </c>
      <c r="L138" s="19">
        <v>32.0</v>
      </c>
      <c r="M138" s="19">
        <v>3.0</v>
      </c>
    </row>
    <row r="139">
      <c r="A139" s="19">
        <v>138.0</v>
      </c>
      <c r="B139" s="19" t="s">
        <v>85</v>
      </c>
      <c r="C139" s="19" t="s">
        <v>792</v>
      </c>
      <c r="D139" s="19" t="s">
        <v>793</v>
      </c>
      <c r="E139" s="43">
        <v>0.0</v>
      </c>
      <c r="F139" s="43">
        <v>0.985</v>
      </c>
      <c r="G139" s="43">
        <v>0.5</v>
      </c>
      <c r="H139" s="43">
        <v>0.0</v>
      </c>
      <c r="I139" s="44" t="str">
        <f>IMAGE("https://drive.google.com/uc?export=view&amp;id=1S5Q1-fqrdRLYK-aPKgQZdyvJZV-v0RbI")</f>
        <v/>
      </c>
      <c r="J139" s="19" t="s">
        <v>14</v>
      </c>
      <c r="K139" s="19" t="s">
        <v>8</v>
      </c>
      <c r="L139" s="19">
        <v>32.0</v>
      </c>
      <c r="M139" s="19">
        <v>3.0</v>
      </c>
    </row>
    <row r="140">
      <c r="A140" s="19">
        <v>139.0</v>
      </c>
      <c r="B140" s="19" t="s">
        <v>106</v>
      </c>
      <c r="C140" s="19" t="s">
        <v>808</v>
      </c>
      <c r="D140" s="19" t="s">
        <v>809</v>
      </c>
      <c r="E140" s="43">
        <v>1.0</v>
      </c>
      <c r="F140" s="43">
        <v>0.839</v>
      </c>
      <c r="G140" s="43">
        <v>0.5</v>
      </c>
      <c r="H140" s="43">
        <v>1.0</v>
      </c>
      <c r="I140" s="44" t="str">
        <f>IMAGE("https://drive.google.com/uc?export=view&amp;id=1NY4LEOKh9-JpY1N_iQ0qCupeJJYf8VYY")</f>
        <v/>
      </c>
      <c r="J140" s="19" t="s">
        <v>15</v>
      </c>
      <c r="K140" s="19" t="s">
        <v>8</v>
      </c>
      <c r="L140" s="19">
        <v>32.0</v>
      </c>
      <c r="M140" s="19">
        <v>3.0</v>
      </c>
    </row>
    <row r="141">
      <c r="A141" s="19">
        <v>140.0</v>
      </c>
      <c r="B141" s="19" t="s">
        <v>118</v>
      </c>
      <c r="C141" s="19" t="s">
        <v>814</v>
      </c>
      <c r="D141" s="19" t="s">
        <v>815</v>
      </c>
      <c r="E141" s="43">
        <v>0.667</v>
      </c>
      <c r="F141" s="43">
        <v>0.0</v>
      </c>
      <c r="G141" s="43">
        <v>0.0</v>
      </c>
      <c r="H141" s="43">
        <v>0.6</v>
      </c>
      <c r="I141" s="44" t="str">
        <f>IMAGE("https://drive.google.com/uc?export=view&amp;id=1paXTtxx3sVUmgPCGT5aCO96Oh070aGRw")</f>
        <v/>
      </c>
      <c r="J141" s="19" t="s">
        <v>15</v>
      </c>
      <c r="K141" s="19" t="s">
        <v>8</v>
      </c>
      <c r="L141" s="19">
        <v>32.0</v>
      </c>
      <c r="M141" s="19">
        <v>3.0</v>
      </c>
    </row>
    <row r="142">
      <c r="A142" s="19">
        <v>141.0</v>
      </c>
      <c r="B142" s="19" t="s">
        <v>127</v>
      </c>
      <c r="C142" s="19" t="s">
        <v>818</v>
      </c>
      <c r="D142" s="19" t="s">
        <v>819</v>
      </c>
      <c r="E142" s="43">
        <v>0.833</v>
      </c>
      <c r="F142" s="43">
        <v>0.851</v>
      </c>
      <c r="G142" s="43">
        <v>0.5</v>
      </c>
      <c r="H142" s="43">
        <v>0.75</v>
      </c>
      <c r="I142" s="44" t="str">
        <f>IMAGE("https://drive.google.com/uc?export=view&amp;id=1GfTUXQyTaAfsWHXnC1AFMyIHnom-l2wz")</f>
        <v/>
      </c>
      <c r="J142" s="19" t="s">
        <v>15</v>
      </c>
      <c r="K142" s="19" t="s">
        <v>8</v>
      </c>
      <c r="L142" s="19">
        <v>32.0</v>
      </c>
      <c r="M142" s="19">
        <v>3.0</v>
      </c>
    </row>
    <row r="143">
      <c r="A143" s="19">
        <v>142.0</v>
      </c>
      <c r="B143" s="19" t="s">
        <v>133</v>
      </c>
      <c r="C143" s="19" t="s">
        <v>822</v>
      </c>
      <c r="D143" s="19" t="s">
        <v>823</v>
      </c>
      <c r="E143" s="43">
        <v>1.0</v>
      </c>
      <c r="F143" s="43">
        <v>0.0</v>
      </c>
      <c r="G143" s="43">
        <v>0.0</v>
      </c>
      <c r="H143" s="43">
        <v>0.333</v>
      </c>
      <c r="I143" s="44" t="str">
        <f>IMAGE("https://drive.google.com/uc?export=view&amp;id=1q-EXnEEXTSkzPzUNlqQ-wRey8kJo13xu")</f>
        <v/>
      </c>
      <c r="J143" s="19" t="s">
        <v>15</v>
      </c>
      <c r="K143" s="19" t="s">
        <v>8</v>
      </c>
      <c r="L143" s="19">
        <v>32.0</v>
      </c>
      <c r="M143" s="19">
        <v>3.0</v>
      </c>
    </row>
    <row r="144">
      <c r="A144" s="19">
        <v>143.0</v>
      </c>
      <c r="B144" s="19" t="s">
        <v>169</v>
      </c>
      <c r="C144" s="19" t="s">
        <v>848</v>
      </c>
      <c r="D144" s="19" t="s">
        <v>849</v>
      </c>
      <c r="E144" s="43">
        <v>0.467</v>
      </c>
      <c r="F144" s="43">
        <v>0.873</v>
      </c>
      <c r="G144" s="43">
        <v>0.0</v>
      </c>
      <c r="H144" s="43">
        <v>0.333</v>
      </c>
      <c r="I144" s="44" t="str">
        <f>IMAGE("https://drive.google.com/uc?export=view&amp;id=1pnwverxK0MsIAcwLTwP4iZcbhbQ8BkMs")</f>
        <v/>
      </c>
      <c r="J144" s="19" t="s">
        <v>16</v>
      </c>
      <c r="K144" s="19" t="s">
        <v>8</v>
      </c>
      <c r="L144" s="19">
        <v>32.0</v>
      </c>
      <c r="M144" s="19">
        <v>3.0</v>
      </c>
    </row>
    <row r="145">
      <c r="A145" s="19">
        <v>144.0</v>
      </c>
      <c r="B145" s="19" t="s">
        <v>178</v>
      </c>
      <c r="C145" s="19" t="s">
        <v>854</v>
      </c>
      <c r="D145" s="19" t="s">
        <v>855</v>
      </c>
      <c r="E145" s="43">
        <v>0.889</v>
      </c>
      <c r="F145" s="43">
        <v>0.947</v>
      </c>
      <c r="G145" s="43">
        <v>0.5</v>
      </c>
      <c r="H145" s="43">
        <v>0.0</v>
      </c>
      <c r="I145" s="44" t="str">
        <f>IMAGE("https://drive.google.com/uc?export=view&amp;id=1jDbLaL0XNn4SJxcNiUmlt8SKkZ5Xnwte")</f>
        <v/>
      </c>
      <c r="J145" s="19" t="s">
        <v>16</v>
      </c>
      <c r="K145" s="19" t="s">
        <v>8</v>
      </c>
      <c r="L145" s="19">
        <v>32.0</v>
      </c>
      <c r="M145" s="19">
        <v>3.0</v>
      </c>
    </row>
    <row r="146">
      <c r="A146" s="19">
        <v>145.0</v>
      </c>
      <c r="B146" s="19" t="s">
        <v>199</v>
      </c>
      <c r="C146" s="19" t="s">
        <v>869</v>
      </c>
      <c r="D146" s="19" t="s">
        <v>870</v>
      </c>
      <c r="E146" s="43">
        <v>0.667</v>
      </c>
      <c r="F146" s="43">
        <v>0.989</v>
      </c>
      <c r="G146" s="43">
        <v>0.5</v>
      </c>
      <c r="H146" s="43">
        <v>0.5</v>
      </c>
      <c r="I146" s="44" t="str">
        <f>IMAGE("https://drive.google.com/uc?export=view&amp;id=1eRWEttBG-CGgGH1metH8ziGpOIarDhyR")</f>
        <v/>
      </c>
      <c r="J146" s="19" t="s">
        <v>16</v>
      </c>
      <c r="K146" s="19" t="s">
        <v>8</v>
      </c>
      <c r="L146" s="19">
        <v>32.0</v>
      </c>
      <c r="M146" s="19">
        <v>3.0</v>
      </c>
    </row>
    <row r="147">
      <c r="A147" s="19">
        <v>146.0</v>
      </c>
      <c r="B147" s="19" t="s">
        <v>202</v>
      </c>
      <c r="C147" s="19" t="s">
        <v>871</v>
      </c>
      <c r="D147" s="19" t="s">
        <v>872</v>
      </c>
      <c r="E147" s="43">
        <v>0.846</v>
      </c>
      <c r="F147" s="43">
        <v>0.847</v>
      </c>
      <c r="G147" s="43">
        <v>0.5</v>
      </c>
      <c r="H147" s="43">
        <v>1.0</v>
      </c>
      <c r="I147" s="44" t="str">
        <f>IMAGE("https://drive.google.com/uc?export=view&amp;id=1eN5cmyj-Sye-PXsRCyEPt90igXpcIIJi")</f>
        <v/>
      </c>
      <c r="J147" s="19" t="s">
        <v>16</v>
      </c>
      <c r="K147" s="19" t="s">
        <v>8</v>
      </c>
      <c r="L147" s="19">
        <v>32.0</v>
      </c>
      <c r="M147" s="19">
        <v>3.0</v>
      </c>
    </row>
    <row r="148">
      <c r="A148" s="19">
        <v>147.0</v>
      </c>
      <c r="B148" s="19" t="s">
        <v>217</v>
      </c>
      <c r="C148" s="19" t="s">
        <v>881</v>
      </c>
      <c r="D148" s="19" t="s">
        <v>882</v>
      </c>
      <c r="E148" s="43">
        <v>0.875</v>
      </c>
      <c r="F148" s="43">
        <v>0.934</v>
      </c>
      <c r="G148" s="43">
        <v>0.0</v>
      </c>
      <c r="H148" s="43">
        <v>0.0</v>
      </c>
      <c r="I148" s="44" t="str">
        <f>IMAGE("https://drive.google.com/uc?export=view&amp;id=1zCucxEYHz_0VLNxnCc9VtjlO7CwWXZ_J")</f>
        <v/>
      </c>
      <c r="J148" s="19" t="s">
        <v>16</v>
      </c>
      <c r="K148" s="19" t="s">
        <v>8</v>
      </c>
      <c r="L148" s="19">
        <v>32.0</v>
      </c>
      <c r="M148" s="19">
        <v>3.0</v>
      </c>
    </row>
    <row r="149">
      <c r="A149" s="19">
        <v>148.0</v>
      </c>
      <c r="B149" s="19" t="s">
        <v>229</v>
      </c>
      <c r="C149" s="19" t="s">
        <v>889</v>
      </c>
      <c r="D149" s="19" t="s">
        <v>890</v>
      </c>
      <c r="E149" s="43">
        <v>0.556</v>
      </c>
      <c r="F149" s="43">
        <v>0.0</v>
      </c>
      <c r="G149" s="43">
        <v>0.0</v>
      </c>
      <c r="H149" s="43">
        <v>0.6</v>
      </c>
      <c r="I149" s="44" t="str">
        <f>IMAGE("https://drive.google.com/uc?export=view&amp;id=1CN4899auXewQjP2K0kdu4r-AjG5qacZC")</f>
        <v/>
      </c>
      <c r="J149" s="19" t="s">
        <v>17</v>
      </c>
      <c r="K149" s="19" t="s">
        <v>8</v>
      </c>
      <c r="L149" s="19">
        <v>32.0</v>
      </c>
      <c r="M149" s="19">
        <v>3.0</v>
      </c>
    </row>
    <row r="150">
      <c r="A150" s="19">
        <v>149.0</v>
      </c>
      <c r="B150" s="19" t="s">
        <v>232</v>
      </c>
      <c r="C150" s="19" t="s">
        <v>891</v>
      </c>
      <c r="D150" s="19" t="s">
        <v>892</v>
      </c>
      <c r="E150" s="43">
        <v>0.625</v>
      </c>
      <c r="F150" s="43">
        <v>0.992</v>
      </c>
      <c r="G150" s="43">
        <v>0.333</v>
      </c>
      <c r="H150" s="43">
        <v>0.2</v>
      </c>
      <c r="I150" s="44" t="str">
        <f>IMAGE("https://drive.google.com/uc?export=view&amp;id=1KH74X5cvN56sakPCgD8poS5NSrLs7cmP")</f>
        <v/>
      </c>
      <c r="J150" s="19" t="s">
        <v>17</v>
      </c>
      <c r="K150" s="19" t="s">
        <v>8</v>
      </c>
      <c r="L150" s="19">
        <v>32.0</v>
      </c>
      <c r="M150" s="19">
        <v>3.0</v>
      </c>
    </row>
    <row r="151">
      <c r="A151" s="19">
        <v>150.0</v>
      </c>
      <c r="B151" s="19" t="s">
        <v>241</v>
      </c>
      <c r="C151" s="19" t="s">
        <v>897</v>
      </c>
      <c r="D151" s="19" t="s">
        <v>898</v>
      </c>
      <c r="E151" s="43">
        <v>0.875</v>
      </c>
      <c r="F151" s="43">
        <v>0.0</v>
      </c>
      <c r="G151" s="43">
        <v>0.0</v>
      </c>
      <c r="H151" s="43">
        <v>0.4</v>
      </c>
      <c r="I151" s="44" t="str">
        <f>IMAGE("https://drive.google.com/uc?export=view&amp;id=1LLGLggh50LBlIZI6kdbTbUIAOg5zFz1Y")</f>
        <v/>
      </c>
      <c r="J151" s="19" t="s">
        <v>17</v>
      </c>
      <c r="K151" s="19" t="s">
        <v>8</v>
      </c>
      <c r="L151" s="19">
        <v>32.0</v>
      </c>
      <c r="M151" s="19">
        <v>3.0</v>
      </c>
    </row>
    <row r="152">
      <c r="A152" s="19">
        <v>151.0</v>
      </c>
      <c r="B152" s="19" t="s">
        <v>244</v>
      </c>
      <c r="C152" s="19" t="s">
        <v>899</v>
      </c>
      <c r="D152" s="19" t="s">
        <v>900</v>
      </c>
      <c r="E152" s="43">
        <v>0.875</v>
      </c>
      <c r="F152" s="43">
        <v>0.724</v>
      </c>
      <c r="G152" s="43">
        <v>0.0</v>
      </c>
      <c r="H152" s="43">
        <v>1.0</v>
      </c>
      <c r="I152" s="44" t="str">
        <f>IMAGE("https://drive.google.com/uc?export=view&amp;id=1wa2HRw412fvcRr3HOuzir9xfMgI8JtZw")</f>
        <v/>
      </c>
      <c r="J152" s="19" t="s">
        <v>17</v>
      </c>
      <c r="K152" s="19" t="s">
        <v>8</v>
      </c>
      <c r="L152" s="19">
        <v>32.0</v>
      </c>
      <c r="M152" s="19">
        <v>3.0</v>
      </c>
    </row>
    <row r="153">
      <c r="A153" s="19">
        <v>152.0</v>
      </c>
      <c r="B153" s="19" t="s">
        <v>253</v>
      </c>
      <c r="C153" s="19" t="s">
        <v>903</v>
      </c>
      <c r="D153" s="19" t="s">
        <v>904</v>
      </c>
      <c r="E153" s="43">
        <v>0.846</v>
      </c>
      <c r="F153" s="43">
        <v>0.0</v>
      </c>
      <c r="G153" s="43">
        <v>0.0</v>
      </c>
      <c r="H153" s="43">
        <v>0.143</v>
      </c>
      <c r="I153" s="44" t="str">
        <f>IMAGE("https://drive.google.com/uc?export=view&amp;id=1a6Zn7omks5pgSzuBD3Nd_x2bjbbchHc6")</f>
        <v/>
      </c>
      <c r="J153" s="19" t="s">
        <v>17</v>
      </c>
      <c r="K153" s="19" t="s">
        <v>8</v>
      </c>
      <c r="L153" s="19">
        <v>32.0</v>
      </c>
      <c r="M153" s="19">
        <v>3.0</v>
      </c>
    </row>
    <row r="154">
      <c r="A154" s="19">
        <v>153.0</v>
      </c>
      <c r="B154" s="19" t="s">
        <v>277</v>
      </c>
      <c r="C154" s="19" t="s">
        <v>921</v>
      </c>
      <c r="D154" s="19" t="s">
        <v>922</v>
      </c>
      <c r="E154" s="43">
        <v>0.667</v>
      </c>
      <c r="F154" s="43">
        <v>0.955</v>
      </c>
      <c r="G154" s="43">
        <v>0.0</v>
      </c>
      <c r="H154" s="43">
        <v>1.0</v>
      </c>
      <c r="I154" s="44" t="str">
        <f>IMAGE("https://drive.google.com/uc?export=view&amp;id=11KtXyO1i_P-iN_KlwepJzAgyQUq1SFIP")</f>
        <v/>
      </c>
      <c r="J154" s="19" t="s">
        <v>17</v>
      </c>
      <c r="K154" s="19" t="s">
        <v>8</v>
      </c>
      <c r="L154" s="19">
        <v>32.0</v>
      </c>
      <c r="M154" s="19">
        <v>5.0</v>
      </c>
    </row>
    <row r="155">
      <c r="A155" s="19">
        <v>154.0</v>
      </c>
      <c r="B155" s="37" t="s">
        <v>64</v>
      </c>
      <c r="C155" s="37" t="s">
        <v>939</v>
      </c>
      <c r="D155" s="47" t="s">
        <v>940</v>
      </c>
      <c r="E155" s="49">
        <v>0.9</v>
      </c>
      <c r="F155" s="49">
        <v>0.711</v>
      </c>
      <c r="G155" s="49">
        <v>0.478</v>
      </c>
      <c r="H155" s="49">
        <v>0.2</v>
      </c>
      <c r="I155" s="44" t="str">
        <f>IMAGE("https://drive.google.com/uc?export=view&amp;id=16BzSGCFfXduoqJGZiot9U2RVdBDYvxTi")</f>
        <v/>
      </c>
      <c r="J155" s="19" t="s">
        <v>14</v>
      </c>
      <c r="K155" s="19" t="s">
        <v>8</v>
      </c>
      <c r="L155" s="19">
        <v>32.0</v>
      </c>
      <c r="M155" s="19">
        <v>5.0</v>
      </c>
    </row>
    <row r="156">
      <c r="A156" s="19">
        <v>155.0</v>
      </c>
      <c r="B156" s="37" t="s">
        <v>73</v>
      </c>
      <c r="C156" s="37" t="s">
        <v>945</v>
      </c>
      <c r="D156" s="47" t="s">
        <v>946</v>
      </c>
      <c r="E156" s="49">
        <v>0.7</v>
      </c>
      <c r="F156" s="49">
        <v>0.876</v>
      </c>
      <c r="G156" s="49">
        <v>0.0</v>
      </c>
      <c r="H156" s="49">
        <v>0.8</v>
      </c>
      <c r="I156" s="44" t="str">
        <f>IMAGE("https://drive.google.com/uc?export=view&amp;id=1Dv6aLHEK7oThahA3cUPMw0Oe65p29aWK")</f>
        <v/>
      </c>
      <c r="J156" s="19" t="s">
        <v>14</v>
      </c>
      <c r="K156" s="19" t="s">
        <v>8</v>
      </c>
      <c r="L156" s="19">
        <v>32.0</v>
      </c>
      <c r="M156" s="19">
        <v>5.0</v>
      </c>
    </row>
    <row r="157">
      <c r="A157" s="19">
        <v>156.0</v>
      </c>
      <c r="B157" s="37" t="s">
        <v>97</v>
      </c>
      <c r="C157" s="37" t="s">
        <v>961</v>
      </c>
      <c r="D157" s="47" t="s">
        <v>962</v>
      </c>
      <c r="E157" s="49">
        <v>1.0</v>
      </c>
      <c r="F157" s="49">
        <v>0.886</v>
      </c>
      <c r="G157" s="49">
        <v>0.5</v>
      </c>
      <c r="H157" s="49">
        <v>0.286</v>
      </c>
      <c r="I157" s="44" t="str">
        <f>IMAGE("https://drive.google.com/uc?export=view&amp;id=1FqMLXWWx0kPLk6KOt7GEnhCl63-cS6uM")</f>
        <v/>
      </c>
      <c r="J157" s="19" t="s">
        <v>14</v>
      </c>
      <c r="K157" s="19" t="s">
        <v>8</v>
      </c>
      <c r="L157" s="19">
        <v>32.0</v>
      </c>
      <c r="M157" s="19">
        <v>5.0</v>
      </c>
    </row>
    <row r="158">
      <c r="A158" s="19">
        <v>157.0</v>
      </c>
      <c r="B158" s="37" t="s">
        <v>106</v>
      </c>
      <c r="C158" s="37" t="s">
        <v>973</v>
      </c>
      <c r="D158" s="47" t="s">
        <v>974</v>
      </c>
      <c r="E158" s="49">
        <v>0.875</v>
      </c>
      <c r="F158" s="49">
        <v>0.998</v>
      </c>
      <c r="G158" s="49">
        <v>0.45</v>
      </c>
      <c r="H158" s="49">
        <v>0.286</v>
      </c>
      <c r="I158" s="44" t="str">
        <f>IMAGE("https://drive.google.com/uc?export=view&amp;id=1B7l99DXqjtT47plpm8eYOkG5lyX2MFRR")</f>
        <v/>
      </c>
      <c r="J158" s="19" t="s">
        <v>15</v>
      </c>
      <c r="K158" s="19" t="s">
        <v>8</v>
      </c>
      <c r="L158" s="19">
        <v>32.0</v>
      </c>
      <c r="M158" s="19">
        <v>5.0</v>
      </c>
    </row>
    <row r="159">
      <c r="A159" s="19">
        <v>158.0</v>
      </c>
      <c r="B159" s="37" t="s">
        <v>118</v>
      </c>
      <c r="C159" s="37" t="s">
        <v>975</v>
      </c>
      <c r="D159" s="47" t="s">
        <v>976</v>
      </c>
      <c r="E159" s="49">
        <v>1.0</v>
      </c>
      <c r="F159" s="49">
        <v>0.0</v>
      </c>
      <c r="G159" s="49">
        <v>0.0</v>
      </c>
      <c r="H159" s="49">
        <v>0.833</v>
      </c>
      <c r="I159" s="44" t="str">
        <f>IMAGE("https://drive.google.com/uc?export=view&amp;id=1TFYNewob2IEn3mdfnA2RtzSXbODWN8Lz")</f>
        <v/>
      </c>
      <c r="J159" s="19" t="s">
        <v>15</v>
      </c>
      <c r="K159" s="19" t="s">
        <v>8</v>
      </c>
      <c r="L159" s="19">
        <v>32.0</v>
      </c>
      <c r="M159" s="19">
        <v>5.0</v>
      </c>
    </row>
    <row r="160">
      <c r="A160" s="19">
        <v>159.0</v>
      </c>
      <c r="B160" s="37" t="s">
        <v>175</v>
      </c>
      <c r="C160" s="37" t="s">
        <v>1013</v>
      </c>
      <c r="D160" s="47" t="s">
        <v>1014</v>
      </c>
      <c r="E160" s="49">
        <v>0.571</v>
      </c>
      <c r="F160" s="49">
        <v>0.794</v>
      </c>
      <c r="G160" s="49">
        <v>0.2</v>
      </c>
      <c r="H160" s="49">
        <v>0.167</v>
      </c>
      <c r="I160" s="44" t="str">
        <f>IMAGE("https://drive.google.com/uc?export=view&amp;id=1v8_8ubZKQMgOwU3_PMJdFPJs-1ob_lue")</f>
        <v/>
      </c>
      <c r="J160" s="19" t="s">
        <v>16</v>
      </c>
      <c r="K160" s="19" t="s">
        <v>8</v>
      </c>
      <c r="L160" s="19">
        <v>32.0</v>
      </c>
      <c r="M160" s="19">
        <v>5.0</v>
      </c>
    </row>
    <row r="161">
      <c r="A161" s="19">
        <v>160.0</v>
      </c>
      <c r="B161" s="37" t="s">
        <v>178</v>
      </c>
      <c r="C161" s="37" t="s">
        <v>1015</v>
      </c>
      <c r="D161" s="47" t="s">
        <v>1016</v>
      </c>
      <c r="E161" s="49">
        <v>0.571</v>
      </c>
      <c r="F161" s="49">
        <v>0.947</v>
      </c>
      <c r="G161" s="49">
        <v>0.5</v>
      </c>
      <c r="H161" s="49">
        <v>0.0</v>
      </c>
      <c r="I161" s="44" t="str">
        <f>IMAGE("https://drive.google.com/uc?export=view&amp;id=1QKWetDRqb3n5jLFoi7bGT9p_RVJm87vL")</f>
        <v/>
      </c>
      <c r="J161" s="19" t="s">
        <v>16</v>
      </c>
      <c r="K161" s="19" t="s">
        <v>8</v>
      </c>
      <c r="L161" s="19">
        <v>32.0</v>
      </c>
      <c r="M161" s="19">
        <v>5.0</v>
      </c>
    </row>
    <row r="162">
      <c r="A162" s="19">
        <v>161.0</v>
      </c>
      <c r="B162" s="37" t="s">
        <v>229</v>
      </c>
      <c r="C162" s="37" t="s">
        <v>1047</v>
      </c>
      <c r="D162" s="47" t="s">
        <v>1048</v>
      </c>
      <c r="E162" s="49">
        <v>1.0</v>
      </c>
      <c r="F162" s="49">
        <v>0.992</v>
      </c>
      <c r="G162" s="49">
        <v>0.0</v>
      </c>
      <c r="H162" s="49">
        <v>0.833</v>
      </c>
      <c r="I162" s="44" t="str">
        <f>IMAGE("https://drive.google.com/uc?export=view&amp;id=1PEEJUdtdtyZnn8ZbJB6ewkvsVzoMcWUO")</f>
        <v/>
      </c>
      <c r="J162" s="19" t="s">
        <v>17</v>
      </c>
      <c r="K162" s="19" t="s">
        <v>8</v>
      </c>
      <c r="L162" s="19">
        <v>32.0</v>
      </c>
      <c r="M162" s="19">
        <v>5.0</v>
      </c>
    </row>
    <row r="163">
      <c r="A163" s="19">
        <v>162.0</v>
      </c>
      <c r="B163" s="37" t="s">
        <v>232</v>
      </c>
      <c r="C163" s="37" t="s">
        <v>1049</v>
      </c>
      <c r="D163" s="47" t="s">
        <v>1050</v>
      </c>
      <c r="E163" s="49">
        <v>1.0</v>
      </c>
      <c r="F163" s="49">
        <v>0.992</v>
      </c>
      <c r="G163" s="49">
        <v>0.333</v>
      </c>
      <c r="H163" s="49">
        <v>1.0</v>
      </c>
      <c r="I163" s="44" t="str">
        <f>IMAGE("https://drive.google.com/uc?export=view&amp;id=1BDtDqRDrKNxL-hr9H1cnCWGDkumodxUz")</f>
        <v/>
      </c>
      <c r="J163" s="19" t="s">
        <v>17</v>
      </c>
      <c r="K163" s="19" t="s">
        <v>8</v>
      </c>
      <c r="L163" s="19">
        <v>32.0</v>
      </c>
      <c r="M163" s="19">
        <v>5.0</v>
      </c>
    </row>
    <row r="164">
      <c r="A164" s="19">
        <v>163.0</v>
      </c>
      <c r="B164" s="37" t="s">
        <v>244</v>
      </c>
      <c r="C164" s="37" t="s">
        <v>1057</v>
      </c>
      <c r="D164" s="47" t="s">
        <v>1058</v>
      </c>
      <c r="E164" s="49">
        <v>0.5</v>
      </c>
      <c r="F164" s="49">
        <v>0.992</v>
      </c>
      <c r="G164" s="49">
        <v>0.2</v>
      </c>
      <c r="H164" s="49">
        <v>0.25</v>
      </c>
      <c r="I164" s="44" t="str">
        <f>IMAGE("https://drive.google.com/uc?export=view&amp;id=1xXoaOyfzPug3cAXGMDKaAV-pzEtU_jpc")</f>
        <v/>
      </c>
      <c r="J164" s="19" t="s">
        <v>17</v>
      </c>
      <c r="K164" s="19" t="s">
        <v>8</v>
      </c>
      <c r="L164" s="19">
        <v>32.0</v>
      </c>
      <c r="M164" s="19">
        <v>5.0</v>
      </c>
    </row>
    <row r="165">
      <c r="A165" s="19">
        <v>164.0</v>
      </c>
      <c r="B165" s="37" t="s">
        <v>274</v>
      </c>
      <c r="C165" s="37" t="s">
        <v>1077</v>
      </c>
      <c r="D165" s="47" t="s">
        <v>1078</v>
      </c>
      <c r="E165" s="49">
        <v>0.0</v>
      </c>
      <c r="F165" s="49">
        <v>0.622</v>
      </c>
      <c r="G165" s="49">
        <v>0.0</v>
      </c>
      <c r="H165" s="49">
        <v>1.0</v>
      </c>
      <c r="I165" s="44" t="str">
        <f>IMAGE("https://drive.google.com/uc?export=view&amp;id=1TYLpXJRFHhns-YiMRl-OQz1HyMqdvGFS")</f>
        <v/>
      </c>
      <c r="J165" s="19" t="s">
        <v>17</v>
      </c>
      <c r="K165" s="19" t="s">
        <v>8</v>
      </c>
      <c r="L165" s="19">
        <v>32.0</v>
      </c>
      <c r="M165" s="19">
        <v>5.0</v>
      </c>
    </row>
    <row r="166">
      <c r="A166" s="19">
        <v>165.0</v>
      </c>
      <c r="B166" s="37" t="s">
        <v>277</v>
      </c>
      <c r="C166" s="37" t="s">
        <v>1079</v>
      </c>
      <c r="D166" s="47" t="s">
        <v>1080</v>
      </c>
      <c r="E166" s="49">
        <v>0.875</v>
      </c>
      <c r="F166" s="49">
        <v>0.721</v>
      </c>
      <c r="G166" s="49">
        <v>0.325</v>
      </c>
      <c r="H166" s="49">
        <v>1.0</v>
      </c>
      <c r="I166" s="44" t="str">
        <f>IMAGE("https://drive.google.com/uc?export=view&amp;id=1pEWdmlOwV0a6FqNzDAYWY-L6XNEYZ5nf")</f>
        <v/>
      </c>
      <c r="J166" s="19" t="s">
        <v>17</v>
      </c>
      <c r="K166" s="19" t="s">
        <v>8</v>
      </c>
      <c r="L166" s="19">
        <v>32.0</v>
      </c>
      <c r="M166" s="19">
        <v>5.0</v>
      </c>
    </row>
    <row r="167">
      <c r="A167" s="19">
        <v>166.0</v>
      </c>
      <c r="B167" s="37" t="s">
        <v>283</v>
      </c>
      <c r="C167" s="37" t="s">
        <v>1083</v>
      </c>
      <c r="D167" s="47" t="s">
        <v>1084</v>
      </c>
      <c r="E167" s="49">
        <v>0.727</v>
      </c>
      <c r="F167" s="49">
        <v>1.0</v>
      </c>
      <c r="G167" s="49">
        <v>0.45</v>
      </c>
      <c r="H167" s="49">
        <v>1.0</v>
      </c>
      <c r="I167" s="44" t="str">
        <f>IMAGE("https://drive.google.com/uc?export=view&amp;id=1jtPIcBcfTp-FJGydL_bvr3hL7_QcrN3i")</f>
        <v/>
      </c>
      <c r="J167" s="19" t="s">
        <v>17</v>
      </c>
      <c r="K167" s="19" t="s">
        <v>8</v>
      </c>
      <c r="L167" s="19">
        <v>32.0</v>
      </c>
      <c r="M167" s="19">
        <v>5.0</v>
      </c>
    </row>
    <row r="168">
      <c r="A168" s="19">
        <v>167.0</v>
      </c>
      <c r="B168" s="19" t="s">
        <v>49</v>
      </c>
      <c r="C168" s="19" t="s">
        <v>1087</v>
      </c>
      <c r="D168" s="19" t="s">
        <v>1088</v>
      </c>
      <c r="E168" s="43">
        <v>0.111</v>
      </c>
      <c r="F168" s="43">
        <v>1.0</v>
      </c>
      <c r="G168" s="43">
        <v>0.5</v>
      </c>
      <c r="H168" s="43">
        <v>0.5</v>
      </c>
      <c r="I168" s="44" t="str">
        <f>IMAGE("https://drive.google.com/uc?export=view&amp;id=1TGXOcLD6XH8Qr5U6MnlCVL7jSDwBRZEm")</f>
        <v/>
      </c>
      <c r="J168" s="19" t="s">
        <v>14</v>
      </c>
      <c r="K168" s="19" t="s">
        <v>8</v>
      </c>
      <c r="L168" s="19">
        <v>64.0</v>
      </c>
      <c r="M168" s="19">
        <v>3.0</v>
      </c>
    </row>
    <row r="169">
      <c r="A169" s="19">
        <v>168.0</v>
      </c>
      <c r="B169" s="19" t="s">
        <v>85</v>
      </c>
      <c r="C169" s="19" t="s">
        <v>1109</v>
      </c>
      <c r="D169" s="19" t="s">
        <v>1110</v>
      </c>
      <c r="E169" s="43">
        <v>0.273</v>
      </c>
      <c r="F169" s="43">
        <v>0.985</v>
      </c>
      <c r="G169" s="43">
        <v>0.333</v>
      </c>
      <c r="H169" s="43">
        <v>0.0</v>
      </c>
      <c r="I169" s="44" t="str">
        <f>IMAGE("https://drive.google.com/uc?export=view&amp;id=194SVOoGDuv-GBFOf1ZF5MoxucsFyTYOt")</f>
        <v/>
      </c>
      <c r="J169" s="19" t="s">
        <v>14</v>
      </c>
      <c r="K169" s="19" t="s">
        <v>8</v>
      </c>
      <c r="L169" s="19">
        <v>64.0</v>
      </c>
      <c r="M169" s="19">
        <v>3.0</v>
      </c>
    </row>
    <row r="170">
      <c r="A170" s="19">
        <v>169.0</v>
      </c>
      <c r="B170" s="19" t="s">
        <v>106</v>
      </c>
      <c r="C170" s="19" t="s">
        <v>1127</v>
      </c>
      <c r="D170" s="19" t="s">
        <v>1128</v>
      </c>
      <c r="E170" s="43">
        <v>0.444</v>
      </c>
      <c r="F170" s="43">
        <v>0.0</v>
      </c>
      <c r="G170" s="43">
        <v>0.0</v>
      </c>
      <c r="H170" s="43">
        <v>0.667</v>
      </c>
      <c r="I170" s="44" t="str">
        <f>IMAGE("https://drive.google.com/uc?export=view&amp;id=1eH0fE7w-5Jucww9xPf1pb0nBUqAdLuDy")</f>
        <v/>
      </c>
      <c r="J170" s="19" t="s">
        <v>15</v>
      </c>
      <c r="K170" s="19" t="s">
        <v>8</v>
      </c>
      <c r="L170" s="19">
        <v>64.0</v>
      </c>
      <c r="M170" s="19">
        <v>3.0</v>
      </c>
    </row>
    <row r="171">
      <c r="A171" s="19">
        <v>170.0</v>
      </c>
      <c r="B171" s="19" t="s">
        <v>118</v>
      </c>
      <c r="C171" s="19" t="s">
        <v>1133</v>
      </c>
      <c r="D171" s="19" t="s">
        <v>1134</v>
      </c>
      <c r="E171" s="43">
        <v>0.75</v>
      </c>
      <c r="F171" s="43">
        <v>0.0</v>
      </c>
      <c r="G171" s="43">
        <v>0.0</v>
      </c>
      <c r="H171" s="43">
        <v>0.333</v>
      </c>
      <c r="I171" s="44" t="str">
        <f>IMAGE("https://drive.google.com/uc?export=view&amp;id=1RTSzKpQfGhCnOWPNWuq8U50kxs4uLEcB")</f>
        <v/>
      </c>
      <c r="J171" s="19" t="s">
        <v>15</v>
      </c>
      <c r="K171" s="19" t="s">
        <v>8</v>
      </c>
      <c r="L171" s="19">
        <v>64.0</v>
      </c>
      <c r="M171" s="19">
        <v>3.0</v>
      </c>
    </row>
    <row r="172">
      <c r="A172" s="19">
        <v>171.0</v>
      </c>
      <c r="B172" s="19" t="s">
        <v>121</v>
      </c>
      <c r="C172" s="19" t="s">
        <v>1135</v>
      </c>
      <c r="D172" s="19" t="s">
        <v>1136</v>
      </c>
      <c r="E172" s="43">
        <v>0.25</v>
      </c>
      <c r="F172" s="43">
        <v>0.978</v>
      </c>
      <c r="G172" s="43">
        <v>0.333</v>
      </c>
      <c r="H172" s="43">
        <v>1.0</v>
      </c>
      <c r="I172" s="44" t="str">
        <f>IMAGE("https://drive.google.com/uc?export=view&amp;id=1rASatqW0Z7TKOp_t_4Gzk8xNExbe_sMS")</f>
        <v/>
      </c>
      <c r="J172" s="19" t="s">
        <v>15</v>
      </c>
      <c r="K172" s="19" t="s">
        <v>8</v>
      </c>
      <c r="L172" s="19">
        <v>64.0</v>
      </c>
      <c r="M172" s="19">
        <v>3.0</v>
      </c>
    </row>
    <row r="173">
      <c r="A173" s="19">
        <v>172.0</v>
      </c>
      <c r="B173" s="19" t="s">
        <v>157</v>
      </c>
      <c r="C173" s="19" t="s">
        <v>1159</v>
      </c>
      <c r="D173" s="19" t="s">
        <v>1160</v>
      </c>
      <c r="E173" s="43">
        <v>0.333</v>
      </c>
      <c r="F173" s="43">
        <v>0.654</v>
      </c>
      <c r="G173" s="43">
        <v>0.333</v>
      </c>
      <c r="H173" s="43">
        <v>0.5</v>
      </c>
      <c r="I173" s="44" t="str">
        <f>IMAGE("https://drive.google.com/uc?export=view&amp;id=1q1ti9ncOkHJXze6_Uv8NzeMHemBvPKgH")</f>
        <v/>
      </c>
      <c r="J173" s="19" t="s">
        <v>15</v>
      </c>
      <c r="K173" s="19" t="s">
        <v>8</v>
      </c>
      <c r="L173" s="19">
        <v>64.0</v>
      </c>
      <c r="M173" s="19">
        <v>3.0</v>
      </c>
    </row>
    <row r="174">
      <c r="A174" s="19">
        <v>173.0</v>
      </c>
      <c r="B174" s="19" t="s">
        <v>169</v>
      </c>
      <c r="C174" s="19" t="s">
        <v>1167</v>
      </c>
      <c r="D174" s="19" t="s">
        <v>1168</v>
      </c>
      <c r="E174" s="43">
        <v>0.55</v>
      </c>
      <c r="F174" s="43">
        <v>0.875</v>
      </c>
      <c r="G174" s="43">
        <v>0.333</v>
      </c>
      <c r="H174" s="43">
        <v>0.857</v>
      </c>
      <c r="I174" s="44" t="str">
        <f>IMAGE("https://drive.google.com/uc?export=view&amp;id=10PmKpYMi_Zu_b7d5domaaXZkPEfEu7J0")</f>
        <v/>
      </c>
      <c r="J174" s="19" t="s">
        <v>16</v>
      </c>
      <c r="K174" s="19" t="s">
        <v>8</v>
      </c>
      <c r="L174" s="19">
        <v>64.0</v>
      </c>
      <c r="M174" s="19">
        <v>3.0</v>
      </c>
    </row>
    <row r="175">
      <c r="A175" s="19">
        <v>174.0</v>
      </c>
      <c r="B175" s="19" t="s">
        <v>193</v>
      </c>
      <c r="C175" s="19" t="s">
        <v>1183</v>
      </c>
      <c r="D175" s="19" t="s">
        <v>1184</v>
      </c>
      <c r="E175" s="43">
        <v>0.615</v>
      </c>
      <c r="F175" s="43">
        <v>0.892</v>
      </c>
      <c r="G175" s="43">
        <v>0.5</v>
      </c>
      <c r="H175" s="43">
        <v>0.0</v>
      </c>
      <c r="I175" s="44" t="str">
        <f>IMAGE("https://drive.google.com/uc?export=view&amp;id=1saIKZdwzMQwRWzW5wnlvCeKEn2qY1wyj")</f>
        <v/>
      </c>
      <c r="J175" s="19" t="s">
        <v>16</v>
      </c>
      <c r="K175" s="19" t="s">
        <v>8</v>
      </c>
      <c r="L175" s="19">
        <v>64.0</v>
      </c>
      <c r="M175" s="19">
        <v>3.0</v>
      </c>
    </row>
    <row r="176">
      <c r="A176" s="19">
        <v>175.0</v>
      </c>
      <c r="B176" s="19" t="s">
        <v>199</v>
      </c>
      <c r="C176" s="19" t="s">
        <v>1187</v>
      </c>
      <c r="D176" s="19" t="s">
        <v>1188</v>
      </c>
      <c r="E176" s="43">
        <v>1.0</v>
      </c>
      <c r="F176" s="43">
        <v>0.987</v>
      </c>
      <c r="G176" s="43">
        <v>0.333</v>
      </c>
      <c r="H176" s="43">
        <v>0.833</v>
      </c>
      <c r="I176" s="44" t="str">
        <f>IMAGE("https://drive.google.com/uc?export=view&amp;id=1hwDNbmIwmc4JLJ8tSFviiDcVG_xJRac3")</f>
        <v/>
      </c>
      <c r="J176" s="19" t="s">
        <v>16</v>
      </c>
      <c r="K176" s="19" t="s">
        <v>8</v>
      </c>
      <c r="L176" s="19">
        <v>64.0</v>
      </c>
      <c r="M176" s="19">
        <v>3.0</v>
      </c>
    </row>
    <row r="177">
      <c r="A177" s="19">
        <v>176.0</v>
      </c>
      <c r="B177" s="19" t="s">
        <v>217</v>
      </c>
      <c r="C177" s="19" t="s">
        <v>1199</v>
      </c>
      <c r="D177" s="19" t="s">
        <v>1200</v>
      </c>
      <c r="E177" s="43">
        <v>0.0</v>
      </c>
      <c r="F177" s="43">
        <v>0.876</v>
      </c>
      <c r="G177" s="43">
        <v>0.0</v>
      </c>
      <c r="H177" s="43">
        <v>0.0</v>
      </c>
      <c r="I177" s="44" t="str">
        <f>IMAGE("https://drive.google.com/uc?export=view&amp;id=1OjUgQedpRNOSTUksdISOhGeWCF_i7EcW")</f>
        <v/>
      </c>
      <c r="J177" s="19" t="s">
        <v>16</v>
      </c>
      <c r="K177" s="19" t="s">
        <v>8</v>
      </c>
      <c r="L177" s="19">
        <v>64.0</v>
      </c>
      <c r="M177" s="19">
        <v>3.0</v>
      </c>
    </row>
    <row r="178">
      <c r="A178" s="19">
        <v>177.0</v>
      </c>
      <c r="B178" s="19" t="s">
        <v>229</v>
      </c>
      <c r="C178" s="19" t="s">
        <v>1205</v>
      </c>
      <c r="D178" s="19" t="s">
        <v>1206</v>
      </c>
      <c r="E178" s="43">
        <v>0.875</v>
      </c>
      <c r="F178" s="43">
        <v>0.0</v>
      </c>
      <c r="G178" s="43">
        <v>0.0</v>
      </c>
      <c r="H178" s="43">
        <v>1.0</v>
      </c>
      <c r="I178" s="44" t="str">
        <f>IMAGE("https://drive.google.com/uc?export=view&amp;id=1D7jirXqX4C64GH9XVlZx3u7azDbTVusm")</f>
        <v/>
      </c>
      <c r="J178" s="19" t="s">
        <v>17</v>
      </c>
      <c r="K178" s="19" t="s">
        <v>8</v>
      </c>
      <c r="L178" s="19">
        <v>64.0</v>
      </c>
      <c r="M178" s="19">
        <v>3.0</v>
      </c>
    </row>
    <row r="179">
      <c r="A179" s="19">
        <v>178.0</v>
      </c>
      <c r="B179" s="19" t="s">
        <v>241</v>
      </c>
      <c r="C179" s="19" t="s">
        <v>1215</v>
      </c>
      <c r="D179" s="19" t="s">
        <v>1216</v>
      </c>
      <c r="E179" s="43">
        <v>1.0</v>
      </c>
      <c r="F179" s="43">
        <v>0.0</v>
      </c>
      <c r="G179" s="43">
        <v>0.0</v>
      </c>
      <c r="H179" s="43">
        <v>0.833</v>
      </c>
      <c r="I179" s="44" t="str">
        <f>IMAGE("https://drive.google.com/uc?export=view&amp;id=1UmgWThcmM2JQC_g0hFT62bXDFx-VHI0v")</f>
        <v/>
      </c>
      <c r="J179" s="19" t="s">
        <v>17</v>
      </c>
      <c r="K179" s="19" t="s">
        <v>8</v>
      </c>
      <c r="L179" s="19">
        <v>64.0</v>
      </c>
      <c r="M179" s="19">
        <v>3.0</v>
      </c>
    </row>
    <row r="180">
      <c r="A180" s="19">
        <v>179.0</v>
      </c>
      <c r="B180" s="19" t="s">
        <v>247</v>
      </c>
      <c r="C180" s="19" t="s">
        <v>1219</v>
      </c>
      <c r="D180" s="19" t="s">
        <v>1220</v>
      </c>
      <c r="E180" s="43">
        <v>0.75</v>
      </c>
      <c r="F180" s="43">
        <v>0.0</v>
      </c>
      <c r="G180" s="43">
        <v>0.0</v>
      </c>
      <c r="H180" s="43">
        <v>0.333</v>
      </c>
      <c r="I180" s="44" t="str">
        <f>IMAGE("https://drive.google.com/uc?export=view&amp;id=1vqPGgT9p2QQW4vIebI6EH154mLNOe4bK")</f>
        <v/>
      </c>
      <c r="J180" s="19" t="s">
        <v>17</v>
      </c>
      <c r="K180" s="19" t="s">
        <v>8</v>
      </c>
      <c r="L180" s="19">
        <v>64.0</v>
      </c>
      <c r="M180" s="19">
        <v>3.0</v>
      </c>
    </row>
    <row r="181">
      <c r="A181" s="19">
        <v>180.0</v>
      </c>
      <c r="B181" s="19" t="s">
        <v>283</v>
      </c>
      <c r="C181" s="19" t="s">
        <v>1243</v>
      </c>
      <c r="D181" s="19" t="s">
        <v>1244</v>
      </c>
      <c r="E181" s="43">
        <v>0.143</v>
      </c>
      <c r="F181" s="43">
        <v>0.768</v>
      </c>
      <c r="G181" s="43">
        <v>0.333</v>
      </c>
      <c r="H181" s="43">
        <v>1.0</v>
      </c>
      <c r="I181" s="44" t="str">
        <f>IMAGE("https://drive.google.com/uc?export=view&amp;id=1BMMLbt8aKypqU4MKLKnrNgTmuDfaZ8cy")</f>
        <v/>
      </c>
      <c r="J181" s="19" t="s">
        <v>17</v>
      </c>
      <c r="K181" s="19" t="s">
        <v>8</v>
      </c>
      <c r="L181" s="19">
        <v>64.0</v>
      </c>
      <c r="M181" s="19">
        <v>3.0</v>
      </c>
    </row>
    <row r="182">
      <c r="A182" s="19">
        <v>181.0</v>
      </c>
      <c r="B182" s="19" t="s">
        <v>49</v>
      </c>
      <c r="C182" s="19" t="s">
        <v>1247</v>
      </c>
      <c r="D182" s="19" t="s">
        <v>1248</v>
      </c>
      <c r="E182" s="43">
        <v>0.364</v>
      </c>
      <c r="F182" s="43">
        <v>0.941</v>
      </c>
      <c r="G182" s="43">
        <v>0.5</v>
      </c>
      <c r="H182" s="43">
        <v>1.0</v>
      </c>
      <c r="I182" s="44" t="str">
        <f>IMAGE("https://drive.google.com/uc?export=view&amp;id=1y9BlsoztE3Krb0HX3YxUI0X9zk6-nK17")</f>
        <v/>
      </c>
      <c r="J182" s="19" t="s">
        <v>14</v>
      </c>
    </row>
    <row r="183">
      <c r="A183" s="19">
        <v>182.0</v>
      </c>
      <c r="B183" s="19" t="s">
        <v>64</v>
      </c>
      <c r="C183" s="19" t="s">
        <v>1257</v>
      </c>
      <c r="D183" s="19" t="s">
        <v>1258</v>
      </c>
      <c r="E183" s="43">
        <v>1.0</v>
      </c>
      <c r="F183" s="43">
        <v>0.84</v>
      </c>
      <c r="G183" s="43">
        <v>0.5</v>
      </c>
      <c r="H183" s="43">
        <v>1.0</v>
      </c>
      <c r="I183" s="44" t="str">
        <f>IMAGE("https://drive.google.com/uc?export=view&amp;id=1U3XDaWfFqnOfLod__T8OSGx49WcJGVmI")</f>
        <v/>
      </c>
      <c r="J183" s="19" t="s">
        <v>14</v>
      </c>
    </row>
    <row r="184">
      <c r="A184" s="19">
        <v>183.0</v>
      </c>
      <c r="B184" s="19" t="s">
        <v>97</v>
      </c>
      <c r="C184" s="19" t="s">
        <v>1279</v>
      </c>
      <c r="D184" s="19" t="s">
        <v>1280</v>
      </c>
      <c r="E184" s="43">
        <v>0.0</v>
      </c>
      <c r="F184" s="43">
        <v>0.844</v>
      </c>
      <c r="G184" s="43">
        <v>0.0</v>
      </c>
      <c r="H184" s="43">
        <v>0.333</v>
      </c>
      <c r="I184" s="44" t="str">
        <f>IMAGE("https://drive.google.com/uc?export=view&amp;id=1sM15VPFCnImoeQjsAdOTBa-MNDL7X8MS")</f>
        <v/>
      </c>
      <c r="J184" s="19" t="s">
        <v>14</v>
      </c>
    </row>
    <row r="185">
      <c r="A185" s="19">
        <v>184.0</v>
      </c>
      <c r="B185" s="19" t="s">
        <v>106</v>
      </c>
      <c r="C185" s="19" t="s">
        <v>1287</v>
      </c>
      <c r="D185" s="19" t="s">
        <v>1288</v>
      </c>
      <c r="E185" s="43">
        <v>0.889</v>
      </c>
      <c r="F185" s="43">
        <v>0.0</v>
      </c>
      <c r="G185" s="43">
        <v>0.0</v>
      </c>
      <c r="H185" s="43">
        <v>0.667</v>
      </c>
      <c r="I185" s="44" t="str">
        <f>IMAGE("https://drive.google.com/uc?export=view&amp;id=1E-gkl9Jl8qRypr4NdgH48NM-5Xdqlzhm")</f>
        <v/>
      </c>
      <c r="J185" s="19" t="s">
        <v>15</v>
      </c>
    </row>
    <row r="186">
      <c r="A186" s="19">
        <v>185.0</v>
      </c>
      <c r="B186" s="19" t="s">
        <v>217</v>
      </c>
      <c r="C186" s="19" t="s">
        <v>1360</v>
      </c>
      <c r="D186" s="19" t="s">
        <v>1361</v>
      </c>
      <c r="E186" s="43">
        <v>0.933</v>
      </c>
      <c r="F186" s="43">
        <v>0.989</v>
      </c>
      <c r="G186" s="43">
        <v>0.25</v>
      </c>
      <c r="H186" s="43">
        <v>0.0</v>
      </c>
      <c r="I186" s="44" t="str">
        <f>IMAGE("https://drive.google.com/uc?export=view&amp;id=1Eur0a82kicMWAHjIGHtqzzDNGLfBNqrm")</f>
        <v/>
      </c>
      <c r="J186" s="19" t="s">
        <v>16</v>
      </c>
    </row>
    <row r="187">
      <c r="A187" s="19">
        <v>186.0</v>
      </c>
      <c r="B187" s="19" t="s">
        <v>229</v>
      </c>
      <c r="C187" s="19" t="s">
        <v>1368</v>
      </c>
      <c r="D187" s="19" t="s">
        <v>1369</v>
      </c>
      <c r="E187" s="43">
        <v>0.75</v>
      </c>
      <c r="F187" s="43">
        <v>0.0</v>
      </c>
      <c r="G187" s="43">
        <v>0.0</v>
      </c>
      <c r="H187" s="43">
        <v>1.0</v>
      </c>
      <c r="I187" s="44" t="str">
        <f>IMAGE("https://drive.google.com/uc?export=view&amp;id=19WvOdsFZtMEPBX2AH0_aEzgou8bH3sOL")</f>
        <v/>
      </c>
      <c r="J187" s="19" t="s">
        <v>17</v>
      </c>
    </row>
    <row r="188">
      <c r="A188" s="19">
        <v>187.0</v>
      </c>
      <c r="B188" s="19" t="s">
        <v>241</v>
      </c>
      <c r="C188" s="19" t="s">
        <v>1376</v>
      </c>
      <c r="D188" s="19" t="s">
        <v>1377</v>
      </c>
      <c r="E188" s="43">
        <v>0.5</v>
      </c>
      <c r="F188" s="43">
        <v>0.0</v>
      </c>
      <c r="G188" s="43">
        <v>0.0</v>
      </c>
      <c r="H188" s="43">
        <v>0.727</v>
      </c>
      <c r="I188" s="44" t="str">
        <f>IMAGE("https://drive.google.com/uc?export=view&amp;id=1QQm_oSN9Sm23XRf8Q_TpaPaEInVB5PHi")</f>
        <v/>
      </c>
      <c r="J188" s="19" t="s">
        <v>17</v>
      </c>
    </row>
    <row r="189">
      <c r="A189" s="19">
        <v>188.0</v>
      </c>
      <c r="B189" s="19" t="s">
        <v>244</v>
      </c>
      <c r="C189" s="19" t="s">
        <v>1378</v>
      </c>
      <c r="D189" s="19" t="s">
        <v>1379</v>
      </c>
      <c r="E189" s="43">
        <v>1.0</v>
      </c>
      <c r="F189" s="43">
        <v>0.999</v>
      </c>
      <c r="G189" s="43">
        <v>0.333</v>
      </c>
      <c r="H189" s="43">
        <v>1.0</v>
      </c>
      <c r="I189" s="44" t="str">
        <f>IMAGE("https://drive.google.com/uc?export=view&amp;id=12hUCE_s3xfHAP_VXENARsFvGYkR9CDIW")</f>
        <v/>
      </c>
      <c r="J189" s="19" t="s">
        <v>17</v>
      </c>
    </row>
    <row r="190">
      <c r="A190" s="19">
        <v>189.0</v>
      </c>
      <c r="B190" s="19" t="s">
        <v>250</v>
      </c>
      <c r="C190" s="19" t="s">
        <v>1382</v>
      </c>
      <c r="D190" s="19" t="s">
        <v>1383</v>
      </c>
      <c r="E190" s="43">
        <v>0.714</v>
      </c>
      <c r="F190" s="43">
        <v>1.0</v>
      </c>
      <c r="G190" s="43">
        <v>0.45</v>
      </c>
      <c r="H190" s="43">
        <v>0.8</v>
      </c>
      <c r="I190" s="44" t="str">
        <f>IMAGE("https://drive.google.com/uc?export=view&amp;id=1vfybwVUrFi_NB52tS5xKwFRDi06inuV9")</f>
        <v/>
      </c>
      <c r="J190" s="19" t="s">
        <v>17</v>
      </c>
      <c r="K190" s="19" t="s">
        <v>8</v>
      </c>
      <c r="L190" s="19">
        <v>64.0</v>
      </c>
      <c r="M190" s="19">
        <v>5.0</v>
      </c>
    </row>
    <row r="191">
      <c r="A191" s="19">
        <v>190.0</v>
      </c>
      <c r="B191" s="19" t="s">
        <v>253</v>
      </c>
      <c r="C191" s="19" t="s">
        <v>1384</v>
      </c>
      <c r="D191" s="19" t="s">
        <v>1385</v>
      </c>
      <c r="E191" s="43">
        <v>0.923</v>
      </c>
      <c r="F191" s="43">
        <v>0.975</v>
      </c>
      <c r="G191" s="43">
        <v>0.25</v>
      </c>
      <c r="H191" s="43">
        <v>0.571</v>
      </c>
      <c r="I191" s="44" t="str">
        <f>IMAGE("https://drive.google.com/uc?export=view&amp;id=1VC88GDCuYHDv1sH0OYkF9fxKb95EWcN6")</f>
        <v/>
      </c>
      <c r="J191" s="19" t="s">
        <v>17</v>
      </c>
      <c r="K191" s="19" t="s">
        <v>8</v>
      </c>
      <c r="L191" s="19">
        <v>64.0</v>
      </c>
      <c r="M191" s="19">
        <v>5.0</v>
      </c>
    </row>
  </sheetData>
  <autoFilter ref="$A$1:$M$191"/>
  <dataValidations>
    <dataValidation type="list" allowBlank="1" showErrorMessage="1" sqref="K2:K181 K190:K191">
      <formula1>"LaBSE,BGE-M3"</formula1>
    </dataValidation>
    <dataValidation type="list" allowBlank="1" showErrorMessage="1" sqref="J2:J191">
      <formula1>"Trend Analysis ,Gap Detection,Evidence-based QA,Comparative Synthesis"</formula1>
    </dataValidation>
    <dataValidation type="list" allowBlank="1" showErrorMessage="1" sqref="L2:L181 L190:L191">
      <formula1>"32,64"</formula1>
    </dataValidation>
    <dataValidation type="list" allowBlank="1" showErrorMessage="1" sqref="M2:M181 M190:M191">
      <formula1>"3,5"</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55.0"/>
    <col customWidth="1" min="4" max="4" width="23.75"/>
    <col customWidth="1" min="6" max="6" width="22.75"/>
    <col customWidth="1" min="7" max="7" width="19.5"/>
    <col customWidth="1" min="8" max="8" width="18.75"/>
  </cols>
  <sheetData>
    <row r="1">
      <c r="A1" s="41" t="s">
        <v>41</v>
      </c>
      <c r="B1" s="41" t="s">
        <v>42</v>
      </c>
      <c r="C1" s="41" t="s">
        <v>43</v>
      </c>
      <c r="D1" s="41" t="s">
        <v>44</v>
      </c>
      <c r="E1" s="32" t="s">
        <v>3</v>
      </c>
      <c r="F1" s="32" t="s">
        <v>4</v>
      </c>
      <c r="G1" s="32" t="s">
        <v>5</v>
      </c>
      <c r="H1" s="32" t="s">
        <v>6</v>
      </c>
      <c r="I1" s="41" t="s">
        <v>45</v>
      </c>
      <c r="J1" s="42" t="s">
        <v>1406</v>
      </c>
      <c r="K1" s="33" t="s">
        <v>0</v>
      </c>
      <c r="L1" s="33" t="s">
        <v>1</v>
      </c>
      <c r="M1" s="33" t="s">
        <v>2</v>
      </c>
    </row>
    <row r="2">
      <c r="A2" s="19">
        <v>1.0</v>
      </c>
      <c r="B2" s="19" t="s">
        <v>52</v>
      </c>
      <c r="C2" s="19" t="s">
        <v>53</v>
      </c>
      <c r="D2" s="19" t="s">
        <v>54</v>
      </c>
      <c r="E2" s="43">
        <v>1.0</v>
      </c>
      <c r="F2" s="43">
        <v>0.827</v>
      </c>
      <c r="G2" s="43">
        <v>1.0</v>
      </c>
      <c r="H2" s="43">
        <v>0.333</v>
      </c>
      <c r="I2" s="44" t="str">
        <f>IMAGE("https://drive.google.com/uc?export=view&amp;id=1dV58gtSqEiTa5kdZ6WMlUDwpnp4_jjSm")</f>
        <v/>
      </c>
      <c r="J2" s="19" t="s">
        <v>14</v>
      </c>
      <c r="K2" s="45" t="s">
        <v>7</v>
      </c>
      <c r="L2" s="46">
        <v>32.0</v>
      </c>
      <c r="M2" s="46">
        <v>3.0</v>
      </c>
    </row>
    <row r="3">
      <c r="A3" s="19">
        <v>2.0</v>
      </c>
      <c r="B3" s="19" t="s">
        <v>64</v>
      </c>
      <c r="C3" s="19" t="s">
        <v>65</v>
      </c>
      <c r="D3" s="19" t="s">
        <v>66</v>
      </c>
      <c r="E3" s="43">
        <v>0.0</v>
      </c>
      <c r="F3" s="43">
        <v>0.81</v>
      </c>
      <c r="G3" s="43">
        <v>0.0</v>
      </c>
      <c r="H3" s="43">
        <v>0.2</v>
      </c>
      <c r="I3" s="44" t="str">
        <f>IMAGE("https://drive.google.com/uc?export=view&amp;id=19w73J71Q6HnNGTwLM0fZ8hw84ev8h03Y")</f>
        <v/>
      </c>
      <c r="J3" s="19" t="s">
        <v>14</v>
      </c>
      <c r="K3" s="43" t="s">
        <v>7</v>
      </c>
      <c r="L3" s="19">
        <v>32.0</v>
      </c>
      <c r="M3" s="19">
        <v>3.0</v>
      </c>
    </row>
    <row r="4">
      <c r="A4" s="19">
        <v>3.0</v>
      </c>
      <c r="B4" s="19" t="s">
        <v>67</v>
      </c>
      <c r="C4" s="19" t="s">
        <v>68</v>
      </c>
      <c r="D4" s="19" t="s">
        <v>69</v>
      </c>
      <c r="E4" s="43">
        <v>0.5</v>
      </c>
      <c r="F4" s="43">
        <v>0.821</v>
      </c>
      <c r="G4" s="43">
        <v>1.0</v>
      </c>
      <c r="H4" s="43">
        <v>0.333</v>
      </c>
      <c r="I4" s="44" t="str">
        <f>IMAGE("https://drive.google.com/uc?export=view&amp;id=1LphF5CdNh_uDjN3IlHgSPN3v3EAGpgH6")</f>
        <v/>
      </c>
      <c r="J4" s="19" t="s">
        <v>14</v>
      </c>
      <c r="K4" s="43" t="s">
        <v>7</v>
      </c>
      <c r="L4" s="19">
        <v>32.0</v>
      </c>
      <c r="M4" s="19">
        <v>3.0</v>
      </c>
    </row>
    <row r="5">
      <c r="A5" s="19">
        <v>4.0</v>
      </c>
      <c r="B5" s="19" t="s">
        <v>70</v>
      </c>
      <c r="C5" s="19" t="s">
        <v>71</v>
      </c>
      <c r="D5" s="19" t="s">
        <v>72</v>
      </c>
      <c r="E5" s="43">
        <v>0.6</v>
      </c>
      <c r="F5" s="43">
        <v>0.523</v>
      </c>
      <c r="G5" s="43">
        <v>0.583</v>
      </c>
      <c r="H5" s="43">
        <v>0.0</v>
      </c>
      <c r="I5" s="44" t="str">
        <f>IMAGE("https://drive.google.com/uc?export=view&amp;id=1k5RfntDpLiJXy1b_yK39qUp9v3t8FKo5")</f>
        <v/>
      </c>
      <c r="J5" s="19" t="s">
        <v>14</v>
      </c>
      <c r="K5" s="43" t="s">
        <v>7</v>
      </c>
      <c r="L5" s="19">
        <v>32.0</v>
      </c>
      <c r="M5" s="19">
        <v>3.0</v>
      </c>
    </row>
    <row r="6">
      <c r="A6" s="19">
        <v>5.0</v>
      </c>
      <c r="B6" s="19" t="s">
        <v>85</v>
      </c>
      <c r="C6" s="19" t="s">
        <v>86</v>
      </c>
      <c r="D6" s="19" t="s">
        <v>87</v>
      </c>
      <c r="E6" s="43">
        <v>0.786</v>
      </c>
      <c r="F6" s="43">
        <v>0.867</v>
      </c>
      <c r="G6" s="43">
        <v>0.0</v>
      </c>
      <c r="H6" s="43">
        <v>0.5</v>
      </c>
      <c r="I6" s="44" t="str">
        <f>IMAGE("https://drive.google.com/uc?export=view&amp;id=1v3vDBi_Tto_l9g1pufR3eisWwi3JIw52")</f>
        <v/>
      </c>
      <c r="J6" s="19" t="s">
        <v>14</v>
      </c>
      <c r="K6" s="43" t="s">
        <v>7</v>
      </c>
      <c r="L6" s="19">
        <v>32.0</v>
      </c>
      <c r="M6" s="19">
        <v>3.0</v>
      </c>
    </row>
    <row r="7">
      <c r="A7" s="19">
        <v>6.0</v>
      </c>
      <c r="B7" s="19" t="s">
        <v>94</v>
      </c>
      <c r="C7" s="19" t="s">
        <v>95</v>
      </c>
      <c r="D7" s="19" t="s">
        <v>96</v>
      </c>
      <c r="E7" s="43">
        <v>0.0</v>
      </c>
      <c r="F7" s="43">
        <v>0.568</v>
      </c>
      <c r="G7" s="43">
        <v>0.333</v>
      </c>
      <c r="H7" s="43">
        <v>0.429</v>
      </c>
      <c r="I7" s="44" t="str">
        <f>IMAGE("https://drive.google.com/uc?export=view&amp;id=1OA_pJZ8kpxJXMw4q_oGuZcXkRXPpTPSR")</f>
        <v/>
      </c>
      <c r="J7" s="19" t="s">
        <v>14</v>
      </c>
      <c r="K7" s="43" t="s">
        <v>7</v>
      </c>
      <c r="L7" s="19">
        <v>32.0</v>
      </c>
      <c r="M7" s="19">
        <v>3.0</v>
      </c>
    </row>
    <row r="8">
      <c r="A8" s="19">
        <v>7.0</v>
      </c>
      <c r="B8" s="19" t="s">
        <v>106</v>
      </c>
      <c r="C8" s="19" t="s">
        <v>107</v>
      </c>
      <c r="D8" s="19" t="s">
        <v>108</v>
      </c>
      <c r="E8" s="43">
        <v>0.909</v>
      </c>
      <c r="F8" s="43">
        <v>0.0</v>
      </c>
      <c r="G8" s="43">
        <v>0.0</v>
      </c>
      <c r="H8" s="43">
        <v>0.5</v>
      </c>
      <c r="I8" s="44" t="str">
        <f>IMAGE("https://drive.google.com/uc?export=view&amp;id=1ono8yAQKlxu2oMNAU9ILnErQ6LuzaiEh")</f>
        <v/>
      </c>
      <c r="J8" s="19" t="s">
        <v>15</v>
      </c>
      <c r="K8" s="43" t="s">
        <v>7</v>
      </c>
      <c r="L8" s="19">
        <v>32.0</v>
      </c>
      <c r="M8" s="19">
        <v>3.0</v>
      </c>
    </row>
    <row r="9">
      <c r="A9" s="19">
        <v>8.0</v>
      </c>
      <c r="B9" s="19" t="s">
        <v>124</v>
      </c>
      <c r="C9" s="19" t="s">
        <v>125</v>
      </c>
      <c r="D9" s="19" t="s">
        <v>126</v>
      </c>
      <c r="E9" s="43">
        <v>0.0</v>
      </c>
      <c r="F9" s="43">
        <v>0.91</v>
      </c>
      <c r="G9" s="43">
        <v>0.833</v>
      </c>
      <c r="H9" s="43">
        <v>0.0</v>
      </c>
      <c r="I9" s="44" t="str">
        <f>IMAGE("https://drive.google.com/uc?export=view&amp;id=1U28eMG8BNVltWp7pEiNNWYgTqYsnAR3t")</f>
        <v/>
      </c>
      <c r="J9" s="19" t="s">
        <v>15</v>
      </c>
      <c r="K9" s="43" t="s">
        <v>7</v>
      </c>
      <c r="L9" s="19">
        <v>32.0</v>
      </c>
      <c r="M9" s="19">
        <v>3.0</v>
      </c>
    </row>
    <row r="10">
      <c r="A10" s="19">
        <v>9.0</v>
      </c>
      <c r="B10" s="19" t="s">
        <v>139</v>
      </c>
      <c r="C10" s="19" t="s">
        <v>140</v>
      </c>
      <c r="D10" s="19" t="s">
        <v>141</v>
      </c>
      <c r="E10" s="43">
        <v>0.875</v>
      </c>
      <c r="F10" s="43">
        <v>1.0</v>
      </c>
      <c r="G10" s="43">
        <v>0.583</v>
      </c>
      <c r="H10" s="43">
        <v>0.4</v>
      </c>
      <c r="I10" s="44" t="str">
        <f>IMAGE("https://drive.google.com/uc?export=view&amp;id=1sej2nsS3g8Z8JVXnU2hEDexNryCnV1y9")</f>
        <v/>
      </c>
      <c r="J10" s="19" t="s">
        <v>15</v>
      </c>
      <c r="K10" s="43" t="s">
        <v>7</v>
      </c>
      <c r="L10" s="19">
        <v>32.0</v>
      </c>
      <c r="M10" s="19">
        <v>3.0</v>
      </c>
    </row>
    <row r="11">
      <c r="A11" s="19">
        <v>10.0</v>
      </c>
      <c r="B11" s="19" t="s">
        <v>142</v>
      </c>
      <c r="C11" s="19" t="s">
        <v>143</v>
      </c>
      <c r="D11" s="19" t="s">
        <v>144</v>
      </c>
      <c r="E11" s="43">
        <v>1.0</v>
      </c>
      <c r="F11" s="43">
        <v>0.781</v>
      </c>
      <c r="G11" s="43">
        <v>0.0</v>
      </c>
      <c r="H11" s="43">
        <v>0.0</v>
      </c>
      <c r="I11" s="44" t="str">
        <f>IMAGE("https://drive.google.com/uc?export=view&amp;id=1_7Fkg3Ap8HPDFWWp45NdGVyyl7LRjthD")</f>
        <v/>
      </c>
      <c r="J11" s="19" t="s">
        <v>15</v>
      </c>
      <c r="K11" s="43" t="s">
        <v>7</v>
      </c>
      <c r="L11" s="19">
        <v>32.0</v>
      </c>
      <c r="M11" s="19">
        <v>3.0</v>
      </c>
    </row>
    <row r="12">
      <c r="A12" s="19">
        <v>11.0</v>
      </c>
      <c r="B12" s="19" t="s">
        <v>151</v>
      </c>
      <c r="C12" s="19" t="s">
        <v>152</v>
      </c>
      <c r="D12" s="19" t="s">
        <v>153</v>
      </c>
      <c r="E12" s="43">
        <v>0.421</v>
      </c>
      <c r="F12" s="43">
        <v>0.888</v>
      </c>
      <c r="G12" s="43">
        <v>1.0</v>
      </c>
      <c r="H12" s="43">
        <v>0.375</v>
      </c>
      <c r="I12" s="44" t="str">
        <f>IMAGE("https://drive.google.com/uc?export=view&amp;id=1hTT1B6gIhiEZlrQEkr0HlX3oyXdMTj1B")</f>
        <v/>
      </c>
      <c r="J12" s="19" t="s">
        <v>15</v>
      </c>
      <c r="K12" s="43" t="s">
        <v>7</v>
      </c>
      <c r="L12" s="19">
        <v>32.0</v>
      </c>
      <c r="M12" s="19">
        <v>3.0</v>
      </c>
    </row>
    <row r="13">
      <c r="A13" s="19">
        <v>12.0</v>
      </c>
      <c r="B13" s="19" t="s">
        <v>163</v>
      </c>
      <c r="C13" s="19" t="s">
        <v>164</v>
      </c>
      <c r="D13" s="19" t="s">
        <v>165</v>
      </c>
      <c r="E13" s="43">
        <v>0.381</v>
      </c>
      <c r="F13" s="43">
        <v>0.617</v>
      </c>
      <c r="G13" s="43">
        <v>1.0</v>
      </c>
      <c r="H13" s="43">
        <v>0.333</v>
      </c>
      <c r="I13" s="44" t="str">
        <f>IMAGE("https://drive.google.com/uc?export=view&amp;id=1mubrba--d0x7zjdfChjJQBSlxlI1xslI")</f>
        <v/>
      </c>
      <c r="J13" s="19" t="s">
        <v>15</v>
      </c>
      <c r="K13" s="43" t="s">
        <v>7</v>
      </c>
      <c r="L13" s="19">
        <v>32.0</v>
      </c>
      <c r="M13" s="19">
        <v>3.0</v>
      </c>
    </row>
    <row r="14">
      <c r="A14" s="19">
        <v>13.0</v>
      </c>
      <c r="B14" s="19" t="s">
        <v>166</v>
      </c>
      <c r="C14" s="19" t="s">
        <v>167</v>
      </c>
      <c r="D14" s="19" t="s">
        <v>168</v>
      </c>
      <c r="E14" s="43">
        <v>0.308</v>
      </c>
      <c r="F14" s="43">
        <v>0.935</v>
      </c>
      <c r="G14" s="43">
        <v>0.833</v>
      </c>
      <c r="H14" s="43">
        <v>0.0</v>
      </c>
      <c r="I14" s="44" t="str">
        <f>IMAGE("https://drive.google.com/uc?export=view&amp;id=1W4xIx8yezp7_U-WJLwsUbgFbErv_kfhQ")</f>
        <v/>
      </c>
      <c r="J14" s="19" t="s">
        <v>16</v>
      </c>
      <c r="K14" s="43" t="s">
        <v>7</v>
      </c>
      <c r="L14" s="19">
        <v>32.0</v>
      </c>
      <c r="M14" s="19">
        <v>3.0</v>
      </c>
    </row>
    <row r="15">
      <c r="A15" s="19">
        <v>14.0</v>
      </c>
      <c r="B15" s="19" t="s">
        <v>169</v>
      </c>
      <c r="C15" s="19" t="s">
        <v>170</v>
      </c>
      <c r="D15" s="19" t="s">
        <v>171</v>
      </c>
      <c r="E15" s="43">
        <v>0.733</v>
      </c>
      <c r="F15" s="43">
        <v>0.724</v>
      </c>
      <c r="G15" s="43">
        <v>0.5</v>
      </c>
      <c r="H15" s="43">
        <v>0.0</v>
      </c>
      <c r="I15" s="44" t="str">
        <f>IMAGE("https://drive.google.com/uc?export=view&amp;id=13KAnbvmNygz_-roDb2gZhhkePpSJEFVw")</f>
        <v/>
      </c>
      <c r="J15" s="19" t="s">
        <v>16</v>
      </c>
      <c r="K15" s="43" t="s">
        <v>7</v>
      </c>
      <c r="L15" s="19">
        <v>32.0</v>
      </c>
      <c r="M15" s="19">
        <v>3.0</v>
      </c>
    </row>
    <row r="16">
      <c r="A16" s="19">
        <v>15.0</v>
      </c>
      <c r="B16" s="19" t="s">
        <v>172</v>
      </c>
      <c r="C16" s="19" t="s">
        <v>173</v>
      </c>
      <c r="D16" s="19" t="s">
        <v>174</v>
      </c>
      <c r="E16" s="43">
        <v>0.875</v>
      </c>
      <c r="F16" s="43">
        <v>0.0</v>
      </c>
      <c r="G16" s="43">
        <v>0.0</v>
      </c>
      <c r="H16" s="43">
        <v>0.2</v>
      </c>
      <c r="I16" s="44" t="str">
        <f>IMAGE("https://drive.google.com/uc?export=view&amp;id=1p0umA6oALCJiPY5_Irhm8Vuc9Jwd-tGq")</f>
        <v/>
      </c>
      <c r="J16" s="19" t="s">
        <v>16</v>
      </c>
      <c r="K16" s="43" t="s">
        <v>7</v>
      </c>
      <c r="L16" s="19">
        <v>32.0</v>
      </c>
      <c r="M16" s="19">
        <v>3.0</v>
      </c>
    </row>
    <row r="17">
      <c r="A17" s="19">
        <v>16.0</v>
      </c>
      <c r="B17" s="19" t="s">
        <v>175</v>
      </c>
      <c r="C17" s="19" t="s">
        <v>176</v>
      </c>
      <c r="D17" s="19" t="s">
        <v>177</v>
      </c>
      <c r="E17" s="43">
        <v>0.667</v>
      </c>
      <c r="F17" s="43">
        <v>0.0</v>
      </c>
      <c r="G17" s="43">
        <v>0.0</v>
      </c>
      <c r="H17" s="43">
        <v>0.333</v>
      </c>
      <c r="I17" s="44" t="str">
        <f>IMAGE("https://drive.google.com/uc?export=view&amp;id=1mqSHgo2h4GpJNcjeUwDWg6YbRXGip_bh")</f>
        <v/>
      </c>
      <c r="J17" s="19" t="s">
        <v>16</v>
      </c>
      <c r="K17" s="43" t="s">
        <v>7</v>
      </c>
      <c r="L17" s="19">
        <v>32.0</v>
      </c>
      <c r="M17" s="19">
        <v>3.0</v>
      </c>
    </row>
    <row r="18">
      <c r="A18" s="19">
        <v>17.0</v>
      </c>
      <c r="B18" s="19" t="s">
        <v>178</v>
      </c>
      <c r="C18" s="19" t="s">
        <v>179</v>
      </c>
      <c r="D18" s="19" t="s">
        <v>180</v>
      </c>
      <c r="E18" s="43">
        <v>0.111</v>
      </c>
      <c r="F18" s="43">
        <v>0.863</v>
      </c>
      <c r="G18" s="43">
        <v>0.0</v>
      </c>
      <c r="H18" s="43">
        <v>0.0</v>
      </c>
      <c r="I18" s="44" t="str">
        <f>IMAGE("https://drive.google.com/uc?export=view&amp;id=1yPmKAELlL9sBrFvofBw-OVm1mQaxVPwR")</f>
        <v/>
      </c>
      <c r="J18" s="19" t="s">
        <v>16</v>
      </c>
      <c r="K18" s="43" t="s">
        <v>7</v>
      </c>
      <c r="L18" s="19">
        <v>32.0</v>
      </c>
      <c r="M18" s="19">
        <v>3.0</v>
      </c>
    </row>
    <row r="19">
      <c r="A19" s="19">
        <v>18.0</v>
      </c>
      <c r="B19" s="19" t="s">
        <v>187</v>
      </c>
      <c r="C19" s="19" t="s">
        <v>188</v>
      </c>
      <c r="D19" s="19" t="s">
        <v>189</v>
      </c>
      <c r="E19" s="43">
        <v>0.4</v>
      </c>
      <c r="F19" s="43">
        <v>0.995</v>
      </c>
      <c r="G19" s="43">
        <v>1.0</v>
      </c>
      <c r="H19" s="43">
        <v>0.0</v>
      </c>
      <c r="I19" s="44" t="str">
        <f>IMAGE("https://drive.google.com/uc?export=view&amp;id=1lF4BBMER-oKPQT-ArVcPLKZI6AYJrP0v")</f>
        <v/>
      </c>
      <c r="J19" s="19" t="s">
        <v>16</v>
      </c>
      <c r="K19" s="43" t="s">
        <v>7</v>
      </c>
      <c r="L19" s="19">
        <v>32.0</v>
      </c>
      <c r="M19" s="19">
        <v>3.0</v>
      </c>
    </row>
    <row r="20">
      <c r="A20" s="19">
        <v>19.0</v>
      </c>
      <c r="B20" s="19" t="s">
        <v>193</v>
      </c>
      <c r="C20" s="19" t="s">
        <v>194</v>
      </c>
      <c r="D20" s="19" t="s">
        <v>195</v>
      </c>
      <c r="E20" s="43">
        <v>0.222</v>
      </c>
      <c r="F20" s="43">
        <v>0.389</v>
      </c>
      <c r="G20" s="43">
        <v>0.333</v>
      </c>
      <c r="H20" s="43">
        <v>0.0</v>
      </c>
      <c r="I20" s="44" t="str">
        <f>IMAGE("https://drive.google.com/uc?export=view&amp;id=1F0M_5Bgc1foHunLrgY4xgC33q47AMySd")</f>
        <v/>
      </c>
      <c r="J20" s="19" t="s">
        <v>16</v>
      </c>
      <c r="K20" s="43" t="s">
        <v>7</v>
      </c>
      <c r="L20" s="19">
        <v>32.0</v>
      </c>
      <c r="M20" s="19">
        <v>3.0</v>
      </c>
    </row>
    <row r="21">
      <c r="A21" s="19">
        <v>20.0</v>
      </c>
      <c r="B21" s="19" t="s">
        <v>205</v>
      </c>
      <c r="C21" s="19" t="s">
        <v>206</v>
      </c>
      <c r="D21" s="19" t="s">
        <v>207</v>
      </c>
      <c r="E21" s="43">
        <v>0.0</v>
      </c>
      <c r="F21" s="43">
        <v>1.0</v>
      </c>
      <c r="G21" s="43">
        <v>0.5</v>
      </c>
      <c r="H21" s="43">
        <v>0.0</v>
      </c>
      <c r="I21" s="44" t="str">
        <f>IMAGE("https://drive.google.com/uc?export=view&amp;id=1BnknDk_7LOEv8jrFLoPv7Fm6YJTa_p_9")</f>
        <v/>
      </c>
      <c r="J21" s="19" t="s">
        <v>16</v>
      </c>
      <c r="K21" s="43" t="s">
        <v>7</v>
      </c>
      <c r="L21" s="19">
        <v>32.0</v>
      </c>
      <c r="M21" s="19">
        <v>3.0</v>
      </c>
    </row>
    <row r="22">
      <c r="A22" s="19">
        <v>21.0</v>
      </c>
      <c r="B22" s="19" t="s">
        <v>208</v>
      </c>
      <c r="C22" s="19" t="s">
        <v>209</v>
      </c>
      <c r="D22" s="19" t="s">
        <v>210</v>
      </c>
      <c r="E22" s="43">
        <v>1.0</v>
      </c>
      <c r="F22" s="43">
        <v>0.763</v>
      </c>
      <c r="G22" s="43">
        <v>1.0</v>
      </c>
      <c r="H22" s="43">
        <v>0.429</v>
      </c>
      <c r="I22" s="44" t="str">
        <f>IMAGE("https://drive.google.com/uc?export=view&amp;id=1uN3iR3D6k1_FL7A3VXf4V0C_j_PE0_so")</f>
        <v/>
      </c>
      <c r="J22" s="19" t="s">
        <v>16</v>
      </c>
      <c r="K22" s="43" t="s">
        <v>7</v>
      </c>
      <c r="L22" s="19">
        <v>32.0</v>
      </c>
      <c r="M22" s="19">
        <v>3.0</v>
      </c>
    </row>
    <row r="23">
      <c r="A23" s="19">
        <v>22.0</v>
      </c>
      <c r="B23" s="19" t="s">
        <v>217</v>
      </c>
      <c r="C23" s="19" t="s">
        <v>218</v>
      </c>
      <c r="D23" s="19" t="s">
        <v>219</v>
      </c>
      <c r="E23" s="43">
        <v>0.714</v>
      </c>
      <c r="F23" s="43">
        <v>0.803</v>
      </c>
      <c r="G23" s="43">
        <v>0.0</v>
      </c>
      <c r="H23" s="43">
        <v>0.0</v>
      </c>
      <c r="I23" s="44" t="str">
        <f>IMAGE("https://drive.google.com/uc?export=view&amp;id=1LkOzJNVZWdyvawAH45jPXoDnqwPUfT0q")</f>
        <v/>
      </c>
      <c r="J23" s="19" t="s">
        <v>16</v>
      </c>
      <c r="K23" s="43" t="s">
        <v>7</v>
      </c>
      <c r="L23" s="19">
        <v>32.0</v>
      </c>
      <c r="M23" s="19">
        <v>3.0</v>
      </c>
    </row>
    <row r="24">
      <c r="A24" s="19">
        <v>23.0</v>
      </c>
      <c r="B24" s="19" t="s">
        <v>220</v>
      </c>
      <c r="C24" s="19" t="s">
        <v>221</v>
      </c>
      <c r="D24" s="19" t="s">
        <v>222</v>
      </c>
      <c r="E24" s="43">
        <v>0.667</v>
      </c>
      <c r="F24" s="43">
        <v>0.719</v>
      </c>
      <c r="G24" s="43">
        <v>1.0</v>
      </c>
      <c r="H24" s="43">
        <v>0.5</v>
      </c>
      <c r="I24" s="44" t="str">
        <f>IMAGE("https://drive.google.com/uc?export=view&amp;id=1kcJKuY1Hv8Fh5YMx_MdJKJujFuOx1j1u")</f>
        <v/>
      </c>
      <c r="J24" s="19" t="s">
        <v>16</v>
      </c>
      <c r="K24" s="43" t="s">
        <v>7</v>
      </c>
      <c r="L24" s="19">
        <v>32.0</v>
      </c>
      <c r="M24" s="19">
        <v>3.0</v>
      </c>
    </row>
    <row r="25">
      <c r="A25" s="19">
        <v>24.0</v>
      </c>
      <c r="B25" s="19" t="s">
        <v>232</v>
      </c>
      <c r="C25" s="19" t="s">
        <v>233</v>
      </c>
      <c r="D25" s="19" t="s">
        <v>234</v>
      </c>
      <c r="E25" s="43">
        <v>0.111</v>
      </c>
      <c r="F25" s="43">
        <v>0.797</v>
      </c>
      <c r="G25" s="43">
        <v>1.0</v>
      </c>
      <c r="H25" s="43">
        <v>0.333</v>
      </c>
      <c r="I25" s="44" t="str">
        <f>IMAGE("https://drive.google.com/uc?export=view&amp;id=1Q87fs95bOFxqxf9wOwmuAQdzNnPainK4")</f>
        <v/>
      </c>
      <c r="J25" s="19" t="s">
        <v>17</v>
      </c>
      <c r="K25" s="43" t="s">
        <v>7</v>
      </c>
      <c r="L25" s="19">
        <v>32.0</v>
      </c>
      <c r="M25" s="19">
        <v>3.0</v>
      </c>
    </row>
    <row r="26">
      <c r="A26" s="19">
        <v>25.0</v>
      </c>
      <c r="B26" s="19" t="s">
        <v>235</v>
      </c>
      <c r="C26" s="19" t="s">
        <v>236</v>
      </c>
      <c r="D26" s="19" t="s">
        <v>237</v>
      </c>
      <c r="E26" s="43">
        <v>0.25</v>
      </c>
      <c r="F26" s="43">
        <v>0.827</v>
      </c>
      <c r="G26" s="43">
        <v>1.0</v>
      </c>
      <c r="H26" s="43">
        <v>0.333</v>
      </c>
      <c r="I26" s="44" t="str">
        <f>IMAGE("https://drive.google.com/uc?export=view&amp;id=1NThe3I-LCoRfm3TOHGIylS_UNmX61uVI")</f>
        <v/>
      </c>
      <c r="J26" s="19" t="s">
        <v>17</v>
      </c>
      <c r="K26" s="43" t="s">
        <v>7</v>
      </c>
      <c r="L26" s="19">
        <v>32.0</v>
      </c>
      <c r="M26" s="19">
        <v>3.0</v>
      </c>
    </row>
    <row r="27">
      <c r="A27" s="19">
        <v>26.0</v>
      </c>
      <c r="B27" s="19" t="s">
        <v>253</v>
      </c>
      <c r="C27" s="19" t="s">
        <v>254</v>
      </c>
      <c r="D27" s="19" t="s">
        <v>255</v>
      </c>
      <c r="E27" s="43">
        <v>0.636</v>
      </c>
      <c r="F27" s="43">
        <v>0.94</v>
      </c>
      <c r="G27" s="43">
        <v>1.0</v>
      </c>
      <c r="H27" s="43">
        <v>0.25</v>
      </c>
      <c r="I27" s="44" t="str">
        <f>IMAGE("https://drive.google.com/uc?export=view&amp;id=1nzAN9GdhpoIDOnim1qlUZ5m8NPmzeffG")</f>
        <v/>
      </c>
      <c r="J27" s="19" t="s">
        <v>17</v>
      </c>
      <c r="K27" s="43" t="s">
        <v>7</v>
      </c>
      <c r="L27" s="19">
        <v>32.0</v>
      </c>
      <c r="M27" s="19">
        <v>3.0</v>
      </c>
    </row>
    <row r="28">
      <c r="A28" s="19">
        <v>27.0</v>
      </c>
      <c r="B28" s="19" t="s">
        <v>256</v>
      </c>
      <c r="C28" s="19" t="s">
        <v>257</v>
      </c>
      <c r="D28" s="19" t="s">
        <v>258</v>
      </c>
      <c r="E28" s="43">
        <v>0.0</v>
      </c>
      <c r="F28" s="43">
        <v>0.589</v>
      </c>
      <c r="G28" s="43">
        <v>0.833</v>
      </c>
      <c r="H28" s="43">
        <v>0.167</v>
      </c>
      <c r="I28" s="44" t="str">
        <f>IMAGE("https://drive.google.com/uc?export=view&amp;id=1hwjFnzCD5e9TpQDxCWyAeTrHKdpwr4mT")</f>
        <v/>
      </c>
      <c r="J28" s="19" t="s">
        <v>17</v>
      </c>
      <c r="K28" s="43" t="s">
        <v>7</v>
      </c>
      <c r="L28" s="19">
        <v>32.0</v>
      </c>
      <c r="M28" s="19">
        <v>3.0</v>
      </c>
    </row>
    <row r="29">
      <c r="A29" s="19">
        <v>28.0</v>
      </c>
      <c r="B29" s="19" t="s">
        <v>259</v>
      </c>
      <c r="C29" s="19" t="s">
        <v>260</v>
      </c>
      <c r="D29" s="19" t="s">
        <v>261</v>
      </c>
      <c r="E29" s="43">
        <v>0.857</v>
      </c>
      <c r="F29" s="43">
        <v>0.0</v>
      </c>
      <c r="G29" s="43">
        <v>0.0</v>
      </c>
      <c r="H29" s="43">
        <v>0.0</v>
      </c>
      <c r="I29" s="44" t="str">
        <f>IMAGE("https://drive.google.com/uc?export=view&amp;id=10mhDHsMU6OWSJdzXOmCAH07FSnJxxfE-")</f>
        <v/>
      </c>
      <c r="J29" s="19" t="s">
        <v>17</v>
      </c>
      <c r="K29" s="43" t="s">
        <v>7</v>
      </c>
      <c r="L29" s="19">
        <v>32.0</v>
      </c>
      <c r="M29" s="19">
        <v>3.0</v>
      </c>
    </row>
    <row r="30">
      <c r="A30" s="19">
        <v>29.0</v>
      </c>
      <c r="B30" s="19" t="s">
        <v>268</v>
      </c>
      <c r="C30" s="19" t="s">
        <v>269</v>
      </c>
      <c r="D30" s="19" t="s">
        <v>270</v>
      </c>
      <c r="E30" s="43">
        <v>0.909</v>
      </c>
      <c r="F30" s="43">
        <v>0.551</v>
      </c>
      <c r="G30" s="43">
        <v>1.0</v>
      </c>
      <c r="H30" s="43">
        <v>0.444</v>
      </c>
      <c r="I30" s="44" t="str">
        <f>IMAGE("https://drive.google.com/uc?export=view&amp;id=1f_lV53csNw6SGjNFeCrheiZP896taysg")</f>
        <v/>
      </c>
      <c r="J30" s="19" t="s">
        <v>17</v>
      </c>
      <c r="K30" s="43" t="s">
        <v>7</v>
      </c>
      <c r="L30" s="19">
        <v>32.0</v>
      </c>
      <c r="M30" s="19">
        <v>3.0</v>
      </c>
    </row>
    <row r="31">
      <c r="A31" s="19">
        <v>30.0</v>
      </c>
      <c r="B31" s="19" t="s">
        <v>280</v>
      </c>
      <c r="C31" s="19" t="s">
        <v>281</v>
      </c>
      <c r="D31" s="19" t="s">
        <v>282</v>
      </c>
      <c r="E31" s="43">
        <v>0.6</v>
      </c>
      <c r="F31" s="43">
        <v>0.0</v>
      </c>
      <c r="G31" s="43">
        <v>0.0</v>
      </c>
      <c r="H31" s="43">
        <v>0.0</v>
      </c>
      <c r="I31" s="44" t="str">
        <f>IMAGE("https://drive.google.com/uc?export=view&amp;id=1h_dN3xp9cAkAiI7fms_HH8-bsP3OpOIV")</f>
        <v/>
      </c>
      <c r="J31" s="19" t="s">
        <v>17</v>
      </c>
      <c r="K31" s="43" t="s">
        <v>7</v>
      </c>
      <c r="L31" s="19">
        <v>32.0</v>
      </c>
      <c r="M31" s="19">
        <v>3.0</v>
      </c>
    </row>
    <row r="32">
      <c r="A32" s="19">
        <v>31.0</v>
      </c>
      <c r="B32" s="47" t="s">
        <v>52</v>
      </c>
      <c r="C32" s="47" t="s">
        <v>290</v>
      </c>
      <c r="D32" s="47" t="s">
        <v>291</v>
      </c>
      <c r="E32" s="48">
        <v>0.6</v>
      </c>
      <c r="F32" s="48">
        <v>0.827</v>
      </c>
      <c r="G32" s="48">
        <v>1.0</v>
      </c>
      <c r="H32" s="48">
        <v>0.333</v>
      </c>
      <c r="I32" s="44" t="str">
        <f>IMAGE("https://drive.google.com/uc?export=view&amp;id=1mVN06XS0gH2KSLWKzOr2NC3Xz5UFWRv6")</f>
        <v/>
      </c>
      <c r="J32" s="19" t="s">
        <v>14</v>
      </c>
      <c r="K32" s="43" t="s">
        <v>7</v>
      </c>
      <c r="L32" s="19">
        <v>32.0</v>
      </c>
      <c r="M32" s="19">
        <v>5.0</v>
      </c>
    </row>
    <row r="33">
      <c r="A33" s="19">
        <v>32.0</v>
      </c>
      <c r="B33" s="47" t="s">
        <v>58</v>
      </c>
      <c r="C33" s="47" t="s">
        <v>294</v>
      </c>
      <c r="D33" s="47" t="s">
        <v>295</v>
      </c>
      <c r="E33" s="48">
        <v>0.5</v>
      </c>
      <c r="F33" s="48">
        <v>0.913</v>
      </c>
      <c r="G33" s="48">
        <v>1.0</v>
      </c>
      <c r="H33" s="48">
        <v>0.333</v>
      </c>
      <c r="I33" s="44" t="str">
        <f>IMAGE("https://drive.google.com/uc?export=view&amp;id=1uoCiM5UF8F7-RPE1WZxiSKV7UbJkMtmV")</f>
        <v/>
      </c>
      <c r="J33" s="19" t="s">
        <v>14</v>
      </c>
      <c r="K33" s="43" t="s">
        <v>7</v>
      </c>
      <c r="L33" s="19">
        <v>32.0</v>
      </c>
      <c r="M33" s="19">
        <v>5.0</v>
      </c>
    </row>
    <row r="34">
      <c r="A34" s="19">
        <v>33.0</v>
      </c>
      <c r="B34" s="47" t="s">
        <v>85</v>
      </c>
      <c r="C34" s="47" t="s">
        <v>312</v>
      </c>
      <c r="D34" s="47" t="s">
        <v>313</v>
      </c>
      <c r="E34" s="48">
        <v>0.75</v>
      </c>
      <c r="F34" s="48">
        <v>0.982</v>
      </c>
      <c r="G34" s="48">
        <v>0.5</v>
      </c>
      <c r="H34" s="48">
        <v>0.0</v>
      </c>
      <c r="I34" s="44" t="str">
        <f>IMAGE("https://drive.google.com/uc?export=view&amp;id=10zh8wIP8cd-ExtNEBSI1xV2MfgyQ-p2X")</f>
        <v/>
      </c>
      <c r="J34" s="19" t="s">
        <v>14</v>
      </c>
      <c r="K34" s="43" t="s">
        <v>7</v>
      </c>
      <c r="L34" s="19">
        <v>32.0</v>
      </c>
      <c r="M34" s="19">
        <v>5.0</v>
      </c>
    </row>
    <row r="35">
      <c r="A35" s="19">
        <v>34.0</v>
      </c>
      <c r="B35" s="47" t="s">
        <v>94</v>
      </c>
      <c r="C35" s="47" t="s">
        <v>316</v>
      </c>
      <c r="D35" s="47" t="s">
        <v>317</v>
      </c>
      <c r="E35" s="48">
        <v>0.875</v>
      </c>
      <c r="F35" s="48">
        <v>0.575</v>
      </c>
      <c r="G35" s="48">
        <v>0.333</v>
      </c>
      <c r="H35" s="48">
        <v>0.3</v>
      </c>
      <c r="I35" s="44" t="str">
        <f>IMAGE("https://drive.google.com/uc?export=view&amp;id=1HUdaj3LodGs8x_bd9AQezQNCD0TcPcSm")</f>
        <v/>
      </c>
      <c r="J35" s="19" t="s">
        <v>14</v>
      </c>
      <c r="K35" s="43" t="s">
        <v>7</v>
      </c>
      <c r="L35" s="19">
        <v>32.0</v>
      </c>
      <c r="M35" s="19">
        <v>5.0</v>
      </c>
    </row>
    <row r="36">
      <c r="A36" s="19">
        <v>35.0</v>
      </c>
      <c r="B36" s="47" t="s">
        <v>121</v>
      </c>
      <c r="C36" s="47" t="s">
        <v>336</v>
      </c>
      <c r="D36" s="47" t="s">
        <v>337</v>
      </c>
      <c r="E36" s="48">
        <v>0.909</v>
      </c>
      <c r="F36" s="48">
        <v>0.997</v>
      </c>
      <c r="G36" s="48">
        <v>0.45</v>
      </c>
      <c r="H36" s="48">
        <v>0.2</v>
      </c>
      <c r="I36" s="44" t="str">
        <f>IMAGE("https://drive.google.com/uc?export=view&amp;id=1rq-FabmxPxq2Xq1h_mbIKB09E4Utx8cf")</f>
        <v/>
      </c>
      <c r="J36" s="19" t="s">
        <v>15</v>
      </c>
      <c r="K36" s="43" t="s">
        <v>7</v>
      </c>
      <c r="L36" s="19">
        <v>32.0</v>
      </c>
      <c r="M36" s="19">
        <v>5.0</v>
      </c>
    </row>
    <row r="37">
      <c r="A37" s="19">
        <v>36.0</v>
      </c>
      <c r="B37" s="47" t="s">
        <v>124</v>
      </c>
      <c r="C37" s="47" t="s">
        <v>338</v>
      </c>
      <c r="D37" s="47" t="s">
        <v>339</v>
      </c>
      <c r="E37" s="48">
        <v>0.0</v>
      </c>
      <c r="F37" s="48">
        <v>0.908</v>
      </c>
      <c r="G37" s="48">
        <v>0.0</v>
      </c>
      <c r="H37" s="48">
        <v>0.333</v>
      </c>
      <c r="I37" s="44" t="str">
        <f>IMAGE("https://drive.google.com/uc?export=view&amp;id=1FBNlDPS2W-UqdDayyzPuH68ohvi6zesR")</f>
        <v/>
      </c>
      <c r="J37" s="19" t="s">
        <v>15</v>
      </c>
      <c r="K37" s="43" t="s">
        <v>7</v>
      </c>
      <c r="L37" s="19">
        <v>32.0</v>
      </c>
      <c r="M37" s="19">
        <v>5.0</v>
      </c>
    </row>
    <row r="38">
      <c r="A38" s="19">
        <v>37.0</v>
      </c>
      <c r="B38" s="47" t="s">
        <v>151</v>
      </c>
      <c r="C38" s="47" t="s">
        <v>356</v>
      </c>
      <c r="D38" s="47" t="s">
        <v>357</v>
      </c>
      <c r="E38" s="48">
        <v>0.818</v>
      </c>
      <c r="F38" s="48">
        <v>0.888</v>
      </c>
      <c r="G38" s="48">
        <v>1.0</v>
      </c>
      <c r="H38" s="48">
        <v>0.286</v>
      </c>
      <c r="I38" s="44" t="str">
        <f>IMAGE("https://drive.google.com/uc?export=view&amp;id=1DoXIrLCvmLV9Hgm9sZ3V2us7PXdIx18U")</f>
        <v/>
      </c>
      <c r="J38" s="19" t="s">
        <v>15</v>
      </c>
      <c r="K38" s="43" t="s">
        <v>7</v>
      </c>
      <c r="L38" s="19">
        <v>32.0</v>
      </c>
      <c r="M38" s="19">
        <v>5.0</v>
      </c>
    </row>
    <row r="39">
      <c r="A39" s="19">
        <v>38.0</v>
      </c>
      <c r="B39" s="47" t="s">
        <v>166</v>
      </c>
      <c r="C39" s="47" t="s">
        <v>366</v>
      </c>
      <c r="D39" s="47" t="s">
        <v>367</v>
      </c>
      <c r="E39" s="48">
        <v>0.0</v>
      </c>
      <c r="F39" s="48">
        <v>1.0</v>
      </c>
      <c r="G39" s="48">
        <v>0.804</v>
      </c>
      <c r="H39" s="48">
        <v>0.286</v>
      </c>
      <c r="I39" s="44" t="str">
        <f>IMAGE("https://drive.google.com/uc?export=view&amp;id=14lsk2KNg73_3GkKw39eoe7HfNrk43v2g")</f>
        <v/>
      </c>
      <c r="J39" s="19" t="s">
        <v>16</v>
      </c>
      <c r="K39" s="43" t="s">
        <v>7</v>
      </c>
      <c r="L39" s="19">
        <v>32.0</v>
      </c>
      <c r="M39" s="19">
        <v>5.0</v>
      </c>
    </row>
    <row r="40">
      <c r="A40" s="19">
        <v>39.0</v>
      </c>
      <c r="B40" s="47" t="s">
        <v>172</v>
      </c>
      <c r="C40" s="47" t="s">
        <v>371</v>
      </c>
      <c r="D40" s="47" t="s">
        <v>372</v>
      </c>
      <c r="E40" s="48">
        <v>0.4</v>
      </c>
      <c r="F40" s="48">
        <v>0.916</v>
      </c>
      <c r="G40" s="48">
        <v>0.417</v>
      </c>
      <c r="H40" s="48">
        <v>0.0</v>
      </c>
      <c r="I40" s="44" t="str">
        <f>IMAGE("https://drive.google.com/uc?export=view&amp;id=1z0NAJ-4h1SX_jlFYG9monzn7MY7Lz1Kh")</f>
        <v/>
      </c>
      <c r="J40" s="19" t="s">
        <v>16</v>
      </c>
      <c r="K40" s="43" t="s">
        <v>7</v>
      </c>
      <c r="L40" s="19">
        <v>32.0</v>
      </c>
      <c r="M40" s="19">
        <v>5.0</v>
      </c>
    </row>
    <row r="41">
      <c r="A41" s="19">
        <v>40.0</v>
      </c>
      <c r="B41" s="47" t="s">
        <v>175</v>
      </c>
      <c r="C41" s="47" t="s">
        <v>373</v>
      </c>
      <c r="D41" s="47" t="s">
        <v>374</v>
      </c>
      <c r="E41" s="48">
        <v>0.636</v>
      </c>
      <c r="F41" s="48">
        <v>0.879</v>
      </c>
      <c r="G41" s="48">
        <v>0.0</v>
      </c>
      <c r="H41" s="48">
        <v>0.167</v>
      </c>
      <c r="I41" s="44" t="str">
        <f>IMAGE("https://drive.google.com/uc?export=view&amp;id=1jtLRr0XZiUfQQfmZLUX6VRKTVQ4I1QAO")</f>
        <v/>
      </c>
      <c r="J41" s="19" t="s">
        <v>16</v>
      </c>
      <c r="K41" s="43" t="s">
        <v>7</v>
      </c>
      <c r="L41" s="19">
        <v>32.0</v>
      </c>
      <c r="M41" s="19">
        <v>5.0</v>
      </c>
    </row>
    <row r="42">
      <c r="A42" s="19">
        <v>41.0</v>
      </c>
      <c r="B42" s="47" t="s">
        <v>178</v>
      </c>
      <c r="C42" s="47" t="s">
        <v>375</v>
      </c>
      <c r="D42" s="47" t="s">
        <v>376</v>
      </c>
      <c r="E42" s="48">
        <v>0.875</v>
      </c>
      <c r="F42" s="48">
        <v>0.863</v>
      </c>
      <c r="G42" s="48">
        <v>0.0</v>
      </c>
      <c r="H42" s="48">
        <v>0.167</v>
      </c>
      <c r="I42" s="44" t="str">
        <f>IMAGE("https://drive.google.com/uc?export=view&amp;id=1RUvtDj1VrKCUZKxGOX4DCQlMy3zbzt7W")</f>
        <v/>
      </c>
      <c r="J42" s="19" t="s">
        <v>16</v>
      </c>
      <c r="K42" s="43" t="s">
        <v>7</v>
      </c>
      <c r="L42" s="19">
        <v>32.0</v>
      </c>
      <c r="M42" s="19">
        <v>5.0</v>
      </c>
    </row>
    <row r="43">
      <c r="A43" s="19">
        <v>42.0</v>
      </c>
      <c r="B43" s="47" t="s">
        <v>193</v>
      </c>
      <c r="C43" s="47" t="s">
        <v>385</v>
      </c>
      <c r="D43" s="47" t="s">
        <v>386</v>
      </c>
      <c r="E43" s="48">
        <v>0.75</v>
      </c>
      <c r="F43" s="48">
        <v>0.355</v>
      </c>
      <c r="G43" s="48">
        <v>0.756</v>
      </c>
      <c r="H43" s="48">
        <v>0.0</v>
      </c>
      <c r="I43" s="44" t="str">
        <f>IMAGE("https://drive.google.com/uc?export=view&amp;id=1KHhGJIgz4MS8uevIFowMbewMtXbvQinw")</f>
        <v/>
      </c>
      <c r="J43" s="19" t="s">
        <v>16</v>
      </c>
      <c r="K43" s="43" t="s">
        <v>7</v>
      </c>
      <c r="L43" s="19">
        <v>32.0</v>
      </c>
      <c r="M43" s="19">
        <v>5.0</v>
      </c>
    </row>
    <row r="44">
      <c r="A44" s="19">
        <v>43.0</v>
      </c>
      <c r="B44" s="47" t="s">
        <v>202</v>
      </c>
      <c r="C44" s="47" t="s">
        <v>391</v>
      </c>
      <c r="D44" s="47" t="s">
        <v>392</v>
      </c>
      <c r="E44" s="48">
        <v>0.0</v>
      </c>
      <c r="F44" s="48">
        <v>0.605</v>
      </c>
      <c r="G44" s="48">
        <v>0.2</v>
      </c>
      <c r="H44" s="48">
        <v>0.0</v>
      </c>
      <c r="I44" s="44" t="str">
        <f>IMAGE("https://drive.google.com/uc?export=view&amp;id=1etAbNDMXiD2umpgDt9PNtoaJRNU0wx0M")</f>
        <v/>
      </c>
      <c r="J44" s="19" t="s">
        <v>16</v>
      </c>
      <c r="K44" s="43" t="s">
        <v>7</v>
      </c>
      <c r="L44" s="19">
        <v>32.0</v>
      </c>
      <c r="M44" s="19">
        <v>5.0</v>
      </c>
    </row>
    <row r="45">
      <c r="A45" s="19">
        <v>44.0</v>
      </c>
      <c r="B45" s="47" t="s">
        <v>211</v>
      </c>
      <c r="C45" s="47" t="s">
        <v>397</v>
      </c>
      <c r="D45" s="47" t="s">
        <v>398</v>
      </c>
      <c r="E45" s="48">
        <v>0.75</v>
      </c>
      <c r="F45" s="48">
        <v>0.926</v>
      </c>
      <c r="G45" s="48">
        <v>0.806</v>
      </c>
      <c r="H45" s="48">
        <v>0.0</v>
      </c>
      <c r="I45" s="44" t="str">
        <f>IMAGE("https://drive.google.com/uc?export=view&amp;id=1CU12nEIpQJR0FWT6Mtix9AdHGeO6d9cj")</f>
        <v/>
      </c>
      <c r="J45" s="19" t="s">
        <v>16</v>
      </c>
      <c r="K45" s="43" t="s">
        <v>7</v>
      </c>
      <c r="L45" s="19">
        <v>32.0</v>
      </c>
      <c r="M45" s="19">
        <v>5.0</v>
      </c>
    </row>
    <row r="46">
      <c r="A46" s="19">
        <v>45.0</v>
      </c>
      <c r="B46" s="47" t="s">
        <v>217</v>
      </c>
      <c r="C46" s="47" t="s">
        <v>401</v>
      </c>
      <c r="D46" s="47" t="s">
        <v>402</v>
      </c>
      <c r="E46" s="48">
        <v>0.6</v>
      </c>
      <c r="F46" s="48">
        <v>0.803</v>
      </c>
      <c r="G46" s="48">
        <v>0.25</v>
      </c>
      <c r="H46" s="48">
        <v>0.0</v>
      </c>
      <c r="I46" s="44" t="str">
        <f>IMAGE("https://drive.google.com/uc?export=view&amp;id=1nPdoHIwqAgt0Dkyh5Pdufi-Tlu7vWX9M")</f>
        <v/>
      </c>
      <c r="J46" s="19" t="s">
        <v>16</v>
      </c>
      <c r="K46" s="43" t="s">
        <v>7</v>
      </c>
      <c r="L46" s="19">
        <v>32.0</v>
      </c>
      <c r="M46" s="19">
        <v>5.0</v>
      </c>
    </row>
    <row r="47">
      <c r="A47" s="19">
        <v>46.0</v>
      </c>
      <c r="B47" s="47" t="s">
        <v>247</v>
      </c>
      <c r="C47" s="47" t="s">
        <v>421</v>
      </c>
      <c r="D47" s="47" t="s">
        <v>422</v>
      </c>
      <c r="E47" s="48">
        <v>0.778</v>
      </c>
      <c r="F47" s="48">
        <v>0.0</v>
      </c>
      <c r="G47" s="48">
        <v>0.2</v>
      </c>
      <c r="H47" s="48">
        <v>0.4</v>
      </c>
      <c r="I47" s="44" t="str">
        <f>IMAGE("https://drive.google.com/uc?export=view&amp;id=1IRqwZCZlJsCGG-MuowdYPDHXw_dxGrk1")</f>
        <v/>
      </c>
      <c r="J47" s="19" t="s">
        <v>17</v>
      </c>
      <c r="K47" s="43" t="s">
        <v>7</v>
      </c>
      <c r="L47" s="19">
        <v>32.0</v>
      </c>
      <c r="M47" s="19">
        <v>5.0</v>
      </c>
    </row>
    <row r="48">
      <c r="A48" s="19">
        <v>47.0</v>
      </c>
      <c r="B48" s="47" t="s">
        <v>250</v>
      </c>
      <c r="C48" s="47" t="s">
        <v>423</v>
      </c>
      <c r="D48" s="47" t="s">
        <v>424</v>
      </c>
      <c r="E48" s="48">
        <v>0.81</v>
      </c>
      <c r="F48" s="48">
        <v>0.893</v>
      </c>
      <c r="G48" s="48">
        <v>0.333</v>
      </c>
      <c r="H48" s="48">
        <v>0.286</v>
      </c>
      <c r="I48" s="44" t="str">
        <f>IMAGE("https://drive.google.com/uc?export=view&amp;id=1pFGj-VUAJ8Mld6_xBKpDf7tS0rIppVk1")</f>
        <v/>
      </c>
      <c r="J48" s="19" t="s">
        <v>17</v>
      </c>
      <c r="K48" s="43" t="s">
        <v>7</v>
      </c>
      <c r="L48" s="19">
        <v>32.0</v>
      </c>
      <c r="M48" s="19">
        <v>5.0</v>
      </c>
    </row>
    <row r="49">
      <c r="A49" s="19">
        <v>48.0</v>
      </c>
      <c r="B49" s="47" t="s">
        <v>262</v>
      </c>
      <c r="C49" s="47" t="s">
        <v>431</v>
      </c>
      <c r="D49" s="47" t="s">
        <v>432</v>
      </c>
      <c r="E49" s="48">
        <v>0.556</v>
      </c>
      <c r="F49" s="48">
        <v>1.0</v>
      </c>
      <c r="G49" s="48">
        <v>0.833</v>
      </c>
      <c r="H49" s="48">
        <v>0.2</v>
      </c>
      <c r="I49" s="44" t="str">
        <f>IMAGE("https://drive.google.com/uc?export=view&amp;id=1VzRs9h_xxQ_XLizWkrtlgTCwttdo_p-j")</f>
        <v/>
      </c>
      <c r="J49" s="19" t="s">
        <v>17</v>
      </c>
      <c r="K49" s="43" t="s">
        <v>7</v>
      </c>
      <c r="L49" s="19">
        <v>32.0</v>
      </c>
      <c r="M49" s="19">
        <v>5.0</v>
      </c>
    </row>
    <row r="50">
      <c r="A50" s="19">
        <v>49.0</v>
      </c>
      <c r="B50" s="19" t="s">
        <v>46</v>
      </c>
      <c r="C50" s="19" t="s">
        <v>448</v>
      </c>
      <c r="D50" s="19" t="s">
        <v>449</v>
      </c>
      <c r="E50" s="43">
        <v>0.1</v>
      </c>
      <c r="F50" s="43">
        <v>0.954</v>
      </c>
      <c r="G50" s="43">
        <v>0.5</v>
      </c>
      <c r="H50" s="43">
        <v>0.4</v>
      </c>
      <c r="I50" s="44" t="str">
        <f>IMAGE("https://drive.google.com/uc?export=view&amp;id=1DEfDbG4XVJYkxlBJNjtYN7otOpWd0iyq")</f>
        <v/>
      </c>
      <c r="J50" s="19" t="s">
        <v>14</v>
      </c>
      <c r="K50" s="43" t="s">
        <v>7</v>
      </c>
      <c r="L50" s="19">
        <v>64.0</v>
      </c>
      <c r="M50" s="19">
        <v>3.0</v>
      </c>
    </row>
    <row r="51">
      <c r="A51" s="19">
        <v>50.0</v>
      </c>
      <c r="B51" s="19" t="s">
        <v>76</v>
      </c>
      <c r="C51" s="19" t="s">
        <v>468</v>
      </c>
      <c r="D51" s="19" t="s">
        <v>469</v>
      </c>
      <c r="E51" s="43">
        <v>0.0</v>
      </c>
      <c r="F51" s="43">
        <v>0.637</v>
      </c>
      <c r="G51" s="43">
        <v>1.0</v>
      </c>
      <c r="H51" s="43">
        <v>0.429</v>
      </c>
      <c r="I51" s="44" t="str">
        <f>IMAGE("https://drive.google.com/uc?export=view&amp;id=11i3k-lCEwRMYBFc7FLPG06fI30ubTQtp")</f>
        <v/>
      </c>
      <c r="J51" s="19" t="s">
        <v>14</v>
      </c>
      <c r="K51" s="43" t="s">
        <v>7</v>
      </c>
      <c r="L51" s="19">
        <v>64.0</v>
      </c>
      <c r="M51" s="19">
        <v>3.0</v>
      </c>
    </row>
    <row r="52">
      <c r="A52" s="19">
        <v>51.0</v>
      </c>
      <c r="B52" s="19" t="s">
        <v>79</v>
      </c>
      <c r="C52" s="19" t="s">
        <v>470</v>
      </c>
      <c r="D52" s="19" t="s">
        <v>471</v>
      </c>
      <c r="E52" s="43">
        <v>0.778</v>
      </c>
      <c r="F52" s="43">
        <v>1.0</v>
      </c>
      <c r="G52" s="43">
        <v>0.583</v>
      </c>
      <c r="H52" s="43">
        <v>0.0</v>
      </c>
      <c r="I52" s="44" t="str">
        <f>IMAGE("https://drive.google.com/uc?export=view&amp;id=1oBFjaWrs7MtUTyI-l1B7r0ynZcGln8D1")</f>
        <v/>
      </c>
      <c r="J52" s="19" t="s">
        <v>14</v>
      </c>
      <c r="K52" s="43" t="s">
        <v>7</v>
      </c>
      <c r="L52" s="19">
        <v>64.0</v>
      </c>
      <c r="M52" s="19">
        <v>3.0</v>
      </c>
    </row>
    <row r="53">
      <c r="A53" s="19">
        <v>52.0</v>
      </c>
      <c r="B53" s="19" t="s">
        <v>94</v>
      </c>
      <c r="C53" s="19" t="s">
        <v>480</v>
      </c>
      <c r="D53" s="19" t="s">
        <v>481</v>
      </c>
      <c r="E53" s="43">
        <v>0.778</v>
      </c>
      <c r="F53" s="43">
        <v>0.574</v>
      </c>
      <c r="G53" s="43">
        <v>0.333</v>
      </c>
      <c r="H53" s="43">
        <v>0.429</v>
      </c>
      <c r="I53" s="44" t="str">
        <f>IMAGE("https://drive.google.com/uc?export=view&amp;id=10hmBcAdT0u1oljul6UPghHqt1xRXXD2R")</f>
        <v/>
      </c>
      <c r="J53" s="19" t="s">
        <v>14</v>
      </c>
      <c r="K53" s="43" t="s">
        <v>7</v>
      </c>
      <c r="L53" s="19">
        <v>64.0</v>
      </c>
      <c r="M53" s="19">
        <v>3.0</v>
      </c>
    </row>
    <row r="54">
      <c r="A54" s="19">
        <v>53.0</v>
      </c>
      <c r="B54" s="19" t="s">
        <v>100</v>
      </c>
      <c r="C54" s="19" t="s">
        <v>484</v>
      </c>
      <c r="D54" s="19" t="s">
        <v>485</v>
      </c>
      <c r="E54" s="43">
        <v>0.706</v>
      </c>
      <c r="F54" s="43">
        <v>0.788</v>
      </c>
      <c r="G54" s="43">
        <v>0.0</v>
      </c>
      <c r="H54" s="43">
        <v>0.0</v>
      </c>
      <c r="I54" s="44" t="str">
        <f>IMAGE("https://drive.google.com/uc?export=view&amp;id=1WynGiQzbhmS0XlO4G5MVxGZCWopWyQKR")</f>
        <v/>
      </c>
      <c r="J54" s="19" t="s">
        <v>14</v>
      </c>
      <c r="K54" s="43" t="s">
        <v>7</v>
      </c>
      <c r="L54" s="19">
        <v>64.0</v>
      </c>
      <c r="M54" s="19">
        <v>3.0</v>
      </c>
    </row>
    <row r="55">
      <c r="A55" s="19">
        <v>54.0</v>
      </c>
      <c r="B55" s="19" t="s">
        <v>130</v>
      </c>
      <c r="C55" s="19" t="s">
        <v>504</v>
      </c>
      <c r="D55" s="19" t="s">
        <v>505</v>
      </c>
      <c r="E55" s="43">
        <v>0.143</v>
      </c>
      <c r="F55" s="43">
        <v>0.788</v>
      </c>
      <c r="G55" s="43">
        <v>1.0</v>
      </c>
      <c r="H55" s="43">
        <v>0.429</v>
      </c>
      <c r="I55" s="44" t="str">
        <f>IMAGE("https://drive.google.com/uc?export=view&amp;id=1Rtt77OCKOwgsXxkb4Ig8fiEXNEkQ0Z8v")</f>
        <v/>
      </c>
      <c r="J55" s="19" t="s">
        <v>15</v>
      </c>
      <c r="K55" s="43" t="s">
        <v>7</v>
      </c>
      <c r="L55" s="19">
        <v>64.0</v>
      </c>
      <c r="M55" s="19">
        <v>3.0</v>
      </c>
    </row>
    <row r="56">
      <c r="A56" s="19">
        <v>55.0</v>
      </c>
      <c r="B56" s="19" t="s">
        <v>139</v>
      </c>
      <c r="C56" s="19" t="s">
        <v>510</v>
      </c>
      <c r="D56" s="19" t="s">
        <v>511</v>
      </c>
      <c r="E56" s="43">
        <v>0.583</v>
      </c>
      <c r="F56" s="43">
        <v>1.0</v>
      </c>
      <c r="G56" s="43">
        <v>0.583</v>
      </c>
      <c r="H56" s="43">
        <v>0.0</v>
      </c>
      <c r="I56" s="44" t="str">
        <f>IMAGE("https://drive.google.com/uc?export=view&amp;id=14MMaobSBL0UDVsTQX0Uf9E-poZUdr81m")</f>
        <v/>
      </c>
      <c r="J56" s="19" t="s">
        <v>15</v>
      </c>
      <c r="K56" s="43" t="s">
        <v>7</v>
      </c>
      <c r="L56" s="19">
        <v>64.0</v>
      </c>
      <c r="M56" s="19">
        <v>3.0</v>
      </c>
    </row>
    <row r="57">
      <c r="A57" s="19">
        <v>56.0</v>
      </c>
      <c r="B57" s="19" t="s">
        <v>142</v>
      </c>
      <c r="C57" s="19" t="s">
        <v>512</v>
      </c>
      <c r="D57" s="19" t="s">
        <v>513</v>
      </c>
      <c r="E57" s="43">
        <v>0.6</v>
      </c>
      <c r="F57" s="43">
        <v>0.0</v>
      </c>
      <c r="G57" s="43">
        <v>0.0</v>
      </c>
      <c r="H57" s="43">
        <v>0.0</v>
      </c>
      <c r="I57" s="44" t="str">
        <f>IMAGE("https://drive.google.com/uc?export=view&amp;id=1mSvyRqpx_CA1Ln_qixFP4dQgNmnDrxC9")</f>
        <v/>
      </c>
      <c r="J57" s="19" t="s">
        <v>15</v>
      </c>
      <c r="K57" s="43" t="s">
        <v>7</v>
      </c>
      <c r="L57" s="19">
        <v>64.0</v>
      </c>
      <c r="M57" s="19">
        <v>3.0</v>
      </c>
    </row>
    <row r="58">
      <c r="A58" s="19">
        <v>57.0</v>
      </c>
      <c r="B58" s="19" t="s">
        <v>145</v>
      </c>
      <c r="C58" s="19" t="s">
        <v>514</v>
      </c>
      <c r="D58" s="19" t="s">
        <v>515</v>
      </c>
      <c r="E58" s="43">
        <v>1.0</v>
      </c>
      <c r="F58" s="43">
        <v>0.0</v>
      </c>
      <c r="G58" s="43">
        <v>0.0</v>
      </c>
      <c r="H58" s="43">
        <v>0.0</v>
      </c>
      <c r="I58" s="44" t="str">
        <f>IMAGE("https://drive.google.com/uc?export=view&amp;id=1XBtKEsfg4v8VS3m9a0EC2DhYJg_J5rxN")</f>
        <v/>
      </c>
      <c r="J58" s="19" t="s">
        <v>15</v>
      </c>
      <c r="K58" s="43" t="s">
        <v>7</v>
      </c>
      <c r="L58" s="19">
        <v>64.0</v>
      </c>
      <c r="M58" s="19">
        <v>3.0</v>
      </c>
    </row>
    <row r="59">
      <c r="A59" s="19">
        <v>58.0</v>
      </c>
      <c r="B59" s="19" t="s">
        <v>148</v>
      </c>
      <c r="C59" s="19" t="s">
        <v>516</v>
      </c>
      <c r="D59" s="19" t="s">
        <v>517</v>
      </c>
      <c r="E59" s="43">
        <v>0.625</v>
      </c>
      <c r="F59" s="43">
        <v>0.774</v>
      </c>
      <c r="G59" s="43">
        <v>1.0</v>
      </c>
      <c r="H59" s="43">
        <v>0.429</v>
      </c>
      <c r="I59" s="44" t="str">
        <f>IMAGE("https://drive.google.com/uc?export=view&amp;id=1sxm8T3MCh1Gy231lUQ3Wkzl6ljhxvkqh")</f>
        <v/>
      </c>
      <c r="J59" s="19" t="s">
        <v>15</v>
      </c>
      <c r="K59" s="43" t="s">
        <v>7</v>
      </c>
      <c r="L59" s="19">
        <v>64.0</v>
      </c>
      <c r="M59" s="19">
        <v>3.0</v>
      </c>
    </row>
    <row r="60">
      <c r="A60" s="19">
        <v>59.0</v>
      </c>
      <c r="B60" s="19" t="s">
        <v>157</v>
      </c>
      <c r="C60" s="19" t="s">
        <v>522</v>
      </c>
      <c r="D60" s="19" t="s">
        <v>523</v>
      </c>
      <c r="E60" s="43">
        <v>0.714</v>
      </c>
      <c r="F60" s="43">
        <v>0.0</v>
      </c>
      <c r="G60" s="43">
        <v>1.0</v>
      </c>
      <c r="H60" s="43">
        <v>0.25</v>
      </c>
      <c r="I60" s="44" t="str">
        <f>IMAGE("https://drive.google.com/uc?export=view&amp;id=11FC6iCAtwlus1uiNuhnNizgxBltp4yFb")</f>
        <v/>
      </c>
      <c r="J60" s="19" t="s">
        <v>15</v>
      </c>
      <c r="K60" s="43" t="s">
        <v>7</v>
      </c>
      <c r="L60" s="19">
        <v>64.0</v>
      </c>
      <c r="M60" s="19">
        <v>3.0</v>
      </c>
    </row>
    <row r="61">
      <c r="A61" s="19">
        <v>60.0</v>
      </c>
      <c r="B61" s="19" t="s">
        <v>166</v>
      </c>
      <c r="C61" s="19" t="s">
        <v>528</v>
      </c>
      <c r="D61" s="19" t="s">
        <v>529</v>
      </c>
      <c r="E61" s="43">
        <v>0.273</v>
      </c>
      <c r="F61" s="43">
        <v>0.935</v>
      </c>
      <c r="G61" s="43">
        <v>0.5</v>
      </c>
      <c r="H61" s="43">
        <v>0.4</v>
      </c>
      <c r="I61" s="44" t="str">
        <f>IMAGE("https://drive.google.com/uc?export=view&amp;id=1lxQfehr7dtP_0GiFboWcfDi_Ca-tEYRy")</f>
        <v/>
      </c>
      <c r="J61" s="19" t="s">
        <v>16</v>
      </c>
      <c r="K61" s="43" t="s">
        <v>7</v>
      </c>
      <c r="L61" s="19">
        <v>64.0</v>
      </c>
      <c r="M61" s="19">
        <v>3.0</v>
      </c>
    </row>
    <row r="62">
      <c r="A62" s="19">
        <v>61.0</v>
      </c>
      <c r="B62" s="19" t="s">
        <v>172</v>
      </c>
      <c r="C62" s="19" t="s">
        <v>532</v>
      </c>
      <c r="D62" s="19" t="s">
        <v>533</v>
      </c>
      <c r="E62" s="43">
        <v>0.909</v>
      </c>
      <c r="F62" s="43">
        <v>0.911</v>
      </c>
      <c r="G62" s="43">
        <v>0.0</v>
      </c>
      <c r="H62" s="43">
        <v>0.125</v>
      </c>
      <c r="I62" s="44" t="str">
        <f>IMAGE("https://drive.google.com/uc?export=view&amp;id=1s9ayxxQTncVx5teuPv0LxWb8HVk83Ccy")</f>
        <v/>
      </c>
      <c r="J62" s="19" t="s">
        <v>16</v>
      </c>
      <c r="K62" s="43" t="s">
        <v>7</v>
      </c>
      <c r="L62" s="19">
        <v>64.0</v>
      </c>
      <c r="M62" s="19">
        <v>3.0</v>
      </c>
    </row>
    <row r="63">
      <c r="A63" s="19">
        <v>62.0</v>
      </c>
      <c r="B63" s="19" t="s">
        <v>175</v>
      </c>
      <c r="C63" s="19" t="s">
        <v>534</v>
      </c>
      <c r="D63" s="19" t="s">
        <v>535</v>
      </c>
      <c r="E63" s="43">
        <v>0.091</v>
      </c>
      <c r="F63" s="43">
        <v>0.865</v>
      </c>
      <c r="G63" s="43">
        <v>0.5</v>
      </c>
      <c r="H63" s="43">
        <v>0.286</v>
      </c>
      <c r="I63" s="44" t="str">
        <f>IMAGE("https://drive.google.com/uc?export=view&amp;id=1hYSM3b8MRF9Dnzs_fJGsqipLsD4g2XlN")</f>
        <v/>
      </c>
      <c r="J63" s="19" t="s">
        <v>16</v>
      </c>
      <c r="K63" s="43" t="s">
        <v>7</v>
      </c>
      <c r="L63" s="19">
        <v>64.0</v>
      </c>
      <c r="M63" s="19">
        <v>3.0</v>
      </c>
    </row>
    <row r="64">
      <c r="A64" s="19">
        <v>63.0</v>
      </c>
      <c r="B64" s="19" t="s">
        <v>178</v>
      </c>
      <c r="C64" s="19" t="s">
        <v>536</v>
      </c>
      <c r="D64" s="19" t="s">
        <v>537</v>
      </c>
      <c r="E64" s="43">
        <v>0.571</v>
      </c>
      <c r="F64" s="43">
        <v>0.863</v>
      </c>
      <c r="G64" s="43">
        <v>0.0</v>
      </c>
      <c r="H64" s="43">
        <v>0.0</v>
      </c>
      <c r="I64" s="44" t="str">
        <f>IMAGE("https://drive.google.com/uc?export=view&amp;id=1KxNL6Q_akQBtuTp0txdq8FIbdVmI9Y6s")</f>
        <v/>
      </c>
      <c r="J64" s="19" t="s">
        <v>16</v>
      </c>
      <c r="K64" s="43" t="s">
        <v>7</v>
      </c>
      <c r="L64" s="19">
        <v>64.0</v>
      </c>
      <c r="M64" s="19">
        <v>3.0</v>
      </c>
    </row>
    <row r="65">
      <c r="A65" s="19">
        <v>64.0</v>
      </c>
      <c r="B65" s="19" t="s">
        <v>193</v>
      </c>
      <c r="C65" s="19" t="s">
        <v>546</v>
      </c>
      <c r="D65" s="19" t="s">
        <v>547</v>
      </c>
      <c r="E65" s="43">
        <v>0.0</v>
      </c>
      <c r="F65" s="43">
        <v>0.772</v>
      </c>
      <c r="G65" s="43">
        <v>0.833</v>
      </c>
      <c r="H65" s="43">
        <v>0.222</v>
      </c>
      <c r="I65" s="44" t="str">
        <f>IMAGE("https://drive.google.com/uc?export=view&amp;id=15mlZR0mCwFPIf99PmKL318W_NMKDLkE9")</f>
        <v/>
      </c>
      <c r="J65" s="19" t="s">
        <v>16</v>
      </c>
      <c r="K65" s="43" t="s">
        <v>7</v>
      </c>
      <c r="L65" s="19">
        <v>64.0</v>
      </c>
      <c r="M65" s="19">
        <v>3.0</v>
      </c>
    </row>
    <row r="66">
      <c r="A66" s="19">
        <v>65.0</v>
      </c>
      <c r="B66" s="19" t="s">
        <v>196</v>
      </c>
      <c r="C66" s="19" t="s">
        <v>548</v>
      </c>
      <c r="D66" s="19" t="s">
        <v>549</v>
      </c>
      <c r="E66" s="43">
        <v>0.571</v>
      </c>
      <c r="F66" s="43">
        <v>0.775</v>
      </c>
      <c r="G66" s="43">
        <v>1.0</v>
      </c>
      <c r="H66" s="43">
        <v>0.333</v>
      </c>
      <c r="I66" s="44" t="str">
        <f>IMAGE("https://drive.google.com/uc?export=view&amp;id=1vCGEN4tg2AKsuStjRned6KAGtOFNoS4M")</f>
        <v/>
      </c>
      <c r="J66" s="19" t="s">
        <v>16</v>
      </c>
      <c r="K66" s="43" t="s">
        <v>7</v>
      </c>
      <c r="L66" s="19">
        <v>64.0</v>
      </c>
      <c r="M66" s="19">
        <v>3.0</v>
      </c>
    </row>
    <row r="67">
      <c r="A67" s="19">
        <v>66.0</v>
      </c>
      <c r="B67" s="19" t="s">
        <v>217</v>
      </c>
      <c r="C67" s="19" t="s">
        <v>562</v>
      </c>
      <c r="D67" s="19" t="s">
        <v>563</v>
      </c>
      <c r="E67" s="43">
        <v>0.6</v>
      </c>
      <c r="F67" s="43">
        <v>0.803</v>
      </c>
      <c r="G67" s="43">
        <v>0.0</v>
      </c>
      <c r="H67" s="43">
        <v>0.0</v>
      </c>
      <c r="I67" s="44" t="str">
        <f>IMAGE("https://drive.google.com/uc?export=view&amp;id=10E3sSt3TNICa5PuOC7zbna0RkL1C3E_O")</f>
        <v/>
      </c>
      <c r="J67" s="19" t="s">
        <v>16</v>
      </c>
      <c r="K67" s="43" t="s">
        <v>7</v>
      </c>
      <c r="L67" s="19">
        <v>64.0</v>
      </c>
      <c r="M67" s="19">
        <v>3.0</v>
      </c>
    </row>
    <row r="68">
      <c r="A68" s="19">
        <v>67.0</v>
      </c>
      <c r="B68" s="19" t="s">
        <v>220</v>
      </c>
      <c r="C68" s="19" t="s">
        <v>564</v>
      </c>
      <c r="D68" s="19" t="s">
        <v>565</v>
      </c>
      <c r="E68" s="43">
        <v>0.769</v>
      </c>
      <c r="F68" s="43">
        <v>0.358</v>
      </c>
      <c r="G68" s="43">
        <v>1.0</v>
      </c>
      <c r="H68" s="43">
        <v>0.111</v>
      </c>
      <c r="I68" s="44" t="str">
        <f>IMAGE("https://drive.google.com/uc?export=view&amp;id=1fqukXhvtmjADKzBmtINflXnp9v4Ev2VE")</f>
        <v/>
      </c>
      <c r="J68" s="19" t="s">
        <v>16</v>
      </c>
      <c r="K68" s="43" t="s">
        <v>7</v>
      </c>
      <c r="L68" s="19">
        <v>64.0</v>
      </c>
      <c r="M68" s="19">
        <v>3.0</v>
      </c>
    </row>
    <row r="69">
      <c r="A69" s="19">
        <v>68.0</v>
      </c>
      <c r="B69" s="19" t="s">
        <v>232</v>
      </c>
      <c r="C69" s="19" t="s">
        <v>572</v>
      </c>
      <c r="D69" s="19" t="s">
        <v>573</v>
      </c>
      <c r="E69" s="43">
        <v>0.222</v>
      </c>
      <c r="F69" s="43">
        <v>0.827</v>
      </c>
      <c r="G69" s="43">
        <v>1.0</v>
      </c>
      <c r="H69" s="43">
        <v>0.2</v>
      </c>
      <c r="I69" s="44" t="str">
        <f>IMAGE("https://drive.google.com/uc?export=view&amp;id=1dfW-NlkGF7sj8Zb5XPIaMIesb9KQWPX3")</f>
        <v/>
      </c>
      <c r="J69" s="19" t="s">
        <v>17</v>
      </c>
      <c r="K69" s="43" t="s">
        <v>7</v>
      </c>
      <c r="L69" s="19">
        <v>64.0</v>
      </c>
      <c r="M69" s="19">
        <v>3.0</v>
      </c>
    </row>
    <row r="70">
      <c r="A70" s="19">
        <v>69.0</v>
      </c>
      <c r="B70" s="19" t="s">
        <v>238</v>
      </c>
      <c r="C70" s="19" t="s">
        <v>576</v>
      </c>
      <c r="D70" s="19" t="s">
        <v>577</v>
      </c>
      <c r="E70" s="43">
        <v>1.0</v>
      </c>
      <c r="F70" s="43">
        <v>0.0</v>
      </c>
      <c r="G70" s="43">
        <v>0.0</v>
      </c>
      <c r="H70" s="43">
        <v>0.0</v>
      </c>
      <c r="I70" s="44" t="str">
        <f>IMAGE("https://drive.google.com/uc?export=view&amp;id=1EGH4P1-B0N9FQdX3s5L2u_VmWMGspt2C")</f>
        <v/>
      </c>
      <c r="J70" s="19" t="s">
        <v>17</v>
      </c>
      <c r="K70" s="43" t="s">
        <v>7</v>
      </c>
      <c r="L70" s="19">
        <v>64.0</v>
      </c>
      <c r="M70" s="19">
        <v>3.0</v>
      </c>
    </row>
    <row r="71">
      <c r="A71" s="19">
        <v>70.0</v>
      </c>
      <c r="B71" s="19" t="s">
        <v>247</v>
      </c>
      <c r="C71" s="19" t="s">
        <v>582</v>
      </c>
      <c r="D71" s="19" t="s">
        <v>583</v>
      </c>
      <c r="E71" s="43">
        <v>0.25</v>
      </c>
      <c r="F71" s="43">
        <v>1.0</v>
      </c>
      <c r="G71" s="43">
        <v>0.0</v>
      </c>
      <c r="H71" s="43">
        <v>0.0</v>
      </c>
      <c r="I71" s="44" t="str">
        <f>IMAGE("https://drive.google.com/uc?export=view&amp;id=1RJiGoatbKrugZ9w1kMT7eY8zLX0geSQm")</f>
        <v/>
      </c>
      <c r="J71" s="19" t="s">
        <v>17</v>
      </c>
      <c r="K71" s="43" t="s">
        <v>7</v>
      </c>
      <c r="L71" s="19">
        <v>64.0</v>
      </c>
      <c r="M71" s="19">
        <v>3.0</v>
      </c>
    </row>
    <row r="72">
      <c r="A72" s="19">
        <v>71.0</v>
      </c>
      <c r="B72" s="19" t="s">
        <v>280</v>
      </c>
      <c r="C72" s="19" t="s">
        <v>604</v>
      </c>
      <c r="D72" s="19" t="s">
        <v>605</v>
      </c>
      <c r="E72" s="43">
        <v>0.727</v>
      </c>
      <c r="F72" s="43">
        <v>0.0</v>
      </c>
      <c r="G72" s="43">
        <v>0.0</v>
      </c>
      <c r="H72" s="43">
        <v>0.167</v>
      </c>
      <c r="I72" s="44" t="str">
        <f>IMAGE("https://drive.google.com/uc?export=view&amp;id=1OiStd4LbQ9D0O2Cwycq2EucZCvuUYCRC")</f>
        <v/>
      </c>
      <c r="J72" s="19" t="s">
        <v>17</v>
      </c>
      <c r="K72" s="43" t="s">
        <v>7</v>
      </c>
      <c r="L72" s="19">
        <v>64.0</v>
      </c>
      <c r="M72" s="19">
        <v>3.0</v>
      </c>
    </row>
    <row r="73">
      <c r="A73" s="19">
        <v>72.0</v>
      </c>
      <c r="B73" s="19" t="s">
        <v>46</v>
      </c>
      <c r="C73" s="19" t="s">
        <v>608</v>
      </c>
      <c r="D73" s="19" t="s">
        <v>609</v>
      </c>
      <c r="E73" s="43">
        <v>1.0</v>
      </c>
      <c r="F73" s="43">
        <v>0.914</v>
      </c>
      <c r="G73" s="43">
        <v>0.5</v>
      </c>
      <c r="H73" s="43">
        <v>0.0</v>
      </c>
      <c r="I73" s="44" t="str">
        <f>IMAGE("https://drive.google.com/uc?export=view&amp;id=103aGJwQuqePAB7OfnyKZwALBCOhFnYuk")</f>
        <v/>
      </c>
      <c r="J73" s="19" t="s">
        <v>14</v>
      </c>
      <c r="K73" s="43" t="s">
        <v>7</v>
      </c>
      <c r="L73" s="19">
        <v>64.0</v>
      </c>
      <c r="M73" s="19">
        <v>5.0</v>
      </c>
    </row>
    <row r="74">
      <c r="A74" s="19">
        <v>73.0</v>
      </c>
      <c r="B74" s="19" t="s">
        <v>79</v>
      </c>
      <c r="C74" s="19" t="s">
        <v>630</v>
      </c>
      <c r="D74" s="19" t="s">
        <v>631</v>
      </c>
      <c r="E74" s="43">
        <v>0.643</v>
      </c>
      <c r="F74" s="43">
        <v>0.912</v>
      </c>
      <c r="G74" s="43">
        <v>0.679</v>
      </c>
      <c r="H74" s="43">
        <v>0.0</v>
      </c>
      <c r="I74" s="44" t="str">
        <f>IMAGE("https://drive.google.com/uc?export=view&amp;id=1jp2to3Q9IG27AZZIMaZGx95PmBM7iFSN")</f>
        <v/>
      </c>
      <c r="J74" s="19" t="s">
        <v>14</v>
      </c>
      <c r="K74" s="43" t="s">
        <v>7</v>
      </c>
      <c r="L74" s="19">
        <v>64.0</v>
      </c>
      <c r="M74" s="19">
        <v>5.0</v>
      </c>
    </row>
    <row r="75">
      <c r="A75" s="19">
        <v>74.0</v>
      </c>
      <c r="B75" s="19" t="s">
        <v>82</v>
      </c>
      <c r="C75" s="19" t="s">
        <v>632</v>
      </c>
      <c r="D75" s="19" t="s">
        <v>633</v>
      </c>
      <c r="E75" s="43">
        <v>0.4</v>
      </c>
      <c r="F75" s="43">
        <v>0.634</v>
      </c>
      <c r="G75" s="43">
        <v>0.887</v>
      </c>
      <c r="H75" s="43">
        <v>0.167</v>
      </c>
      <c r="I75" s="44" t="str">
        <f>IMAGE("https://drive.google.com/uc?export=view&amp;id=17erggUWHDty3xWg0WkJZTKRIWQrWsW_T")</f>
        <v/>
      </c>
      <c r="J75" s="19" t="s">
        <v>14</v>
      </c>
      <c r="K75" s="43" t="s">
        <v>7</v>
      </c>
      <c r="L75" s="19">
        <v>64.0</v>
      </c>
      <c r="M75" s="19">
        <v>5.0</v>
      </c>
    </row>
    <row r="76">
      <c r="A76" s="19">
        <v>75.0</v>
      </c>
      <c r="B76" s="19" t="s">
        <v>88</v>
      </c>
      <c r="C76" s="19" t="s">
        <v>636</v>
      </c>
      <c r="D76" s="19" t="s">
        <v>637</v>
      </c>
      <c r="E76" s="43">
        <v>0.429</v>
      </c>
      <c r="F76" s="43">
        <v>0.0</v>
      </c>
      <c r="G76" s="43">
        <v>0.0</v>
      </c>
      <c r="H76" s="43">
        <v>0.333</v>
      </c>
      <c r="I76" s="44" t="str">
        <f>IMAGE("https://drive.google.com/uc?export=view&amp;id=1rduqT1IvqLKh0BOLyi9KlAFUk4E1m47N")</f>
        <v/>
      </c>
      <c r="J76" s="19" t="s">
        <v>14</v>
      </c>
      <c r="K76" s="43" t="s">
        <v>7</v>
      </c>
      <c r="L76" s="19">
        <v>64.0</v>
      </c>
      <c r="M76" s="19">
        <v>5.0</v>
      </c>
    </row>
    <row r="77">
      <c r="A77" s="19">
        <v>76.0</v>
      </c>
      <c r="B77" s="19" t="s">
        <v>112</v>
      </c>
      <c r="C77" s="19" t="s">
        <v>654</v>
      </c>
      <c r="D77" s="19" t="s">
        <v>655</v>
      </c>
      <c r="E77" s="43">
        <v>0.667</v>
      </c>
      <c r="F77" s="43">
        <v>0.947</v>
      </c>
      <c r="G77" s="43">
        <v>1.0</v>
      </c>
      <c r="H77" s="43">
        <v>0.167</v>
      </c>
      <c r="I77" s="44" t="str">
        <f>IMAGE("https://drive.google.com/uc?export=view&amp;id=1Y7SxBDgv-4jC1wWi4YP0WjaJK_YtLBrY")</f>
        <v/>
      </c>
      <c r="J77" s="19" t="s">
        <v>15</v>
      </c>
      <c r="K77" s="43" t="s">
        <v>7</v>
      </c>
      <c r="L77" s="19">
        <v>64.0</v>
      </c>
      <c r="M77" s="19">
        <v>5.0</v>
      </c>
    </row>
    <row r="78">
      <c r="A78" s="19">
        <v>77.0</v>
      </c>
      <c r="B78" s="19" t="s">
        <v>142</v>
      </c>
      <c r="C78" s="19" t="s">
        <v>670</v>
      </c>
      <c r="D78" s="19" t="s">
        <v>671</v>
      </c>
      <c r="E78" s="43">
        <v>0.0</v>
      </c>
      <c r="F78" s="43">
        <v>0.0</v>
      </c>
      <c r="G78" s="43">
        <v>0.0</v>
      </c>
      <c r="H78" s="43">
        <v>0.125</v>
      </c>
      <c r="I78" s="44" t="str">
        <f>IMAGE("https://drive.google.com/uc?export=view&amp;id=1aUNor0i-UD4A73JgrENyWnAF7edelA1_")</f>
        <v/>
      </c>
      <c r="J78" s="19" t="s">
        <v>15</v>
      </c>
      <c r="K78" s="43" t="s">
        <v>7</v>
      </c>
      <c r="L78" s="19">
        <v>64.0</v>
      </c>
      <c r="M78" s="19">
        <v>5.0</v>
      </c>
    </row>
    <row r="79">
      <c r="A79" s="19">
        <v>78.0</v>
      </c>
      <c r="B79" s="19" t="s">
        <v>154</v>
      </c>
      <c r="C79" s="19" t="s">
        <v>678</v>
      </c>
      <c r="D79" s="19" t="s">
        <v>679</v>
      </c>
      <c r="E79" s="43">
        <v>0.75</v>
      </c>
      <c r="F79" s="43">
        <v>0.915</v>
      </c>
      <c r="G79" s="43">
        <v>1.0</v>
      </c>
      <c r="H79" s="43">
        <v>0.286</v>
      </c>
      <c r="I79" s="44" t="str">
        <f>IMAGE("https://drive.google.com/uc?export=view&amp;id=1Zbw9BTX1kmd5vVpGdTa5fNS02cPT2_rF")</f>
        <v/>
      </c>
      <c r="J79" s="19" t="s">
        <v>15</v>
      </c>
      <c r="K79" s="43" t="s">
        <v>7</v>
      </c>
      <c r="L79" s="19">
        <v>64.0</v>
      </c>
      <c r="M79" s="19">
        <v>5.0</v>
      </c>
    </row>
    <row r="80">
      <c r="A80" s="19">
        <v>79.0</v>
      </c>
      <c r="B80" s="19" t="s">
        <v>166</v>
      </c>
      <c r="C80" s="19" t="s">
        <v>688</v>
      </c>
      <c r="D80" s="19" t="s">
        <v>689</v>
      </c>
      <c r="E80" s="43">
        <v>0.182</v>
      </c>
      <c r="F80" s="43">
        <v>0.935</v>
      </c>
      <c r="G80" s="43">
        <v>0.589</v>
      </c>
      <c r="H80" s="43">
        <v>0.0</v>
      </c>
      <c r="I80" s="44" t="str">
        <f>IMAGE("https://drive.google.com/uc?export=view&amp;id=1V_SgryW215xYeBzajT_nPyWFNPb79-zs")</f>
        <v/>
      </c>
      <c r="J80" s="19" t="s">
        <v>16</v>
      </c>
      <c r="K80" s="43" t="s">
        <v>7</v>
      </c>
      <c r="L80" s="19">
        <v>64.0</v>
      </c>
      <c r="M80" s="19">
        <v>5.0</v>
      </c>
    </row>
    <row r="81">
      <c r="A81" s="19">
        <v>80.0</v>
      </c>
      <c r="B81" s="19" t="s">
        <v>172</v>
      </c>
      <c r="C81" s="19" t="s">
        <v>692</v>
      </c>
      <c r="D81" s="19" t="s">
        <v>693</v>
      </c>
      <c r="E81" s="43">
        <v>0.593</v>
      </c>
      <c r="F81" s="43">
        <v>0.899</v>
      </c>
      <c r="G81" s="43">
        <v>0.95</v>
      </c>
      <c r="H81" s="43">
        <v>0.0</v>
      </c>
      <c r="I81" s="44" t="str">
        <f>IMAGE("https://drive.google.com/uc?export=view&amp;id=1OzZEcwRIZKvveuGxFHpsuGrR6Cw0jW-n")</f>
        <v/>
      </c>
      <c r="J81" s="19" t="s">
        <v>16</v>
      </c>
      <c r="K81" s="43" t="s">
        <v>7</v>
      </c>
      <c r="L81" s="19">
        <v>64.0</v>
      </c>
      <c r="M81" s="19">
        <v>5.0</v>
      </c>
    </row>
    <row r="82">
      <c r="A82" s="19">
        <v>81.0</v>
      </c>
      <c r="B82" s="19" t="s">
        <v>175</v>
      </c>
      <c r="C82" s="19" t="s">
        <v>694</v>
      </c>
      <c r="D82" s="19" t="s">
        <v>695</v>
      </c>
      <c r="E82" s="43">
        <v>0.0</v>
      </c>
      <c r="F82" s="43">
        <v>0.0</v>
      </c>
      <c r="G82" s="43">
        <v>0.0</v>
      </c>
      <c r="H82" s="43">
        <v>0.0</v>
      </c>
      <c r="I82" s="44" t="str">
        <f>IMAGE("https://drive.google.com/uc?export=view&amp;id=1cJFw4066mWpcM7J3BgMsoDH9-eFJgkyu")</f>
        <v/>
      </c>
      <c r="J82" s="19" t="s">
        <v>16</v>
      </c>
      <c r="K82" s="43" t="s">
        <v>7</v>
      </c>
      <c r="L82" s="19">
        <v>64.0</v>
      </c>
      <c r="M82" s="19">
        <v>5.0</v>
      </c>
    </row>
    <row r="83">
      <c r="A83" s="19">
        <v>82.0</v>
      </c>
      <c r="B83" s="19" t="s">
        <v>178</v>
      </c>
      <c r="C83" s="19" t="s">
        <v>696</v>
      </c>
      <c r="D83" s="19" t="s">
        <v>697</v>
      </c>
      <c r="E83" s="43">
        <v>0.889</v>
      </c>
      <c r="F83" s="43">
        <v>0.889</v>
      </c>
      <c r="G83" s="43">
        <v>0.589</v>
      </c>
      <c r="H83" s="43">
        <v>0.0</v>
      </c>
      <c r="I83" s="44" t="str">
        <f>IMAGE("https://drive.google.com/uc?export=view&amp;id=1ewMuOrw3pMx2p_8hEV_etuzga1JnILdM")</f>
        <v/>
      </c>
      <c r="J83" s="19" t="s">
        <v>16</v>
      </c>
      <c r="K83" s="43" t="s">
        <v>7</v>
      </c>
      <c r="L83" s="19">
        <v>64.0</v>
      </c>
      <c r="M83" s="19">
        <v>5.0</v>
      </c>
    </row>
    <row r="84">
      <c r="A84" s="19">
        <v>83.0</v>
      </c>
      <c r="B84" s="19" t="s">
        <v>202</v>
      </c>
      <c r="C84" s="19" t="s">
        <v>708</v>
      </c>
      <c r="D84" s="19" t="s">
        <v>709</v>
      </c>
      <c r="E84" s="43">
        <v>0.571</v>
      </c>
      <c r="F84" s="43">
        <v>0.708</v>
      </c>
      <c r="G84" s="43">
        <v>0.25</v>
      </c>
      <c r="H84" s="43">
        <v>0.0</v>
      </c>
      <c r="I84" s="44" t="str">
        <f>IMAGE("https://drive.google.com/uc?export=view&amp;id=1IGNKwo-JhErWDlE7ZwXOFFSfZw-GBhn9")</f>
        <v/>
      </c>
      <c r="J84" s="19" t="s">
        <v>16</v>
      </c>
      <c r="K84" s="43" t="s">
        <v>7</v>
      </c>
      <c r="L84" s="19">
        <v>64.0</v>
      </c>
      <c r="M84" s="19">
        <v>5.0</v>
      </c>
    </row>
    <row r="85">
      <c r="A85" s="19">
        <v>84.0</v>
      </c>
      <c r="B85" s="19" t="s">
        <v>205</v>
      </c>
      <c r="C85" s="19" t="s">
        <v>710</v>
      </c>
      <c r="D85" s="19" t="s">
        <v>711</v>
      </c>
      <c r="E85" s="43">
        <v>0.0</v>
      </c>
      <c r="F85" s="43">
        <v>1.0</v>
      </c>
      <c r="G85" s="43">
        <v>0.887</v>
      </c>
      <c r="H85" s="43">
        <v>0.0</v>
      </c>
      <c r="I85" s="44" t="str">
        <f>IMAGE("https://drive.google.com/uc?export=view&amp;id=1ty77GnFSCGVK3s8hj3KWXmKboLZIdZWc")</f>
        <v/>
      </c>
      <c r="J85" s="19" t="s">
        <v>16</v>
      </c>
      <c r="K85" s="43" t="s">
        <v>7</v>
      </c>
      <c r="L85" s="19">
        <v>64.0</v>
      </c>
      <c r="M85" s="19">
        <v>5.0</v>
      </c>
    </row>
    <row r="86">
      <c r="A86" s="19">
        <v>85.0</v>
      </c>
      <c r="B86" s="19" t="s">
        <v>211</v>
      </c>
      <c r="C86" s="19" t="s">
        <v>718</v>
      </c>
      <c r="D86" s="19" t="s">
        <v>719</v>
      </c>
      <c r="E86" s="43">
        <v>0.444</v>
      </c>
      <c r="F86" s="43">
        <v>0.926</v>
      </c>
      <c r="G86" s="43">
        <v>1.0</v>
      </c>
      <c r="H86" s="43">
        <v>0.0</v>
      </c>
      <c r="I86" s="44" t="str">
        <f>IMAGE("https://drive.google.com/uc?export=view&amp;id=1KrCiizEaSOYTCMSKipnyFfITVd4OuOj3")</f>
        <v/>
      </c>
      <c r="J86" s="19" t="s">
        <v>16</v>
      </c>
      <c r="K86" s="43" t="s">
        <v>7</v>
      </c>
      <c r="L86" s="19">
        <v>64.0</v>
      </c>
      <c r="M86" s="19">
        <v>5.0</v>
      </c>
    </row>
    <row r="87">
      <c r="A87" s="19">
        <v>86.0</v>
      </c>
      <c r="B87" s="19" t="s">
        <v>217</v>
      </c>
      <c r="C87" s="19" t="s">
        <v>722</v>
      </c>
      <c r="D87" s="19" t="s">
        <v>723</v>
      </c>
      <c r="E87" s="43">
        <v>1.0</v>
      </c>
      <c r="F87" s="43">
        <v>0.803</v>
      </c>
      <c r="G87" s="43">
        <v>0.0</v>
      </c>
      <c r="H87" s="43">
        <v>0.0</v>
      </c>
      <c r="I87" s="44" t="str">
        <f>IMAGE("https://drive.google.com/uc?export=view&amp;id=1aKYu7CT-kzOzZFsEBN_1R_6GWt8r4_h2")</f>
        <v/>
      </c>
      <c r="J87" s="19" t="s">
        <v>16</v>
      </c>
      <c r="K87" s="43" t="s">
        <v>7</v>
      </c>
      <c r="L87" s="19">
        <v>64.0</v>
      </c>
      <c r="M87" s="19">
        <v>5.0</v>
      </c>
    </row>
    <row r="88">
      <c r="A88" s="19">
        <v>87.0</v>
      </c>
      <c r="B88" s="19" t="s">
        <v>226</v>
      </c>
      <c r="C88" s="19" t="s">
        <v>728</v>
      </c>
      <c r="D88" s="19" t="s">
        <v>729</v>
      </c>
      <c r="E88" s="43">
        <v>0.632</v>
      </c>
      <c r="F88" s="43">
        <v>0.0</v>
      </c>
      <c r="G88" s="43">
        <v>0.583</v>
      </c>
      <c r="H88" s="43">
        <v>0.286</v>
      </c>
      <c r="I88" s="44" t="str">
        <f>IMAGE("https://drive.google.com/uc?export=view&amp;id=1tpMmMkR7Z5yX-CWz3eVcKe9igDx6ZjaC")</f>
        <v/>
      </c>
      <c r="J88" s="19" t="s">
        <v>17</v>
      </c>
      <c r="K88" s="43" t="s">
        <v>7</v>
      </c>
      <c r="L88" s="19">
        <v>64.0</v>
      </c>
      <c r="M88" s="19">
        <v>5.0</v>
      </c>
    </row>
    <row r="89">
      <c r="A89" s="19">
        <v>88.0</v>
      </c>
      <c r="B89" s="19" t="s">
        <v>232</v>
      </c>
      <c r="C89" s="19" t="s">
        <v>732</v>
      </c>
      <c r="D89" s="19" t="s">
        <v>733</v>
      </c>
      <c r="E89" s="43">
        <v>0.583</v>
      </c>
      <c r="F89" s="43">
        <v>0.753</v>
      </c>
      <c r="G89" s="43">
        <v>0.2</v>
      </c>
      <c r="H89" s="43">
        <v>0.25</v>
      </c>
      <c r="I89" s="44" t="str">
        <f>IMAGE("https://drive.google.com/uc?export=view&amp;id=1Z_coNQEdfVHVOhQqeX1fL_bfkvqA9ZR-")</f>
        <v/>
      </c>
      <c r="J89" s="19" t="s">
        <v>17</v>
      </c>
      <c r="K89" s="43" t="s">
        <v>7</v>
      </c>
      <c r="L89" s="19">
        <v>64.0</v>
      </c>
      <c r="M89" s="19">
        <v>5.0</v>
      </c>
    </row>
    <row r="90">
      <c r="A90" s="19">
        <v>89.0</v>
      </c>
      <c r="B90" s="19" t="s">
        <v>247</v>
      </c>
      <c r="C90" s="19" t="s">
        <v>740</v>
      </c>
      <c r="D90" s="19" t="s">
        <v>741</v>
      </c>
      <c r="E90" s="43">
        <v>0.385</v>
      </c>
      <c r="F90" s="43">
        <v>0.467</v>
      </c>
      <c r="G90" s="43">
        <v>0.0</v>
      </c>
      <c r="H90" s="43">
        <v>0.0</v>
      </c>
      <c r="I90" s="44" t="str">
        <f>IMAGE("https://drive.google.com/uc?export=view&amp;id=1hPnO7xAyn2jYqgL_npTncy459S0ZphRD")</f>
        <v/>
      </c>
      <c r="J90" s="19" t="s">
        <v>17</v>
      </c>
      <c r="K90" s="43" t="s">
        <v>7</v>
      </c>
      <c r="L90" s="19">
        <v>64.0</v>
      </c>
      <c r="M90" s="19">
        <v>5.0</v>
      </c>
    </row>
    <row r="91">
      <c r="A91" s="19">
        <v>90.0</v>
      </c>
      <c r="B91" s="19" t="s">
        <v>250</v>
      </c>
      <c r="C91" s="19" t="s">
        <v>742</v>
      </c>
      <c r="D91" s="19" t="s">
        <v>743</v>
      </c>
      <c r="E91" s="43">
        <v>0.583</v>
      </c>
      <c r="F91" s="43">
        <v>0.0</v>
      </c>
      <c r="G91" s="43">
        <v>0.0</v>
      </c>
      <c r="H91" s="43">
        <v>0.5</v>
      </c>
      <c r="I91" s="44" t="str">
        <f>IMAGE("https://drive.google.com/uc?export=view&amp;id=1CzQ0CTl42AzYrbHutU1vn0GeA4jSCzJK")</f>
        <v/>
      </c>
      <c r="J91" s="19" t="s">
        <v>17</v>
      </c>
      <c r="K91" s="43" t="s">
        <v>7</v>
      </c>
      <c r="L91" s="19">
        <v>64.0</v>
      </c>
      <c r="M91" s="19">
        <v>5.0</v>
      </c>
    </row>
    <row r="92">
      <c r="A92" s="19">
        <v>91.0</v>
      </c>
      <c r="B92" s="19" t="s">
        <v>76</v>
      </c>
      <c r="C92" s="19" t="s">
        <v>786</v>
      </c>
      <c r="D92" s="19" t="s">
        <v>787</v>
      </c>
      <c r="E92" s="43">
        <v>0.333</v>
      </c>
      <c r="F92" s="43">
        <v>0.747</v>
      </c>
      <c r="G92" s="43">
        <v>1.0</v>
      </c>
      <c r="H92" s="43">
        <v>0.429</v>
      </c>
      <c r="I92" s="44" t="str">
        <f>IMAGE("https://drive.google.com/uc?export=view&amp;id=1PuFn5K4_OTf-sGjXlYUevaQVTjwxySuN")</f>
        <v/>
      </c>
      <c r="J92" s="19" t="s">
        <v>14</v>
      </c>
      <c r="K92" s="19" t="s">
        <v>8</v>
      </c>
      <c r="L92" s="19">
        <v>32.0</v>
      </c>
      <c r="M92" s="19">
        <v>3.0</v>
      </c>
    </row>
    <row r="93">
      <c r="A93" s="19">
        <v>92.0</v>
      </c>
      <c r="B93" s="19" t="s">
        <v>79</v>
      </c>
      <c r="C93" s="19" t="s">
        <v>788</v>
      </c>
      <c r="D93" s="19" t="s">
        <v>789</v>
      </c>
      <c r="E93" s="43">
        <v>0.5</v>
      </c>
      <c r="F93" s="43">
        <v>1.0</v>
      </c>
      <c r="G93" s="43">
        <v>1.0</v>
      </c>
      <c r="H93" s="43">
        <v>0.5</v>
      </c>
      <c r="I93" s="44" t="str">
        <f>IMAGE("https://drive.google.com/uc?export=view&amp;id=1hwxux7J7VEVWCxKWMWjrRqPHcGcZVGyu")</f>
        <v/>
      </c>
      <c r="J93" s="19" t="s">
        <v>14</v>
      </c>
      <c r="K93" s="19" t="s">
        <v>8</v>
      </c>
      <c r="L93" s="19">
        <v>32.0</v>
      </c>
      <c r="M93" s="19">
        <v>3.0</v>
      </c>
    </row>
    <row r="94">
      <c r="A94" s="19">
        <v>93.0</v>
      </c>
      <c r="B94" s="19" t="s">
        <v>85</v>
      </c>
      <c r="C94" s="19" t="s">
        <v>792</v>
      </c>
      <c r="D94" s="19" t="s">
        <v>793</v>
      </c>
      <c r="E94" s="43">
        <v>0.0</v>
      </c>
      <c r="F94" s="43">
        <v>0.985</v>
      </c>
      <c r="G94" s="43">
        <v>0.5</v>
      </c>
      <c r="H94" s="43">
        <v>0.0</v>
      </c>
      <c r="I94" s="44" t="str">
        <f>IMAGE("https://drive.google.com/uc?export=view&amp;id=1S5Q1-fqrdRLYK-aPKgQZdyvJZV-v0RbI")</f>
        <v/>
      </c>
      <c r="J94" s="19" t="s">
        <v>14</v>
      </c>
      <c r="K94" s="19" t="s">
        <v>8</v>
      </c>
      <c r="L94" s="19">
        <v>32.0</v>
      </c>
      <c r="M94" s="19">
        <v>3.0</v>
      </c>
    </row>
    <row r="95">
      <c r="A95" s="19">
        <v>94.0</v>
      </c>
      <c r="B95" s="19" t="s">
        <v>97</v>
      </c>
      <c r="C95" s="19" t="s">
        <v>800</v>
      </c>
      <c r="D95" s="19" t="s">
        <v>801</v>
      </c>
      <c r="E95" s="43">
        <v>0.583</v>
      </c>
      <c r="F95" s="43">
        <v>0.972</v>
      </c>
      <c r="G95" s="43">
        <v>1.0</v>
      </c>
      <c r="H95" s="43">
        <v>0.25</v>
      </c>
      <c r="I95" s="44" t="str">
        <f>IMAGE("https://drive.google.com/uc?export=view&amp;id=1Gw7yPn-QsCK8JNHGD7QlYC1aXufYWdiE")</f>
        <v/>
      </c>
      <c r="J95" s="19" t="s">
        <v>14</v>
      </c>
      <c r="K95" s="19" t="s">
        <v>8</v>
      </c>
      <c r="L95" s="19">
        <v>32.0</v>
      </c>
      <c r="M95" s="19">
        <v>3.0</v>
      </c>
    </row>
    <row r="96">
      <c r="A96" s="19">
        <v>95.0</v>
      </c>
      <c r="B96" s="19" t="s">
        <v>94</v>
      </c>
      <c r="C96" s="19" t="s">
        <v>802</v>
      </c>
      <c r="D96" s="19" t="s">
        <v>803</v>
      </c>
      <c r="E96" s="43">
        <v>0.765</v>
      </c>
      <c r="F96" s="43">
        <v>0.804</v>
      </c>
      <c r="G96" s="43">
        <v>0.833</v>
      </c>
      <c r="H96" s="43">
        <v>0.25</v>
      </c>
      <c r="I96" s="44" t="str">
        <f>IMAGE("https://drive.google.com/uc?export=view&amp;id=1RoieSbpmNKkSUKOzuazJtif68EOP1w9Q")</f>
        <v/>
      </c>
      <c r="J96" s="19" t="s">
        <v>14</v>
      </c>
      <c r="K96" s="19" t="s">
        <v>8</v>
      </c>
      <c r="L96" s="19">
        <v>32.0</v>
      </c>
      <c r="M96" s="19">
        <v>3.0</v>
      </c>
    </row>
    <row r="97">
      <c r="A97" s="19">
        <v>96.0</v>
      </c>
      <c r="B97" s="19" t="s">
        <v>112</v>
      </c>
      <c r="C97" s="19" t="s">
        <v>812</v>
      </c>
      <c r="D97" s="19" t="s">
        <v>813</v>
      </c>
      <c r="E97" s="43">
        <v>1.0</v>
      </c>
      <c r="F97" s="43">
        <v>0.987</v>
      </c>
      <c r="G97" s="43">
        <v>1.0</v>
      </c>
      <c r="H97" s="43">
        <v>0.429</v>
      </c>
      <c r="I97" s="44" t="str">
        <f>IMAGE("https://drive.google.com/uc?export=view&amp;id=1GtKQ6jkvfGQ9Xt_LPqpenNaeG9v5AeCl")</f>
        <v/>
      </c>
      <c r="J97" s="19" t="s">
        <v>15</v>
      </c>
      <c r="K97" s="19" t="s">
        <v>8</v>
      </c>
      <c r="L97" s="19">
        <v>32.0</v>
      </c>
      <c r="M97" s="19">
        <v>3.0</v>
      </c>
    </row>
    <row r="98">
      <c r="A98" s="19">
        <v>97.0</v>
      </c>
      <c r="B98" s="19" t="s">
        <v>133</v>
      </c>
      <c r="C98" s="19" t="s">
        <v>822</v>
      </c>
      <c r="D98" s="19" t="s">
        <v>823</v>
      </c>
      <c r="E98" s="43">
        <v>1.0</v>
      </c>
      <c r="F98" s="43">
        <v>0.0</v>
      </c>
      <c r="G98" s="43">
        <v>0.0</v>
      </c>
      <c r="H98" s="43">
        <v>0.333</v>
      </c>
      <c r="I98" s="44" t="str">
        <f>IMAGE("https://drive.google.com/uc?export=view&amp;id=1q-EXnEEXTSkzPzUNlqQ-wRey8kJo13xu")</f>
        <v/>
      </c>
      <c r="J98" s="19" t="s">
        <v>15</v>
      </c>
      <c r="K98" s="19" t="s">
        <v>8</v>
      </c>
      <c r="L98" s="19">
        <v>32.0</v>
      </c>
      <c r="M98" s="19">
        <v>3.0</v>
      </c>
    </row>
    <row r="99">
      <c r="A99" s="19">
        <v>98.0</v>
      </c>
      <c r="B99" s="19" t="s">
        <v>148</v>
      </c>
      <c r="C99" s="19" t="s">
        <v>832</v>
      </c>
      <c r="D99" s="19" t="s">
        <v>833</v>
      </c>
      <c r="E99" s="43">
        <v>0.583</v>
      </c>
      <c r="F99" s="43">
        <v>0.743</v>
      </c>
      <c r="G99" s="43">
        <v>1.0</v>
      </c>
      <c r="H99" s="43">
        <v>0.2</v>
      </c>
      <c r="I99" s="44" t="str">
        <f>IMAGE("https://drive.google.com/uc?export=view&amp;id=1uozZjFNDzZwLMkpjxD2v3bhnc8pX-BXI")</f>
        <v/>
      </c>
      <c r="J99" s="19" t="s">
        <v>15</v>
      </c>
      <c r="K99" s="19" t="s">
        <v>8</v>
      </c>
      <c r="L99" s="19">
        <v>32.0</v>
      </c>
      <c r="M99" s="19">
        <v>3.0</v>
      </c>
    </row>
    <row r="100">
      <c r="A100" s="19">
        <v>99.0</v>
      </c>
      <c r="B100" s="19" t="s">
        <v>124</v>
      </c>
      <c r="C100" s="19" t="s">
        <v>834</v>
      </c>
      <c r="D100" s="19" t="s">
        <v>835</v>
      </c>
      <c r="E100" s="43">
        <v>1.0</v>
      </c>
      <c r="F100" s="43">
        <v>0.909</v>
      </c>
      <c r="G100" s="43">
        <v>1.0</v>
      </c>
      <c r="H100" s="43">
        <v>0.286</v>
      </c>
      <c r="I100" s="44" t="str">
        <f>IMAGE("https://drive.google.com/uc?export=view&amp;id=1IvrNE-ISOz-Su9wG7z3LeU_c0QCbsP1S")</f>
        <v/>
      </c>
      <c r="J100" s="19" t="s">
        <v>15</v>
      </c>
      <c r="K100" s="19" t="s">
        <v>8</v>
      </c>
      <c r="L100" s="19">
        <v>32.0</v>
      </c>
      <c r="M100" s="19">
        <v>3.0</v>
      </c>
    </row>
    <row r="101">
      <c r="A101" s="19">
        <v>100.0</v>
      </c>
      <c r="B101" s="19" t="s">
        <v>166</v>
      </c>
      <c r="C101" s="19" t="s">
        <v>846</v>
      </c>
      <c r="D101" s="19" t="s">
        <v>847</v>
      </c>
      <c r="E101" s="43">
        <v>0.727</v>
      </c>
      <c r="F101" s="43">
        <v>0.986</v>
      </c>
      <c r="G101" s="43">
        <v>1.0</v>
      </c>
      <c r="H101" s="43">
        <v>0.0</v>
      </c>
      <c r="I101" s="44" t="str">
        <f>IMAGE("https://drive.google.com/uc?export=view&amp;id=1x8TowyauKXnOIkIE1Ns3UGuQiz3eu9h9")</f>
        <v/>
      </c>
      <c r="J101" s="19" t="s">
        <v>16</v>
      </c>
      <c r="K101" s="19" t="s">
        <v>8</v>
      </c>
      <c r="L101" s="19">
        <v>32.0</v>
      </c>
      <c r="M101" s="19">
        <v>3.0</v>
      </c>
    </row>
    <row r="102">
      <c r="A102" s="19">
        <v>101.0</v>
      </c>
      <c r="B102" s="19" t="s">
        <v>169</v>
      </c>
      <c r="C102" s="19" t="s">
        <v>848</v>
      </c>
      <c r="D102" s="19" t="s">
        <v>849</v>
      </c>
      <c r="E102" s="43">
        <v>0.467</v>
      </c>
      <c r="F102" s="43">
        <v>0.873</v>
      </c>
      <c r="G102" s="43">
        <v>0.0</v>
      </c>
      <c r="H102" s="43">
        <v>0.333</v>
      </c>
      <c r="I102" s="44" t="str">
        <f>IMAGE("https://drive.google.com/uc?export=view&amp;id=1pnwverxK0MsIAcwLTwP4iZcbhbQ8BkMs")</f>
        <v/>
      </c>
      <c r="J102" s="19" t="s">
        <v>16</v>
      </c>
      <c r="K102" s="19" t="s">
        <v>8</v>
      </c>
      <c r="L102" s="19">
        <v>32.0</v>
      </c>
      <c r="M102" s="19">
        <v>3.0</v>
      </c>
    </row>
    <row r="103">
      <c r="A103" s="19">
        <v>102.0</v>
      </c>
      <c r="B103" s="19" t="s">
        <v>172</v>
      </c>
      <c r="C103" s="19" t="s">
        <v>850</v>
      </c>
      <c r="D103" s="19" t="s">
        <v>851</v>
      </c>
      <c r="E103" s="43">
        <v>0.625</v>
      </c>
      <c r="F103" s="43">
        <v>0.973</v>
      </c>
      <c r="G103" s="43">
        <v>1.0</v>
      </c>
      <c r="H103" s="43">
        <v>0.0</v>
      </c>
      <c r="I103" s="44" t="str">
        <f>IMAGE("https://drive.google.com/uc?export=view&amp;id=1lWTGhhcq_yA928TMN_g50RIX_QYck39D")</f>
        <v/>
      </c>
      <c r="J103" s="19" t="s">
        <v>16</v>
      </c>
      <c r="K103" s="19" t="s">
        <v>8</v>
      </c>
      <c r="L103" s="19">
        <v>32.0</v>
      </c>
      <c r="M103" s="19">
        <v>3.0</v>
      </c>
    </row>
    <row r="104">
      <c r="A104" s="19">
        <v>103.0</v>
      </c>
      <c r="B104" s="19" t="s">
        <v>175</v>
      </c>
      <c r="C104" s="19" t="s">
        <v>852</v>
      </c>
      <c r="D104" s="19" t="s">
        <v>853</v>
      </c>
      <c r="E104" s="43">
        <v>0.333</v>
      </c>
      <c r="F104" s="43">
        <v>0.983</v>
      </c>
      <c r="G104" s="43">
        <v>0.833</v>
      </c>
      <c r="H104" s="43">
        <v>0.333</v>
      </c>
      <c r="I104" s="44" t="str">
        <f>IMAGE("https://drive.google.com/uc?export=view&amp;id=1vLQI2KLNoVjH0gGBeVCfNp4m2JOOTXp-")</f>
        <v/>
      </c>
      <c r="J104" s="19" t="s">
        <v>16</v>
      </c>
      <c r="K104" s="19" t="s">
        <v>8</v>
      </c>
      <c r="L104" s="19">
        <v>32.0</v>
      </c>
      <c r="M104" s="19">
        <v>3.0</v>
      </c>
    </row>
    <row r="105">
      <c r="A105" s="19">
        <v>104.0</v>
      </c>
      <c r="B105" s="19" t="s">
        <v>178</v>
      </c>
      <c r="C105" s="19" t="s">
        <v>854</v>
      </c>
      <c r="D105" s="19" t="s">
        <v>855</v>
      </c>
      <c r="E105" s="43">
        <v>0.889</v>
      </c>
      <c r="F105" s="43">
        <v>0.947</v>
      </c>
      <c r="G105" s="43">
        <v>0.5</v>
      </c>
      <c r="H105" s="43">
        <v>0.0</v>
      </c>
      <c r="I105" s="44" t="str">
        <f>IMAGE("https://drive.google.com/uc?export=view&amp;id=1jDbLaL0XNn4SJxcNiUmlt8SKkZ5Xnwte")</f>
        <v/>
      </c>
      <c r="J105" s="19" t="s">
        <v>16</v>
      </c>
      <c r="K105" s="19" t="s">
        <v>8</v>
      </c>
      <c r="L105" s="19">
        <v>32.0</v>
      </c>
      <c r="M105" s="19">
        <v>3.0</v>
      </c>
    </row>
    <row r="106">
      <c r="A106" s="19">
        <v>105.0</v>
      </c>
      <c r="B106" s="19" t="s">
        <v>193</v>
      </c>
      <c r="C106" s="19" t="s">
        <v>865</v>
      </c>
      <c r="D106" s="19" t="s">
        <v>866</v>
      </c>
      <c r="E106" s="43">
        <v>0.727</v>
      </c>
      <c r="F106" s="43">
        <v>0.467</v>
      </c>
      <c r="G106" s="43">
        <v>0.833</v>
      </c>
      <c r="H106" s="43">
        <v>0.0</v>
      </c>
      <c r="I106" s="44" t="str">
        <f>IMAGE("https://drive.google.com/uc?export=view&amp;id=12U4igsQ_aY_FfdBVIaeepFNBKTYQb6d4")</f>
        <v/>
      </c>
      <c r="J106" s="19" t="s">
        <v>16</v>
      </c>
      <c r="K106" s="19" t="s">
        <v>8</v>
      </c>
      <c r="L106" s="19">
        <v>32.0</v>
      </c>
      <c r="M106" s="19">
        <v>3.0</v>
      </c>
    </row>
    <row r="107">
      <c r="A107" s="19">
        <v>106.0</v>
      </c>
      <c r="B107" s="19" t="s">
        <v>196</v>
      </c>
      <c r="C107" s="19" t="s">
        <v>867</v>
      </c>
      <c r="D107" s="19" t="s">
        <v>868</v>
      </c>
      <c r="E107" s="43">
        <v>0.182</v>
      </c>
      <c r="F107" s="43">
        <v>0.809</v>
      </c>
      <c r="G107" s="43">
        <v>1.0</v>
      </c>
      <c r="H107" s="43">
        <v>0.167</v>
      </c>
      <c r="I107" s="44" t="str">
        <f>IMAGE("https://drive.google.com/uc?export=view&amp;id=1lVpPNZQIiButidNR2CUvixN7vc1o-dHC")</f>
        <v/>
      </c>
      <c r="J107" s="19" t="s">
        <v>16</v>
      </c>
      <c r="K107" s="19" t="s">
        <v>8</v>
      </c>
      <c r="L107" s="19">
        <v>32.0</v>
      </c>
      <c r="M107" s="19">
        <v>3.0</v>
      </c>
    </row>
    <row r="108">
      <c r="A108" s="19">
        <v>107.0</v>
      </c>
      <c r="B108" s="19" t="s">
        <v>199</v>
      </c>
      <c r="C108" s="19" t="s">
        <v>869</v>
      </c>
      <c r="D108" s="19" t="s">
        <v>870</v>
      </c>
      <c r="E108" s="43">
        <v>0.667</v>
      </c>
      <c r="F108" s="43">
        <v>0.989</v>
      </c>
      <c r="G108" s="43">
        <v>0.5</v>
      </c>
      <c r="H108" s="43">
        <v>0.5</v>
      </c>
      <c r="I108" s="44" t="str">
        <f>IMAGE("https://drive.google.com/uc?export=view&amp;id=1eRWEttBG-CGgGH1metH8ziGpOIarDhyR")</f>
        <v/>
      </c>
      <c r="J108" s="19" t="s">
        <v>16</v>
      </c>
      <c r="K108" s="19" t="s">
        <v>8</v>
      </c>
      <c r="L108" s="19">
        <v>32.0</v>
      </c>
      <c r="M108" s="19">
        <v>3.0</v>
      </c>
    </row>
    <row r="109">
      <c r="A109" s="19">
        <v>108.0</v>
      </c>
      <c r="B109" s="19" t="s">
        <v>208</v>
      </c>
      <c r="C109" s="19" t="s">
        <v>875</v>
      </c>
      <c r="D109" s="19" t="s">
        <v>876</v>
      </c>
      <c r="E109" s="43">
        <v>0.529</v>
      </c>
      <c r="F109" s="43">
        <v>0.837</v>
      </c>
      <c r="G109" s="43">
        <v>1.0</v>
      </c>
      <c r="H109" s="43">
        <v>0.0</v>
      </c>
      <c r="I109" s="44" t="str">
        <f>IMAGE("https://drive.google.com/uc?export=view&amp;id=12Nsd1uHzFZ4XaJhcOjNiK4K_JkmQIhT7")</f>
        <v/>
      </c>
      <c r="J109" s="19" t="s">
        <v>16</v>
      </c>
      <c r="K109" s="19" t="s">
        <v>8</v>
      </c>
      <c r="L109" s="19">
        <v>32.0</v>
      </c>
      <c r="M109" s="19">
        <v>3.0</v>
      </c>
    </row>
    <row r="110">
      <c r="A110" s="19">
        <v>109.0</v>
      </c>
      <c r="B110" s="19" t="s">
        <v>217</v>
      </c>
      <c r="C110" s="19" t="s">
        <v>881</v>
      </c>
      <c r="D110" s="19" t="s">
        <v>882</v>
      </c>
      <c r="E110" s="43">
        <v>0.875</v>
      </c>
      <c r="F110" s="43">
        <v>0.934</v>
      </c>
      <c r="G110" s="43">
        <v>0.0</v>
      </c>
      <c r="H110" s="43">
        <v>0.0</v>
      </c>
      <c r="I110" s="44" t="str">
        <f>IMAGE("https://drive.google.com/uc?export=view&amp;id=1zCucxEYHz_0VLNxnCc9VtjlO7CwWXZ_J")</f>
        <v/>
      </c>
      <c r="J110" s="19" t="s">
        <v>16</v>
      </c>
      <c r="K110" s="19" t="s">
        <v>8</v>
      </c>
      <c r="L110" s="19">
        <v>32.0</v>
      </c>
      <c r="M110" s="19">
        <v>3.0</v>
      </c>
    </row>
    <row r="111">
      <c r="A111" s="19">
        <v>110.0</v>
      </c>
      <c r="B111" s="19" t="s">
        <v>226</v>
      </c>
      <c r="C111" s="19" t="s">
        <v>887</v>
      </c>
      <c r="D111" s="19" t="s">
        <v>888</v>
      </c>
      <c r="E111" s="43">
        <v>0.625</v>
      </c>
      <c r="F111" s="43">
        <v>0.998</v>
      </c>
      <c r="G111" s="43">
        <v>1.0</v>
      </c>
      <c r="H111" s="43">
        <v>0.5</v>
      </c>
      <c r="I111" s="44" t="str">
        <f>IMAGE("https://drive.google.com/uc?export=view&amp;id=1Ol4wX5WA0a_m9EOns0vrYMQUu3W-0Bhl")</f>
        <v/>
      </c>
      <c r="J111" s="19" t="s">
        <v>17</v>
      </c>
      <c r="K111" s="19" t="s">
        <v>8</v>
      </c>
      <c r="L111" s="19">
        <v>32.0</v>
      </c>
      <c r="M111" s="19">
        <v>3.0</v>
      </c>
    </row>
    <row r="112">
      <c r="A112" s="19">
        <v>111.0</v>
      </c>
      <c r="B112" s="19" t="s">
        <v>232</v>
      </c>
      <c r="C112" s="19" t="s">
        <v>891</v>
      </c>
      <c r="D112" s="19" t="s">
        <v>892</v>
      </c>
      <c r="E112" s="43">
        <v>0.625</v>
      </c>
      <c r="F112" s="43">
        <v>0.992</v>
      </c>
      <c r="G112" s="43">
        <v>0.333</v>
      </c>
      <c r="H112" s="43">
        <v>0.2</v>
      </c>
      <c r="I112" s="44" t="str">
        <f>IMAGE("https://drive.google.com/uc?export=view&amp;id=1KH74X5cvN56sakPCgD8poS5NSrLs7cmP")</f>
        <v/>
      </c>
      <c r="J112" s="19" t="s">
        <v>17</v>
      </c>
      <c r="K112" s="19" t="s">
        <v>8</v>
      </c>
      <c r="L112" s="19">
        <v>32.0</v>
      </c>
      <c r="M112" s="19">
        <v>3.0</v>
      </c>
    </row>
    <row r="113">
      <c r="A113" s="19">
        <v>112.0</v>
      </c>
      <c r="B113" s="19" t="s">
        <v>241</v>
      </c>
      <c r="C113" s="19" t="s">
        <v>897</v>
      </c>
      <c r="D113" s="19" t="s">
        <v>898</v>
      </c>
      <c r="E113" s="43">
        <v>0.875</v>
      </c>
      <c r="F113" s="43">
        <v>0.0</v>
      </c>
      <c r="G113" s="43">
        <v>0.0</v>
      </c>
      <c r="H113" s="43">
        <v>0.4</v>
      </c>
      <c r="I113" s="44" t="str">
        <f>IMAGE("https://drive.google.com/uc?export=view&amp;id=1LLGLggh50LBlIZI6kdbTbUIAOg5zFz1Y")</f>
        <v/>
      </c>
      <c r="J113" s="19" t="s">
        <v>17</v>
      </c>
      <c r="K113" s="19" t="s">
        <v>8</v>
      </c>
      <c r="L113" s="19">
        <v>32.0</v>
      </c>
      <c r="M113" s="19">
        <v>3.0</v>
      </c>
    </row>
    <row r="114">
      <c r="A114" s="19">
        <v>113.0</v>
      </c>
      <c r="B114" s="19" t="s">
        <v>253</v>
      </c>
      <c r="C114" s="19" t="s">
        <v>903</v>
      </c>
      <c r="D114" s="19" t="s">
        <v>904</v>
      </c>
      <c r="E114" s="43">
        <v>0.846</v>
      </c>
      <c r="F114" s="43">
        <v>0.0</v>
      </c>
      <c r="G114" s="43">
        <v>0.0</v>
      </c>
      <c r="H114" s="43">
        <v>0.143</v>
      </c>
      <c r="I114" s="44" t="str">
        <f>IMAGE("https://drive.google.com/uc?export=view&amp;id=1a6Zn7omks5pgSzuBD3Nd_x2bjbbchHc6")</f>
        <v/>
      </c>
      <c r="J114" s="19" t="s">
        <v>17</v>
      </c>
      <c r="K114" s="19" t="s">
        <v>8</v>
      </c>
      <c r="L114" s="19">
        <v>32.0</v>
      </c>
      <c r="M114" s="19">
        <v>3.0</v>
      </c>
    </row>
    <row r="115">
      <c r="A115" s="19">
        <v>114.0</v>
      </c>
      <c r="B115" s="19" t="s">
        <v>259</v>
      </c>
      <c r="C115" s="19" t="s">
        <v>907</v>
      </c>
      <c r="D115" s="19" t="s">
        <v>908</v>
      </c>
      <c r="E115" s="43">
        <v>0.647</v>
      </c>
      <c r="F115" s="43">
        <v>1.0</v>
      </c>
      <c r="G115" s="43">
        <v>1.0</v>
      </c>
      <c r="H115" s="43">
        <v>0.4</v>
      </c>
      <c r="I115" s="44" t="str">
        <f>IMAGE("https://drive.google.com/uc?export=view&amp;id=17Tynj0eWp4g1za_tot9rF_2WiNjIyzNs")</f>
        <v/>
      </c>
      <c r="J115" s="19" t="s">
        <v>17</v>
      </c>
      <c r="K115" s="19" t="s">
        <v>8</v>
      </c>
      <c r="L115" s="19">
        <v>32.0</v>
      </c>
      <c r="M115" s="19">
        <v>3.0</v>
      </c>
    </row>
    <row r="116">
      <c r="A116" s="19">
        <v>115.0</v>
      </c>
      <c r="B116" s="19" t="s">
        <v>265</v>
      </c>
      <c r="C116" s="19" t="s">
        <v>913</v>
      </c>
      <c r="D116" s="19" t="s">
        <v>914</v>
      </c>
      <c r="E116" s="43">
        <v>0.692</v>
      </c>
      <c r="F116" s="43">
        <v>0.996</v>
      </c>
      <c r="G116" s="43">
        <v>1.0</v>
      </c>
      <c r="H116" s="43">
        <v>0.25</v>
      </c>
      <c r="I116" s="44" t="str">
        <f>IMAGE("https://drive.google.com/uc?export=view&amp;id=1-8qOT0Dn2g4TudZRtROB0_sBVPl_XjQa")</f>
        <v/>
      </c>
      <c r="J116" s="19" t="s">
        <v>17</v>
      </c>
      <c r="K116" s="19" t="s">
        <v>8</v>
      </c>
      <c r="L116" s="19">
        <v>32.0</v>
      </c>
      <c r="M116" s="19">
        <v>3.0</v>
      </c>
    </row>
    <row r="117">
      <c r="A117" s="19">
        <v>116.0</v>
      </c>
      <c r="B117" s="19" t="s">
        <v>280</v>
      </c>
      <c r="C117" s="19" t="s">
        <v>923</v>
      </c>
      <c r="D117" s="19" t="s">
        <v>924</v>
      </c>
      <c r="E117" s="43">
        <v>0.5</v>
      </c>
      <c r="F117" s="43">
        <v>0.727</v>
      </c>
      <c r="G117" s="43">
        <v>1.0</v>
      </c>
      <c r="H117" s="43">
        <v>0.2</v>
      </c>
      <c r="I117" s="44" t="str">
        <f>IMAGE("https://drive.google.com/uc?export=view&amp;id=1LohwVOmtjTejMi6SmrpGgWfMXG_ujspB")</f>
        <v/>
      </c>
      <c r="J117" s="19" t="s">
        <v>17</v>
      </c>
      <c r="K117" s="19" t="s">
        <v>8</v>
      </c>
      <c r="L117" s="19">
        <v>32.0</v>
      </c>
      <c r="M117" s="19">
        <v>3.0</v>
      </c>
    </row>
    <row r="118">
      <c r="A118" s="19">
        <v>117.0</v>
      </c>
      <c r="B118" s="37" t="s">
        <v>49</v>
      </c>
      <c r="C118" s="37" t="s">
        <v>929</v>
      </c>
      <c r="D118" s="47" t="s">
        <v>930</v>
      </c>
      <c r="E118" s="49">
        <v>0.636</v>
      </c>
      <c r="F118" s="49">
        <v>0.994</v>
      </c>
      <c r="G118" s="49">
        <v>0.95</v>
      </c>
      <c r="H118" s="49">
        <v>0.0</v>
      </c>
      <c r="I118" s="44" t="str">
        <f>IMAGE("https://drive.google.com/uc?export=view&amp;id=14oz2lb2aZjha-5E5VrnwpQkOcCbgmQOm")</f>
        <v/>
      </c>
      <c r="J118" s="19" t="s">
        <v>14</v>
      </c>
      <c r="K118" s="19" t="s">
        <v>8</v>
      </c>
      <c r="L118" s="19">
        <v>32.0</v>
      </c>
      <c r="M118" s="19">
        <v>5.0</v>
      </c>
    </row>
    <row r="119">
      <c r="A119" s="19">
        <v>118.0</v>
      </c>
      <c r="B119" s="37" t="s">
        <v>52</v>
      </c>
      <c r="C119" s="37" t="s">
        <v>931</v>
      </c>
      <c r="D119" s="47" t="s">
        <v>932</v>
      </c>
      <c r="E119" s="49">
        <v>0.867</v>
      </c>
      <c r="F119" s="49">
        <v>0.889</v>
      </c>
      <c r="G119" s="49">
        <v>1.0</v>
      </c>
      <c r="H119" s="49">
        <v>0.167</v>
      </c>
      <c r="I119" s="44" t="str">
        <f>IMAGE("https://drive.google.com/uc?export=view&amp;id=13RgsPMzP6lrit8Ym4p8ZGjKnwoqoNNsY")</f>
        <v/>
      </c>
      <c r="J119" s="19" t="s">
        <v>14</v>
      </c>
      <c r="K119" s="19" t="s">
        <v>8</v>
      </c>
      <c r="L119" s="19">
        <v>32.0</v>
      </c>
      <c r="M119" s="19">
        <v>5.0</v>
      </c>
    </row>
    <row r="120">
      <c r="A120" s="19">
        <v>119.0</v>
      </c>
      <c r="B120" s="37" t="s">
        <v>64</v>
      </c>
      <c r="C120" s="37" t="s">
        <v>939</v>
      </c>
      <c r="D120" s="47" t="s">
        <v>940</v>
      </c>
      <c r="E120" s="49">
        <v>0.9</v>
      </c>
      <c r="F120" s="49">
        <v>0.711</v>
      </c>
      <c r="G120" s="49">
        <v>0.478</v>
      </c>
      <c r="H120" s="49">
        <v>0.2</v>
      </c>
      <c r="I120" s="44" t="str">
        <f>IMAGE("https://drive.google.com/uc?export=view&amp;id=16BzSGCFfXduoqJGZiot9U2RVdBDYvxTi")</f>
        <v/>
      </c>
      <c r="J120" s="19" t="s">
        <v>14</v>
      </c>
      <c r="K120" s="19" t="s">
        <v>8</v>
      </c>
      <c r="L120" s="19">
        <v>32.0</v>
      </c>
      <c r="M120" s="19">
        <v>5.0</v>
      </c>
    </row>
    <row r="121">
      <c r="A121" s="19">
        <v>120.0</v>
      </c>
      <c r="B121" s="37" t="s">
        <v>70</v>
      </c>
      <c r="C121" s="37" t="s">
        <v>943</v>
      </c>
      <c r="D121" s="47" t="s">
        <v>944</v>
      </c>
      <c r="E121" s="49">
        <v>0.417</v>
      </c>
      <c r="F121" s="49">
        <v>0.874</v>
      </c>
      <c r="G121" s="49">
        <v>1.0</v>
      </c>
      <c r="H121" s="49">
        <v>0.2</v>
      </c>
      <c r="I121" s="44" t="str">
        <f>IMAGE("https://drive.google.com/uc?export=view&amp;id=1gBb8ws7EtW_CyGYnxtgxyJQYNQ9MhtCU")</f>
        <v/>
      </c>
      <c r="J121" s="19" t="s">
        <v>14</v>
      </c>
      <c r="K121" s="19" t="s">
        <v>8</v>
      </c>
      <c r="L121" s="19">
        <v>32.0</v>
      </c>
      <c r="M121" s="19">
        <v>5.0</v>
      </c>
    </row>
    <row r="122">
      <c r="A122" s="19">
        <v>121.0</v>
      </c>
      <c r="B122" s="37" t="s">
        <v>94</v>
      </c>
      <c r="C122" s="37" t="s">
        <v>959</v>
      </c>
      <c r="D122" s="47" t="s">
        <v>960</v>
      </c>
      <c r="E122" s="49">
        <v>0.462</v>
      </c>
      <c r="F122" s="49">
        <v>0.912</v>
      </c>
      <c r="G122" s="49">
        <v>1.0</v>
      </c>
      <c r="H122" s="49">
        <v>0.286</v>
      </c>
      <c r="I122" s="44" t="str">
        <f>IMAGE("https://drive.google.com/uc?export=view&amp;id=1CVx1t0gqwd4kbgOX6WZNWgr-PLQFbK6B")</f>
        <v/>
      </c>
      <c r="J122" s="19" t="s">
        <v>14</v>
      </c>
      <c r="K122" s="19" t="s">
        <v>8</v>
      </c>
      <c r="L122" s="19">
        <v>32.0</v>
      </c>
      <c r="M122" s="19">
        <v>5.0</v>
      </c>
    </row>
    <row r="123">
      <c r="A123" s="19">
        <v>122.0</v>
      </c>
      <c r="B123" s="37" t="s">
        <v>97</v>
      </c>
      <c r="C123" s="37" t="s">
        <v>961</v>
      </c>
      <c r="D123" s="47" t="s">
        <v>962</v>
      </c>
      <c r="E123" s="49">
        <v>1.0</v>
      </c>
      <c r="F123" s="49">
        <v>0.886</v>
      </c>
      <c r="G123" s="49">
        <v>0.5</v>
      </c>
      <c r="H123" s="49">
        <v>0.286</v>
      </c>
      <c r="I123" s="44" t="str">
        <f>IMAGE("https://drive.google.com/uc?export=view&amp;id=1FqMLXWWx0kPLk6KOt7GEnhCl63-cS6uM")</f>
        <v/>
      </c>
      <c r="J123" s="19" t="s">
        <v>14</v>
      </c>
      <c r="K123" s="19" t="s">
        <v>8</v>
      </c>
      <c r="L123" s="19">
        <v>32.0</v>
      </c>
      <c r="M123" s="19">
        <v>5.0</v>
      </c>
    </row>
    <row r="124">
      <c r="A124" s="19">
        <v>123.0</v>
      </c>
      <c r="B124" s="37" t="s">
        <v>109</v>
      </c>
      <c r="C124" s="37" t="s">
        <v>969</v>
      </c>
      <c r="D124" s="47" t="s">
        <v>970</v>
      </c>
      <c r="E124" s="49">
        <v>0.9</v>
      </c>
      <c r="F124" s="49">
        <v>0.673</v>
      </c>
      <c r="G124" s="49">
        <v>1.0</v>
      </c>
      <c r="H124" s="49">
        <v>0.333</v>
      </c>
      <c r="I124" s="44" t="str">
        <f>IMAGE("https://drive.google.com/uc?export=view&amp;id=1X72mqjzgiqhrG7O0umxf3-26oUDwLeAb")</f>
        <v/>
      </c>
      <c r="J124" s="19" t="s">
        <v>15</v>
      </c>
      <c r="K124" s="19" t="s">
        <v>8</v>
      </c>
      <c r="L124" s="19">
        <v>32.0</v>
      </c>
      <c r="M124" s="19">
        <v>5.0</v>
      </c>
    </row>
    <row r="125">
      <c r="A125" s="19">
        <v>124.0</v>
      </c>
      <c r="B125" s="37" t="s">
        <v>106</v>
      </c>
      <c r="C125" s="37" t="s">
        <v>973</v>
      </c>
      <c r="D125" s="47" t="s">
        <v>974</v>
      </c>
      <c r="E125" s="49">
        <v>0.875</v>
      </c>
      <c r="F125" s="49">
        <v>0.998</v>
      </c>
      <c r="G125" s="49">
        <v>0.45</v>
      </c>
      <c r="H125" s="49">
        <v>0.286</v>
      </c>
      <c r="I125" s="44" t="str">
        <f>IMAGE("https://drive.google.com/uc?export=view&amp;id=1B7l99DXqjtT47plpm8eYOkG5lyX2MFRR")</f>
        <v/>
      </c>
      <c r="J125" s="19" t="s">
        <v>15</v>
      </c>
      <c r="K125" s="19" t="s">
        <v>8</v>
      </c>
      <c r="L125" s="19">
        <v>32.0</v>
      </c>
      <c r="M125" s="19">
        <v>5.0</v>
      </c>
    </row>
    <row r="126">
      <c r="A126" s="19">
        <v>125.0</v>
      </c>
      <c r="B126" s="37" t="s">
        <v>133</v>
      </c>
      <c r="C126" s="37" t="s">
        <v>985</v>
      </c>
      <c r="D126" s="47" t="s">
        <v>986</v>
      </c>
      <c r="E126" s="49">
        <v>0.833</v>
      </c>
      <c r="F126" s="49">
        <v>0.905</v>
      </c>
      <c r="G126" s="49">
        <v>0.95</v>
      </c>
      <c r="H126" s="49">
        <v>0.0</v>
      </c>
      <c r="I126" s="44" t="str">
        <f>IMAGE("https://drive.google.com/uc?export=view&amp;id=1A8PE5QV41Brl6bNTOxJJcNkzESoUilZi")</f>
        <v/>
      </c>
      <c r="J126" s="19" t="s">
        <v>15</v>
      </c>
      <c r="K126" s="19" t="s">
        <v>8</v>
      </c>
      <c r="L126" s="19">
        <v>32.0</v>
      </c>
      <c r="M126" s="19">
        <v>5.0</v>
      </c>
    </row>
    <row r="127">
      <c r="A127" s="19">
        <v>126.0</v>
      </c>
      <c r="B127" s="37" t="s">
        <v>136</v>
      </c>
      <c r="C127" s="37" t="s">
        <v>987</v>
      </c>
      <c r="D127" s="47" t="s">
        <v>988</v>
      </c>
      <c r="E127" s="49">
        <v>0.941</v>
      </c>
      <c r="F127" s="49">
        <v>0.999</v>
      </c>
      <c r="G127" s="49">
        <v>1.0</v>
      </c>
      <c r="H127" s="49">
        <v>0.417</v>
      </c>
      <c r="I127" s="44" t="str">
        <f>IMAGE("https://drive.google.com/uc?export=view&amp;id=1aR9Y_UtAeUsH7F1B4PIYicVtr4NR6AC6")</f>
        <v/>
      </c>
      <c r="J127" s="19" t="s">
        <v>15</v>
      </c>
      <c r="K127" s="19" t="s">
        <v>8</v>
      </c>
      <c r="L127" s="19">
        <v>32.0</v>
      </c>
      <c r="M127" s="19">
        <v>5.0</v>
      </c>
    </row>
    <row r="128">
      <c r="A128" s="19">
        <v>127.0</v>
      </c>
      <c r="B128" s="37" t="s">
        <v>160</v>
      </c>
      <c r="C128" s="37" t="s">
        <v>1001</v>
      </c>
      <c r="D128" s="47" t="s">
        <v>1002</v>
      </c>
      <c r="E128" s="49">
        <v>0.786</v>
      </c>
      <c r="F128" s="49">
        <v>0.66</v>
      </c>
      <c r="G128" s="49">
        <v>1.0</v>
      </c>
      <c r="H128" s="49">
        <v>0.4</v>
      </c>
      <c r="I128" s="44" t="str">
        <f>IMAGE("https://drive.google.com/uc?export=view&amp;id=1FsfVS64lOoV44plj4nGIdpvyKiXux3Ua")</f>
        <v/>
      </c>
      <c r="J128" s="19" t="s">
        <v>15</v>
      </c>
      <c r="K128" s="19" t="s">
        <v>8</v>
      </c>
      <c r="L128" s="19">
        <v>32.0</v>
      </c>
      <c r="M128" s="19">
        <v>5.0</v>
      </c>
    </row>
    <row r="129">
      <c r="A129" s="19">
        <v>128.0</v>
      </c>
      <c r="B129" s="37" t="s">
        <v>172</v>
      </c>
      <c r="C129" s="37" t="s">
        <v>1011</v>
      </c>
      <c r="D129" s="47" t="s">
        <v>1012</v>
      </c>
      <c r="E129" s="49">
        <v>0.688</v>
      </c>
      <c r="F129" s="49">
        <v>0.999</v>
      </c>
      <c r="G129" s="49">
        <v>0.533</v>
      </c>
      <c r="H129" s="49">
        <v>0.0</v>
      </c>
      <c r="I129" s="44" t="str">
        <f>IMAGE("https://drive.google.com/uc?export=view&amp;id=1MfHJbbLRmeXLK08_31YR5EZxVuiFQBBN")</f>
        <v/>
      </c>
      <c r="J129" s="19" t="s">
        <v>16</v>
      </c>
      <c r="K129" s="19" t="s">
        <v>8</v>
      </c>
      <c r="L129" s="19">
        <v>32.0</v>
      </c>
      <c r="M129" s="19">
        <v>5.0</v>
      </c>
    </row>
    <row r="130">
      <c r="A130" s="19">
        <v>129.0</v>
      </c>
      <c r="B130" s="37" t="s">
        <v>175</v>
      </c>
      <c r="C130" s="37" t="s">
        <v>1013</v>
      </c>
      <c r="D130" s="47" t="s">
        <v>1014</v>
      </c>
      <c r="E130" s="49">
        <v>0.571</v>
      </c>
      <c r="F130" s="49">
        <v>0.794</v>
      </c>
      <c r="G130" s="49">
        <v>0.2</v>
      </c>
      <c r="H130" s="49">
        <v>0.167</v>
      </c>
      <c r="I130" s="44" t="str">
        <f>IMAGE("https://drive.google.com/uc?export=view&amp;id=1v8_8ubZKQMgOwU3_PMJdFPJs-1ob_lue")</f>
        <v/>
      </c>
      <c r="J130" s="19" t="s">
        <v>16</v>
      </c>
      <c r="K130" s="19" t="s">
        <v>8</v>
      </c>
      <c r="L130" s="19">
        <v>32.0</v>
      </c>
      <c r="M130" s="19">
        <v>5.0</v>
      </c>
    </row>
    <row r="131">
      <c r="A131" s="19">
        <v>130.0</v>
      </c>
      <c r="B131" s="37" t="s">
        <v>178</v>
      </c>
      <c r="C131" s="37" t="s">
        <v>1015</v>
      </c>
      <c r="D131" s="47" t="s">
        <v>1016</v>
      </c>
      <c r="E131" s="49">
        <v>0.571</v>
      </c>
      <c r="F131" s="49">
        <v>0.947</v>
      </c>
      <c r="G131" s="49">
        <v>0.5</v>
      </c>
      <c r="H131" s="49">
        <v>0.0</v>
      </c>
      <c r="I131" s="44" t="str">
        <f>IMAGE("https://drive.google.com/uc?export=view&amp;id=1QKWetDRqb3n5jLFoi7bGT9p_RVJm87vL")</f>
        <v/>
      </c>
      <c r="J131" s="19" t="s">
        <v>16</v>
      </c>
      <c r="K131" s="19" t="s">
        <v>8</v>
      </c>
      <c r="L131" s="19">
        <v>32.0</v>
      </c>
      <c r="M131" s="19">
        <v>5.0</v>
      </c>
    </row>
    <row r="132">
      <c r="A132" s="19">
        <v>131.0</v>
      </c>
      <c r="B132" s="37" t="s">
        <v>190</v>
      </c>
      <c r="C132" s="37" t="s">
        <v>1021</v>
      </c>
      <c r="D132" s="47" t="s">
        <v>1022</v>
      </c>
      <c r="E132" s="49">
        <v>1.0</v>
      </c>
      <c r="F132" s="49">
        <v>0.892</v>
      </c>
      <c r="G132" s="49">
        <v>1.0</v>
      </c>
      <c r="H132" s="49">
        <v>0.167</v>
      </c>
      <c r="I132" s="44" t="str">
        <f>IMAGE("https://drive.google.com/uc?export=view&amp;id=1XcB3Yxq8p6FSp2xy13Gg3Yf2M_yfJNXH")</f>
        <v/>
      </c>
      <c r="J132" s="19" t="s">
        <v>16</v>
      </c>
      <c r="K132" s="19" t="s">
        <v>8</v>
      </c>
      <c r="L132" s="19">
        <v>32.0</v>
      </c>
      <c r="M132" s="19">
        <v>5.0</v>
      </c>
    </row>
    <row r="133">
      <c r="A133" s="19">
        <v>132.0</v>
      </c>
      <c r="B133" s="37" t="s">
        <v>193</v>
      </c>
      <c r="C133" s="37" t="s">
        <v>1023</v>
      </c>
      <c r="D133" s="47" t="s">
        <v>1024</v>
      </c>
      <c r="E133" s="49">
        <v>0.75</v>
      </c>
      <c r="F133" s="49">
        <v>0.839</v>
      </c>
      <c r="G133" s="49">
        <v>0.7</v>
      </c>
      <c r="H133" s="49">
        <v>0.0</v>
      </c>
      <c r="I133" s="44" t="str">
        <f>IMAGE("https://drive.google.com/uc?export=view&amp;id=1gi_g1Ky9OiURcsIammGeVkLk4gCfFsWa")</f>
        <v/>
      </c>
      <c r="J133" s="19" t="s">
        <v>16</v>
      </c>
      <c r="K133" s="19" t="s">
        <v>8</v>
      </c>
      <c r="L133" s="19">
        <v>32.0</v>
      </c>
      <c r="M133" s="19">
        <v>5.0</v>
      </c>
    </row>
    <row r="134">
      <c r="A134" s="19">
        <v>133.0</v>
      </c>
      <c r="B134" s="37" t="s">
        <v>196</v>
      </c>
      <c r="C134" s="37" t="s">
        <v>1025</v>
      </c>
      <c r="D134" s="47" t="s">
        <v>1026</v>
      </c>
      <c r="E134" s="49">
        <v>0.643</v>
      </c>
      <c r="F134" s="49">
        <v>0.945</v>
      </c>
      <c r="G134" s="49">
        <v>0.756</v>
      </c>
      <c r="H134" s="49">
        <v>0.5</v>
      </c>
      <c r="I134" s="44" t="str">
        <f>IMAGE("https://drive.google.com/uc?export=view&amp;id=1Ef0-Tp_BxK1WkIQ7V5bn1dd8ClIpdSW7")</f>
        <v/>
      </c>
      <c r="J134" s="19" t="s">
        <v>16</v>
      </c>
      <c r="K134" s="19" t="s">
        <v>8</v>
      </c>
      <c r="L134" s="19">
        <v>32.0</v>
      </c>
      <c r="M134" s="19">
        <v>5.0</v>
      </c>
    </row>
    <row r="135">
      <c r="A135" s="19">
        <v>134.0</v>
      </c>
      <c r="B135" s="37" t="s">
        <v>202</v>
      </c>
      <c r="C135" s="37" t="s">
        <v>1029</v>
      </c>
      <c r="D135" s="47" t="s">
        <v>1030</v>
      </c>
      <c r="E135" s="49">
        <v>0.929</v>
      </c>
      <c r="F135" s="49">
        <v>0.875</v>
      </c>
      <c r="G135" s="49">
        <v>0.533</v>
      </c>
      <c r="H135" s="49">
        <v>0.125</v>
      </c>
      <c r="I135" s="44" t="str">
        <f>IMAGE("https://drive.google.com/uc?export=view&amp;id=15C1kGWRUZYnCP4pyxB5CcMFiBi0N-s74")</f>
        <v/>
      </c>
      <c r="J135" s="19" t="s">
        <v>16</v>
      </c>
      <c r="K135" s="19" t="s">
        <v>8</v>
      </c>
      <c r="L135" s="19">
        <v>32.0</v>
      </c>
      <c r="M135" s="19">
        <v>5.0</v>
      </c>
    </row>
    <row r="136">
      <c r="A136" s="19">
        <v>135.0</v>
      </c>
      <c r="B136" s="37" t="s">
        <v>214</v>
      </c>
      <c r="C136" s="37" t="s">
        <v>1037</v>
      </c>
      <c r="D136" s="47" t="s">
        <v>1038</v>
      </c>
      <c r="E136" s="49">
        <v>1.0</v>
      </c>
      <c r="F136" s="49">
        <v>0.885</v>
      </c>
      <c r="G136" s="49">
        <v>0.679</v>
      </c>
      <c r="H136" s="49">
        <v>0.0</v>
      </c>
      <c r="I136" s="44" t="str">
        <f>IMAGE("https://drive.google.com/uc?export=view&amp;id=1Z-FUmbRfF4S6VRlJO8lSX1pPCJh9Qwal")</f>
        <v/>
      </c>
      <c r="J136" s="19" t="s">
        <v>16</v>
      </c>
      <c r="K136" s="19" t="s">
        <v>8</v>
      </c>
      <c r="L136" s="19">
        <v>32.0</v>
      </c>
      <c r="M136" s="19">
        <v>5.0</v>
      </c>
    </row>
    <row r="137">
      <c r="A137" s="19">
        <v>136.0</v>
      </c>
      <c r="B137" s="37" t="s">
        <v>184</v>
      </c>
      <c r="C137" s="37" t="s">
        <v>1043</v>
      </c>
      <c r="D137" s="47" t="s">
        <v>1044</v>
      </c>
      <c r="E137" s="49">
        <v>0.733</v>
      </c>
      <c r="F137" s="49">
        <v>0.938</v>
      </c>
      <c r="G137" s="49">
        <v>0.95</v>
      </c>
      <c r="H137" s="49">
        <v>0.4</v>
      </c>
      <c r="I137" s="44" t="str">
        <f>IMAGE("https://drive.google.com/uc?export=view&amp;id=1IfJbmzDU0SFvDxHZdQadclBgelYbfBx2")</f>
        <v/>
      </c>
      <c r="J137" s="19" t="s">
        <v>16</v>
      </c>
      <c r="K137" s="19" t="s">
        <v>8</v>
      </c>
      <c r="L137" s="19">
        <v>32.0</v>
      </c>
      <c r="M137" s="19">
        <v>5.0</v>
      </c>
    </row>
    <row r="138">
      <c r="A138" s="19">
        <v>137.0</v>
      </c>
      <c r="B138" s="37" t="s">
        <v>244</v>
      </c>
      <c r="C138" s="37" t="s">
        <v>1057</v>
      </c>
      <c r="D138" s="47" t="s">
        <v>1058</v>
      </c>
      <c r="E138" s="49">
        <v>0.5</v>
      </c>
      <c r="F138" s="49">
        <v>0.992</v>
      </c>
      <c r="G138" s="49">
        <v>0.2</v>
      </c>
      <c r="H138" s="49">
        <v>0.25</v>
      </c>
      <c r="I138" s="44" t="str">
        <f>IMAGE("https://drive.google.com/uc?export=view&amp;id=1xXoaOyfzPug3cAXGMDKaAV-pzEtU_jpc")</f>
        <v/>
      </c>
      <c r="J138" s="19" t="s">
        <v>17</v>
      </c>
      <c r="K138" s="19" t="s">
        <v>8</v>
      </c>
      <c r="L138" s="19">
        <v>32.0</v>
      </c>
      <c r="M138" s="19">
        <v>5.0</v>
      </c>
    </row>
    <row r="139">
      <c r="A139" s="19">
        <v>138.0</v>
      </c>
      <c r="B139" s="37" t="s">
        <v>280</v>
      </c>
      <c r="C139" s="37" t="s">
        <v>1081</v>
      </c>
      <c r="D139" s="47" t="s">
        <v>1082</v>
      </c>
      <c r="E139" s="49">
        <v>1.0</v>
      </c>
      <c r="F139" s="49">
        <v>0.803</v>
      </c>
      <c r="G139" s="49">
        <v>1.0</v>
      </c>
      <c r="H139" s="49">
        <v>0.167</v>
      </c>
      <c r="I139" s="44" t="str">
        <f>IMAGE("https://drive.google.com/uc?export=view&amp;id=10ideIKge0MCTAdh-brdwzwkvozRdUpMD")</f>
        <v/>
      </c>
      <c r="J139" s="19" t="s">
        <v>17</v>
      </c>
      <c r="K139" s="19" t="s">
        <v>8</v>
      </c>
      <c r="L139" s="19">
        <v>32.0</v>
      </c>
      <c r="M139" s="19">
        <v>5.0</v>
      </c>
    </row>
    <row r="140">
      <c r="A140" s="19">
        <v>139.0</v>
      </c>
      <c r="B140" s="19" t="s">
        <v>49</v>
      </c>
      <c r="C140" s="19" t="s">
        <v>1087</v>
      </c>
      <c r="D140" s="19" t="s">
        <v>1088</v>
      </c>
      <c r="E140" s="43">
        <v>0.111</v>
      </c>
      <c r="F140" s="43">
        <v>1.0</v>
      </c>
      <c r="G140" s="43">
        <v>0.5</v>
      </c>
      <c r="H140" s="43">
        <v>0.5</v>
      </c>
      <c r="I140" s="44" t="str">
        <f>IMAGE("https://drive.google.com/uc?export=view&amp;id=1TGXOcLD6XH8Qr5U6MnlCVL7jSDwBRZEm")</f>
        <v/>
      </c>
      <c r="J140" s="19" t="s">
        <v>14</v>
      </c>
      <c r="K140" s="19" t="s">
        <v>8</v>
      </c>
      <c r="L140" s="19">
        <v>64.0</v>
      </c>
      <c r="M140" s="19">
        <v>3.0</v>
      </c>
    </row>
    <row r="141">
      <c r="A141" s="19">
        <v>140.0</v>
      </c>
      <c r="B141" s="19" t="s">
        <v>52</v>
      </c>
      <c r="C141" s="19" t="s">
        <v>1089</v>
      </c>
      <c r="D141" s="19" t="s">
        <v>1090</v>
      </c>
      <c r="E141" s="43">
        <v>0.529</v>
      </c>
      <c r="F141" s="43">
        <v>0.844</v>
      </c>
      <c r="G141" s="43">
        <v>1.0</v>
      </c>
      <c r="H141" s="43">
        <v>0.4</v>
      </c>
      <c r="I141" s="44" t="str">
        <f>IMAGE("https://drive.google.com/uc?export=view&amp;id=1sL7sve1ukprGuMZLpFuo0oQTWJ_rggtV")</f>
        <v/>
      </c>
      <c r="J141" s="19" t="s">
        <v>14</v>
      </c>
      <c r="K141" s="19" t="s">
        <v>8</v>
      </c>
      <c r="L141" s="19">
        <v>64.0</v>
      </c>
      <c r="M141" s="19">
        <v>3.0</v>
      </c>
    </row>
    <row r="142">
      <c r="A142" s="19">
        <v>141.0</v>
      </c>
      <c r="B142" s="19" t="s">
        <v>85</v>
      </c>
      <c r="C142" s="19" t="s">
        <v>1109</v>
      </c>
      <c r="D142" s="19" t="s">
        <v>1110</v>
      </c>
      <c r="E142" s="43">
        <v>0.273</v>
      </c>
      <c r="F142" s="43">
        <v>0.985</v>
      </c>
      <c r="G142" s="43">
        <v>0.333</v>
      </c>
      <c r="H142" s="43">
        <v>0.0</v>
      </c>
      <c r="I142" s="44" t="str">
        <f>IMAGE("https://drive.google.com/uc?export=view&amp;id=194SVOoGDuv-GBFOf1ZF5MoxucsFyTYOt")</f>
        <v/>
      </c>
      <c r="J142" s="19" t="s">
        <v>14</v>
      </c>
      <c r="K142" s="19" t="s">
        <v>8</v>
      </c>
      <c r="L142" s="19">
        <v>64.0</v>
      </c>
      <c r="M142" s="19">
        <v>3.0</v>
      </c>
    </row>
    <row r="143">
      <c r="A143" s="19">
        <v>142.0</v>
      </c>
      <c r="B143" s="19" t="s">
        <v>118</v>
      </c>
      <c r="C143" s="19" t="s">
        <v>1133</v>
      </c>
      <c r="D143" s="19" t="s">
        <v>1134</v>
      </c>
      <c r="E143" s="43">
        <v>0.75</v>
      </c>
      <c r="F143" s="43">
        <v>0.0</v>
      </c>
      <c r="G143" s="43">
        <v>0.0</v>
      </c>
      <c r="H143" s="43">
        <v>0.333</v>
      </c>
      <c r="I143" s="44" t="str">
        <f>IMAGE("https://drive.google.com/uc?export=view&amp;id=1RTSzKpQfGhCnOWPNWuq8U50kxs4uLEcB")</f>
        <v/>
      </c>
      <c r="J143" s="19" t="s">
        <v>15</v>
      </c>
      <c r="K143" s="19" t="s">
        <v>8</v>
      </c>
      <c r="L143" s="19">
        <v>64.0</v>
      </c>
      <c r="M143" s="19">
        <v>3.0</v>
      </c>
    </row>
    <row r="144">
      <c r="A144" s="19">
        <v>143.0</v>
      </c>
      <c r="B144" s="19" t="s">
        <v>133</v>
      </c>
      <c r="C144" s="19" t="s">
        <v>1143</v>
      </c>
      <c r="D144" s="19" t="s">
        <v>1144</v>
      </c>
      <c r="E144" s="43">
        <v>1.0</v>
      </c>
      <c r="F144" s="43">
        <v>0.973</v>
      </c>
      <c r="G144" s="43">
        <v>1.0</v>
      </c>
      <c r="H144" s="43">
        <v>0.375</v>
      </c>
      <c r="I144" s="44" t="str">
        <f>IMAGE("https://drive.google.com/uc?export=view&amp;id=1j9Z4y3FNSe9YeVlspAOWGLTmKHzzH0sK")</f>
        <v/>
      </c>
      <c r="J144" s="19" t="s">
        <v>15</v>
      </c>
      <c r="K144" s="19" t="s">
        <v>8</v>
      </c>
      <c r="L144" s="19">
        <v>64.0</v>
      </c>
      <c r="M144" s="19">
        <v>3.0</v>
      </c>
    </row>
    <row r="145">
      <c r="A145" s="19">
        <v>144.0</v>
      </c>
      <c r="B145" s="19" t="s">
        <v>157</v>
      </c>
      <c r="C145" s="19" t="s">
        <v>1159</v>
      </c>
      <c r="D145" s="19" t="s">
        <v>1160</v>
      </c>
      <c r="E145" s="43">
        <v>0.333</v>
      </c>
      <c r="F145" s="43">
        <v>0.654</v>
      </c>
      <c r="G145" s="43">
        <v>0.333</v>
      </c>
      <c r="H145" s="43">
        <v>0.5</v>
      </c>
      <c r="I145" s="44" t="str">
        <f>IMAGE("https://drive.google.com/uc?export=view&amp;id=1q1ti9ncOkHJXze6_Uv8NzeMHemBvPKgH")</f>
        <v/>
      </c>
      <c r="J145" s="19" t="s">
        <v>15</v>
      </c>
      <c r="K145" s="19" t="s">
        <v>8</v>
      </c>
      <c r="L145" s="19">
        <v>64.0</v>
      </c>
      <c r="M145" s="19">
        <v>3.0</v>
      </c>
    </row>
    <row r="146">
      <c r="A146" s="19">
        <v>145.0</v>
      </c>
      <c r="B146" s="19" t="s">
        <v>172</v>
      </c>
      <c r="C146" s="19" t="s">
        <v>1169</v>
      </c>
      <c r="D146" s="19" t="s">
        <v>1170</v>
      </c>
      <c r="E146" s="43">
        <v>1.0</v>
      </c>
      <c r="F146" s="43">
        <v>0.976</v>
      </c>
      <c r="G146" s="43">
        <v>1.0</v>
      </c>
      <c r="H146" s="43">
        <v>0.0</v>
      </c>
      <c r="I146" s="44" t="str">
        <f>IMAGE("https://drive.google.com/uc?export=view&amp;id=1I6clpa8hdQ2memeoF5FUHO1wTy1fT_5D")</f>
        <v/>
      </c>
      <c r="J146" s="19" t="s">
        <v>16</v>
      </c>
      <c r="K146" s="19" t="s">
        <v>8</v>
      </c>
      <c r="L146" s="19">
        <v>64.0</v>
      </c>
      <c r="M146" s="19">
        <v>3.0</v>
      </c>
    </row>
    <row r="147">
      <c r="A147" s="19">
        <v>146.0</v>
      </c>
      <c r="B147" s="19" t="s">
        <v>175</v>
      </c>
      <c r="C147" s="19" t="s">
        <v>1171</v>
      </c>
      <c r="D147" s="19" t="s">
        <v>1172</v>
      </c>
      <c r="E147" s="43">
        <v>0.333</v>
      </c>
      <c r="F147" s="43">
        <v>0.837</v>
      </c>
      <c r="G147" s="43">
        <v>0.833</v>
      </c>
      <c r="H147" s="43">
        <v>0.5</v>
      </c>
      <c r="I147" s="44" t="str">
        <f>IMAGE("https://drive.google.com/uc?export=view&amp;id=1YRen-uhDOxEDa78RJdU9xmOZ2YiOFNKo")</f>
        <v/>
      </c>
      <c r="J147" s="19" t="s">
        <v>16</v>
      </c>
      <c r="K147" s="19" t="s">
        <v>8</v>
      </c>
      <c r="L147" s="19">
        <v>64.0</v>
      </c>
      <c r="M147" s="19">
        <v>3.0</v>
      </c>
    </row>
    <row r="148">
      <c r="A148" s="19">
        <v>147.0</v>
      </c>
      <c r="B148" s="19" t="s">
        <v>178</v>
      </c>
      <c r="C148" s="19" t="s">
        <v>1173</v>
      </c>
      <c r="D148" s="19" t="s">
        <v>1174</v>
      </c>
      <c r="E148" s="43">
        <v>0.636</v>
      </c>
      <c r="F148" s="43">
        <v>0.946</v>
      </c>
      <c r="G148" s="43">
        <v>0.833</v>
      </c>
      <c r="H148" s="43">
        <v>0.0</v>
      </c>
      <c r="I148" s="44" t="str">
        <f>IMAGE("https://drive.google.com/uc?export=view&amp;id=1DTZteJLPUzrZuSTBIVWkwN7COcvFX0fK")</f>
        <v/>
      </c>
      <c r="J148" s="19" t="s">
        <v>16</v>
      </c>
      <c r="K148" s="19" t="s">
        <v>8</v>
      </c>
      <c r="L148" s="19">
        <v>64.0</v>
      </c>
      <c r="M148" s="19">
        <v>3.0</v>
      </c>
    </row>
    <row r="149">
      <c r="A149" s="19">
        <v>148.0</v>
      </c>
      <c r="B149" s="19" t="s">
        <v>184</v>
      </c>
      <c r="C149" s="19" t="s">
        <v>1177</v>
      </c>
      <c r="D149" s="19" t="s">
        <v>1178</v>
      </c>
      <c r="E149" s="43">
        <v>0.3</v>
      </c>
      <c r="F149" s="43">
        <v>0.85</v>
      </c>
      <c r="G149" s="43">
        <v>1.0</v>
      </c>
      <c r="H149" s="43">
        <v>0.333</v>
      </c>
      <c r="I149" s="44" t="str">
        <f>IMAGE("https://drive.google.com/uc?export=view&amp;id=10MkwMfhucKytEH1dVlZ12DZql91x8LIR")</f>
        <v/>
      </c>
      <c r="J149" s="19" t="s">
        <v>16</v>
      </c>
      <c r="K149" s="19" t="s">
        <v>8</v>
      </c>
      <c r="L149" s="19">
        <v>64.0</v>
      </c>
      <c r="M149" s="19">
        <v>3.0</v>
      </c>
    </row>
    <row r="150">
      <c r="A150" s="19">
        <v>149.0</v>
      </c>
      <c r="B150" s="19" t="s">
        <v>190</v>
      </c>
      <c r="C150" s="19" t="s">
        <v>1181</v>
      </c>
      <c r="D150" s="19" t="s">
        <v>1182</v>
      </c>
      <c r="E150" s="43">
        <v>0.545</v>
      </c>
      <c r="F150" s="43">
        <v>0.908</v>
      </c>
      <c r="G150" s="43">
        <v>1.0</v>
      </c>
      <c r="H150" s="43">
        <v>0.286</v>
      </c>
      <c r="I150" s="44" t="str">
        <f>IMAGE("https://drive.google.com/uc?export=view&amp;id=1Tqd7IhwEoSxyytT3w2jVu236Wxpp0Nn6")</f>
        <v/>
      </c>
      <c r="J150" s="19" t="s">
        <v>16</v>
      </c>
      <c r="K150" s="19" t="s">
        <v>8</v>
      </c>
      <c r="L150" s="19">
        <v>64.0</v>
      </c>
      <c r="M150" s="19">
        <v>3.0</v>
      </c>
    </row>
    <row r="151">
      <c r="A151" s="19">
        <v>150.0</v>
      </c>
      <c r="B151" s="19" t="s">
        <v>193</v>
      </c>
      <c r="C151" s="19" t="s">
        <v>1183</v>
      </c>
      <c r="D151" s="19" t="s">
        <v>1184</v>
      </c>
      <c r="E151" s="43">
        <v>0.615</v>
      </c>
      <c r="F151" s="43">
        <v>0.892</v>
      </c>
      <c r="G151" s="43">
        <v>0.5</v>
      </c>
      <c r="H151" s="43">
        <v>0.0</v>
      </c>
      <c r="I151" s="44" t="str">
        <f>IMAGE("https://drive.google.com/uc?export=view&amp;id=1saIKZdwzMQwRWzW5wnlvCeKEn2qY1wyj")</f>
        <v/>
      </c>
      <c r="J151" s="19" t="s">
        <v>16</v>
      </c>
      <c r="K151" s="19" t="s">
        <v>8</v>
      </c>
      <c r="L151" s="19">
        <v>64.0</v>
      </c>
      <c r="M151" s="19">
        <v>3.0</v>
      </c>
    </row>
    <row r="152">
      <c r="A152" s="19">
        <v>151.0</v>
      </c>
      <c r="B152" s="19" t="s">
        <v>217</v>
      </c>
      <c r="C152" s="19" t="s">
        <v>1199</v>
      </c>
      <c r="D152" s="19" t="s">
        <v>1200</v>
      </c>
      <c r="E152" s="43">
        <v>0.0</v>
      </c>
      <c r="F152" s="43">
        <v>0.876</v>
      </c>
      <c r="G152" s="43">
        <v>0.0</v>
      </c>
      <c r="H152" s="43">
        <v>0.0</v>
      </c>
      <c r="I152" s="44" t="str">
        <f>IMAGE("https://drive.google.com/uc?export=view&amp;id=1OjUgQedpRNOSTUksdISOhGeWCF_i7EcW")</f>
        <v/>
      </c>
      <c r="J152" s="19" t="s">
        <v>16</v>
      </c>
      <c r="K152" s="19" t="s">
        <v>8</v>
      </c>
      <c r="L152" s="19">
        <v>64.0</v>
      </c>
      <c r="M152" s="19">
        <v>3.0</v>
      </c>
    </row>
    <row r="153">
      <c r="A153" s="19">
        <v>152.0</v>
      </c>
      <c r="B153" s="19" t="s">
        <v>220</v>
      </c>
      <c r="C153" s="19" t="s">
        <v>1201</v>
      </c>
      <c r="D153" s="19" t="s">
        <v>1202</v>
      </c>
      <c r="E153" s="43">
        <v>0.9</v>
      </c>
      <c r="F153" s="43">
        <v>0.765</v>
      </c>
      <c r="G153" s="43">
        <v>1.0</v>
      </c>
      <c r="H153" s="43">
        <v>0.143</v>
      </c>
      <c r="I153" s="44" t="str">
        <f>IMAGE("https://drive.google.com/uc?export=view&amp;id=1o6dm_nphu0az6I_SuwwaVSahw08bijp1")</f>
        <v/>
      </c>
      <c r="J153" s="19" t="s">
        <v>16</v>
      </c>
      <c r="K153" s="19" t="s">
        <v>8</v>
      </c>
      <c r="L153" s="19">
        <v>64.0</v>
      </c>
      <c r="M153" s="19">
        <v>3.0</v>
      </c>
    </row>
    <row r="154">
      <c r="A154" s="19">
        <v>153.0</v>
      </c>
      <c r="B154" s="19" t="s">
        <v>247</v>
      </c>
      <c r="C154" s="19" t="s">
        <v>1219</v>
      </c>
      <c r="D154" s="19" t="s">
        <v>1220</v>
      </c>
      <c r="E154" s="43">
        <v>0.75</v>
      </c>
      <c r="F154" s="43">
        <v>0.0</v>
      </c>
      <c r="G154" s="43">
        <v>0.0</v>
      </c>
      <c r="H154" s="43">
        <v>0.333</v>
      </c>
      <c r="I154" s="44" t="str">
        <f>IMAGE("https://drive.google.com/uc?export=view&amp;id=1vqPGgT9p2QQW4vIebI6EH154mLNOe4bK")</f>
        <v/>
      </c>
      <c r="J154" s="19" t="s">
        <v>17</v>
      </c>
      <c r="K154" s="19" t="s">
        <v>8</v>
      </c>
      <c r="L154" s="19">
        <v>64.0</v>
      </c>
      <c r="M154" s="19">
        <v>3.0</v>
      </c>
    </row>
    <row r="155">
      <c r="A155" s="19">
        <v>154.0</v>
      </c>
      <c r="B155" s="19" t="s">
        <v>265</v>
      </c>
      <c r="C155" s="19" t="s">
        <v>1231</v>
      </c>
      <c r="D155" s="19" t="s">
        <v>1232</v>
      </c>
      <c r="E155" s="43">
        <v>0.375</v>
      </c>
      <c r="F155" s="43">
        <v>0.892</v>
      </c>
      <c r="G155" s="43">
        <v>1.0</v>
      </c>
      <c r="H155" s="43">
        <v>0.125</v>
      </c>
      <c r="I155" s="44" t="str">
        <f>IMAGE("https://drive.google.com/uc?export=view&amp;id=13ZbN1Na0swMrAc0n-55NzD4JTRazej2x")</f>
        <v/>
      </c>
      <c r="J155" s="19" t="s">
        <v>17</v>
      </c>
      <c r="K155" s="19" t="s">
        <v>8</v>
      </c>
      <c r="L155" s="19">
        <v>64.0</v>
      </c>
      <c r="M155" s="19">
        <v>3.0</v>
      </c>
    </row>
    <row r="156">
      <c r="A156" s="19">
        <v>155.0</v>
      </c>
      <c r="B156" s="19" t="s">
        <v>271</v>
      </c>
      <c r="C156" s="19" t="s">
        <v>1235</v>
      </c>
      <c r="D156" s="19" t="s">
        <v>1236</v>
      </c>
      <c r="E156" s="43">
        <v>0.778</v>
      </c>
      <c r="F156" s="43">
        <v>0.906</v>
      </c>
      <c r="G156" s="43">
        <v>1.0</v>
      </c>
      <c r="H156" s="43">
        <v>0.0</v>
      </c>
      <c r="I156" s="44" t="str">
        <f>IMAGE("https://drive.google.com/uc?export=view&amp;id=1oFayl393D96kD1KPxbF6Woc7rA-zM9kT")</f>
        <v/>
      </c>
      <c r="J156" s="19" t="s">
        <v>17</v>
      </c>
      <c r="K156" s="19" t="s">
        <v>8</v>
      </c>
      <c r="L156" s="19">
        <v>64.0</v>
      </c>
      <c r="M156" s="19">
        <v>3.0</v>
      </c>
    </row>
    <row r="157">
      <c r="A157" s="19">
        <v>156.0</v>
      </c>
      <c r="B157" s="19" t="s">
        <v>97</v>
      </c>
      <c r="C157" s="19" t="s">
        <v>1279</v>
      </c>
      <c r="D157" s="19" t="s">
        <v>1280</v>
      </c>
      <c r="E157" s="43">
        <v>0.0</v>
      </c>
      <c r="F157" s="43">
        <v>0.844</v>
      </c>
      <c r="G157" s="43">
        <v>0.0</v>
      </c>
      <c r="H157" s="43">
        <v>0.333</v>
      </c>
      <c r="I157" s="44" t="str">
        <f>IMAGE("https://drive.google.com/uc?export=view&amp;id=1sM15VPFCnImoeQjsAdOTBa-MNDL7X8MS")</f>
        <v/>
      </c>
      <c r="J157" s="19" t="s">
        <v>14</v>
      </c>
      <c r="K157" s="19" t="s">
        <v>8</v>
      </c>
      <c r="L157" s="19">
        <v>64.0</v>
      </c>
      <c r="M157" s="19">
        <v>5.0</v>
      </c>
    </row>
    <row r="158">
      <c r="A158" s="19">
        <v>157.0</v>
      </c>
      <c r="B158" s="19" t="s">
        <v>109</v>
      </c>
      <c r="C158" s="19" t="s">
        <v>1289</v>
      </c>
      <c r="D158" s="19" t="s">
        <v>1290</v>
      </c>
      <c r="E158" s="43">
        <v>0.667</v>
      </c>
      <c r="F158" s="43">
        <v>1.0</v>
      </c>
      <c r="G158" s="43">
        <v>0.917</v>
      </c>
      <c r="H158" s="43">
        <v>0.444</v>
      </c>
      <c r="I158" s="44" t="str">
        <f>IMAGE("https://drive.google.com/uc?export=view&amp;id=11GO_a5i2o_9bazC55y5GYfiXZTQuEiEn")</f>
        <v/>
      </c>
      <c r="J158" s="19" t="s">
        <v>15</v>
      </c>
      <c r="K158" s="19" t="s">
        <v>8</v>
      </c>
      <c r="L158" s="19">
        <v>64.0</v>
      </c>
      <c r="M158" s="19">
        <v>5.0</v>
      </c>
    </row>
    <row r="159">
      <c r="A159" s="19">
        <v>158.0</v>
      </c>
      <c r="B159" s="19" t="s">
        <v>139</v>
      </c>
      <c r="C159" s="19" t="s">
        <v>1306</v>
      </c>
      <c r="D159" s="19" t="s">
        <v>1307</v>
      </c>
      <c r="E159" s="43">
        <v>1.0</v>
      </c>
      <c r="F159" s="43">
        <v>1.0</v>
      </c>
      <c r="G159" s="43">
        <v>0.887</v>
      </c>
      <c r="H159" s="43">
        <v>0.4</v>
      </c>
      <c r="I159" s="44" t="str">
        <f>IMAGE("https://drive.google.com/uc?export=view&amp;id=19v5duyW3C4a9YgFJzkExXub1DOkqsG4l")</f>
        <v/>
      </c>
      <c r="J159" s="19" t="s">
        <v>15</v>
      </c>
      <c r="L159" s="19">
        <v>64.0</v>
      </c>
      <c r="M159" s="19">
        <v>5.0</v>
      </c>
    </row>
    <row r="160">
      <c r="A160" s="19">
        <v>159.0</v>
      </c>
      <c r="B160" s="19" t="s">
        <v>157</v>
      </c>
      <c r="C160" s="19" t="s">
        <v>1320</v>
      </c>
      <c r="D160" s="19" t="s">
        <v>1321</v>
      </c>
      <c r="E160" s="43">
        <v>0.455</v>
      </c>
      <c r="F160" s="43">
        <v>0.998</v>
      </c>
      <c r="G160" s="43">
        <v>0.806</v>
      </c>
      <c r="H160" s="43">
        <v>0.429</v>
      </c>
      <c r="I160" s="44" t="str">
        <f>IMAGE("https://drive.google.com/uc?export=view&amp;id=18eoquw7yRi0KnWf5OKWO632CzErdPx5q")</f>
        <v/>
      </c>
      <c r="J160" s="19" t="s">
        <v>15</v>
      </c>
      <c r="L160" s="19">
        <v>64.0</v>
      </c>
      <c r="M160" s="19">
        <v>5.0</v>
      </c>
    </row>
    <row r="161">
      <c r="A161" s="19">
        <v>160.0</v>
      </c>
      <c r="B161" s="19" t="s">
        <v>175</v>
      </c>
      <c r="C161" s="19" t="s">
        <v>1332</v>
      </c>
      <c r="D161" s="19" t="s">
        <v>1333</v>
      </c>
      <c r="E161" s="43">
        <v>1.0</v>
      </c>
      <c r="F161" s="43">
        <v>0.888</v>
      </c>
      <c r="G161" s="43">
        <v>0.833</v>
      </c>
      <c r="H161" s="43">
        <v>0.1</v>
      </c>
      <c r="I161" s="44" t="str">
        <f>IMAGE("https://drive.google.com/uc?export=view&amp;id=1oH97pxPs9t5m-X4FOr-m_-uGjLL4CrNK")</f>
        <v/>
      </c>
      <c r="J161" s="19" t="s">
        <v>16</v>
      </c>
      <c r="L161" s="19">
        <v>64.0</v>
      </c>
      <c r="M161" s="19">
        <v>5.0</v>
      </c>
    </row>
    <row r="162">
      <c r="A162" s="19">
        <v>161.0</v>
      </c>
      <c r="B162" s="19" t="s">
        <v>178</v>
      </c>
      <c r="C162" s="19" t="s">
        <v>1334</v>
      </c>
      <c r="D162" s="19" t="s">
        <v>1335</v>
      </c>
      <c r="E162" s="43">
        <v>0.727</v>
      </c>
      <c r="F162" s="43">
        <v>0.947</v>
      </c>
      <c r="G162" s="43">
        <v>1.0</v>
      </c>
      <c r="H162" s="43">
        <v>0.0</v>
      </c>
      <c r="I162" s="44" t="str">
        <f>IMAGE("https://drive.google.com/uc?export=view&amp;id=1duRZnrmw7PZXPyiDG9-9jqhV3MPGe4Gv")</f>
        <v/>
      </c>
      <c r="J162" s="19" t="s">
        <v>16</v>
      </c>
      <c r="L162" s="19">
        <v>64.0</v>
      </c>
      <c r="M162" s="19">
        <v>5.0</v>
      </c>
    </row>
    <row r="163">
      <c r="A163" s="19">
        <v>162.0</v>
      </c>
      <c r="B163" s="19" t="s">
        <v>193</v>
      </c>
      <c r="C163" s="19" t="s">
        <v>1342</v>
      </c>
      <c r="D163" s="19" t="s">
        <v>1343</v>
      </c>
      <c r="E163" s="43">
        <v>0.143</v>
      </c>
      <c r="F163" s="43">
        <v>0.873</v>
      </c>
      <c r="G163" s="43">
        <v>1.0</v>
      </c>
      <c r="H163" s="43">
        <v>0.0</v>
      </c>
      <c r="I163" s="44" t="str">
        <f>IMAGE("https://drive.google.com/uc?export=view&amp;id=1UQByIBuysccoqSbwFIksvq9S4-9hZxa7")</f>
        <v/>
      </c>
      <c r="J163" s="19" t="s">
        <v>16</v>
      </c>
      <c r="L163" s="19">
        <v>64.0</v>
      </c>
      <c r="M163" s="19">
        <v>5.0</v>
      </c>
    </row>
    <row r="164">
      <c r="A164" s="19">
        <v>163.0</v>
      </c>
      <c r="B164" s="19" t="s">
        <v>217</v>
      </c>
      <c r="C164" s="19" t="s">
        <v>1360</v>
      </c>
      <c r="D164" s="19" t="s">
        <v>1361</v>
      </c>
      <c r="E164" s="43">
        <v>0.933</v>
      </c>
      <c r="F164" s="43">
        <v>0.989</v>
      </c>
      <c r="G164" s="43">
        <v>0.25</v>
      </c>
      <c r="H164" s="43">
        <v>0.0</v>
      </c>
      <c r="I164" s="44" t="str">
        <f>IMAGE("https://drive.google.com/uc?export=view&amp;id=1Eur0a82kicMWAHjIGHtqzzDNGLfBNqrm")</f>
        <v/>
      </c>
      <c r="J164" s="19" t="s">
        <v>16</v>
      </c>
      <c r="L164" s="19">
        <v>64.0</v>
      </c>
      <c r="M164" s="19">
        <v>5.0</v>
      </c>
    </row>
    <row r="165">
      <c r="A165" s="19">
        <v>164.0</v>
      </c>
      <c r="B165" s="19" t="s">
        <v>226</v>
      </c>
      <c r="C165" s="19" t="s">
        <v>1366</v>
      </c>
      <c r="D165" s="19" t="s">
        <v>1367</v>
      </c>
      <c r="E165" s="43">
        <v>0.667</v>
      </c>
      <c r="F165" s="43">
        <v>0.991</v>
      </c>
      <c r="G165" s="43">
        <v>1.0</v>
      </c>
      <c r="H165" s="43">
        <v>0.0</v>
      </c>
      <c r="I165" s="44" t="str">
        <f>IMAGE("https://drive.google.com/uc?export=view&amp;id=15v_Jv02trVmBgq42Wp78dkP21QSdgKjM")</f>
        <v/>
      </c>
      <c r="J165" s="19" t="s">
        <v>17</v>
      </c>
      <c r="L165" s="19">
        <v>64.0</v>
      </c>
      <c r="M165" s="19">
        <v>5.0</v>
      </c>
    </row>
    <row r="166">
      <c r="A166" s="19">
        <v>165.0</v>
      </c>
      <c r="B166" s="19" t="s">
        <v>232</v>
      </c>
      <c r="C166" s="19" t="s">
        <v>1370</v>
      </c>
      <c r="D166" s="19" t="s">
        <v>1371</v>
      </c>
      <c r="E166" s="43">
        <v>1.0</v>
      </c>
      <c r="F166" s="43">
        <v>0.992</v>
      </c>
      <c r="G166" s="43">
        <v>1.0</v>
      </c>
      <c r="H166" s="43">
        <v>0.167</v>
      </c>
      <c r="I166" s="44" t="str">
        <f>IMAGE("https://drive.google.com/uc?export=view&amp;id=1nKcFw0ic67npFLF3_LF73XMQhOQ6VLRE")</f>
        <v/>
      </c>
      <c r="J166" s="19" t="s">
        <v>17</v>
      </c>
      <c r="L166" s="19">
        <v>64.0</v>
      </c>
      <c r="M166" s="19">
        <v>5.0</v>
      </c>
    </row>
    <row r="167">
      <c r="A167" s="19">
        <v>166.0</v>
      </c>
      <c r="B167" s="19" t="s">
        <v>256</v>
      </c>
      <c r="C167" s="19" t="s">
        <v>1386</v>
      </c>
      <c r="D167" s="19" t="s">
        <v>1387</v>
      </c>
      <c r="E167" s="43">
        <v>1.0</v>
      </c>
      <c r="F167" s="43">
        <v>0.746</v>
      </c>
      <c r="G167" s="43">
        <v>0.533</v>
      </c>
      <c r="H167" s="43">
        <v>0.222</v>
      </c>
      <c r="I167" s="44" t="str">
        <f>IMAGE("https://drive.google.com/uc?export=view&amp;id=1jhXD3ZjPuNdn-mzEm2hnSGmk_inM9jhz")</f>
        <v/>
      </c>
      <c r="J167" s="19" t="s">
        <v>17</v>
      </c>
      <c r="L167" s="19">
        <v>64.0</v>
      </c>
      <c r="M167" s="19">
        <v>5.0</v>
      </c>
    </row>
    <row r="168">
      <c r="A168" s="19">
        <v>167.0</v>
      </c>
      <c r="B168" s="19" t="s">
        <v>262</v>
      </c>
      <c r="C168" s="19" t="s">
        <v>1390</v>
      </c>
      <c r="D168" s="19" t="s">
        <v>1391</v>
      </c>
      <c r="E168" s="43">
        <v>0.182</v>
      </c>
      <c r="F168" s="43">
        <v>0.945</v>
      </c>
      <c r="G168" s="43">
        <v>0.804</v>
      </c>
      <c r="H168" s="43">
        <v>0.25</v>
      </c>
      <c r="I168" s="44" t="str">
        <f>IMAGE("https://drive.google.com/uc?export=view&amp;id=1Ouh55qWWBQUhAo9Cz4WorK6vWSSx2Z4c")</f>
        <v/>
      </c>
      <c r="J168" s="19" t="s">
        <v>17</v>
      </c>
      <c r="L168" s="19">
        <v>64.0</v>
      </c>
      <c r="M168" s="19">
        <v>5.0</v>
      </c>
    </row>
    <row r="169">
      <c r="A169" s="19">
        <v>168.0</v>
      </c>
      <c r="B169" s="19" t="s">
        <v>283</v>
      </c>
      <c r="C169" s="19" t="s">
        <v>1402</v>
      </c>
      <c r="D169" s="19" t="s">
        <v>1403</v>
      </c>
      <c r="E169" s="43">
        <v>0.214</v>
      </c>
      <c r="F169" s="43">
        <v>0.0</v>
      </c>
      <c r="G169" s="43">
        <v>0.806</v>
      </c>
      <c r="H169" s="43">
        <v>0.0</v>
      </c>
      <c r="I169" s="44" t="str">
        <f>IMAGE("https://drive.google.com/uc?export=view&amp;id=1R347I0qw0QWBlJ2zvVKXFfT1JkSh5qwn")</f>
        <v/>
      </c>
      <c r="J169" s="19" t="s">
        <v>17</v>
      </c>
      <c r="L169" s="19">
        <v>64.0</v>
      </c>
      <c r="M169" s="19">
        <v>5.0</v>
      </c>
    </row>
  </sheetData>
  <autoFilter ref="$A$1:$M$169"/>
  <dataValidations>
    <dataValidation type="list" allowBlank="1" showErrorMessage="1" sqref="K2:K158">
      <formula1>"LaBSE,BGE-M3"</formula1>
    </dataValidation>
    <dataValidation type="list" allowBlank="1" showErrorMessage="1" sqref="J2:J169">
      <formula1>"Trend Analysis ,Gap Detection,Evidence-based QA,Comparative Synthesis"</formula1>
    </dataValidation>
    <dataValidation type="list" allowBlank="1" showErrorMessage="1" sqref="L2:L169">
      <formula1>"32,64"</formula1>
    </dataValidation>
    <dataValidation type="list" allowBlank="1" showErrorMessage="1" sqref="M2:M169">
      <formula1>"3,5"</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4.63"/>
    <col customWidth="1" min="3" max="3" width="41.5"/>
    <col customWidth="1" min="4" max="4" width="44.13"/>
    <col customWidth="1" min="5" max="8" width="24.88"/>
    <col customWidth="1" min="9" max="9" width="38.5"/>
    <col customWidth="1" min="10" max="10" width="45.0"/>
  </cols>
  <sheetData>
    <row r="1">
      <c r="A1" s="41" t="s">
        <v>41</v>
      </c>
      <c r="B1" s="32" t="s">
        <v>42</v>
      </c>
      <c r="C1" s="32" t="s">
        <v>43</v>
      </c>
      <c r="D1" s="41" t="s">
        <v>44</v>
      </c>
      <c r="E1" s="32" t="s">
        <v>3</v>
      </c>
      <c r="F1" s="32" t="s">
        <v>4</v>
      </c>
      <c r="G1" s="32" t="s">
        <v>5</v>
      </c>
      <c r="H1" s="32" t="s">
        <v>6</v>
      </c>
      <c r="I1" s="41" t="s">
        <v>45</v>
      </c>
      <c r="J1" s="47" t="s">
        <v>1406</v>
      </c>
    </row>
    <row r="2">
      <c r="A2" s="48">
        <v>1.0</v>
      </c>
      <c r="B2" s="37" t="s">
        <v>46</v>
      </c>
      <c r="C2" s="37" t="s">
        <v>47</v>
      </c>
      <c r="D2" s="47" t="s">
        <v>48</v>
      </c>
      <c r="E2" s="49">
        <v>1.0</v>
      </c>
      <c r="F2" s="49">
        <v>0.901</v>
      </c>
      <c r="G2" s="49">
        <v>1.0</v>
      </c>
      <c r="H2" s="49">
        <v>0.875</v>
      </c>
      <c r="I2" s="50" t="str">
        <f>IMAGE("https://drive.google.com/uc?export=view&amp;id=1yWqfLrwrmcdiwdqVorVHl9lGOMhO-QEg")</f>
        <v/>
      </c>
      <c r="J2" s="47" t="s">
        <v>14</v>
      </c>
    </row>
    <row r="3">
      <c r="A3" s="48">
        <v>2.0</v>
      </c>
      <c r="B3" s="37" t="s">
        <v>49</v>
      </c>
      <c r="C3" s="37" t="s">
        <v>50</v>
      </c>
      <c r="D3" s="47" t="s">
        <v>51</v>
      </c>
      <c r="E3" s="49">
        <v>0.429</v>
      </c>
      <c r="F3" s="49">
        <v>1.0</v>
      </c>
      <c r="G3" s="49">
        <v>0.333</v>
      </c>
      <c r="H3" s="49">
        <v>1.0</v>
      </c>
      <c r="I3" s="50" t="str">
        <f>IMAGE("https://drive.google.com/uc?export=view&amp;id=1FxO3OeVVwVfdbWaVF-TiLUcIeXutQ-6f")</f>
        <v/>
      </c>
      <c r="J3" s="47" t="s">
        <v>14</v>
      </c>
    </row>
    <row r="4">
      <c r="A4" s="48">
        <v>3.0</v>
      </c>
      <c r="B4" s="37" t="s">
        <v>52</v>
      </c>
      <c r="C4" s="37" t="s">
        <v>53</v>
      </c>
      <c r="D4" s="47" t="s">
        <v>54</v>
      </c>
      <c r="E4" s="49">
        <v>1.0</v>
      </c>
      <c r="F4" s="49">
        <v>0.827</v>
      </c>
      <c r="G4" s="49">
        <v>1.0</v>
      </c>
      <c r="H4" s="49">
        <v>0.333</v>
      </c>
      <c r="I4" s="50" t="str">
        <f>IMAGE("https://drive.google.com/uc?export=view&amp;id=1dV58gtSqEiTa5kdZ6WMlUDwpnp4_jjSm")</f>
        <v/>
      </c>
      <c r="J4" s="47" t="s">
        <v>14</v>
      </c>
    </row>
    <row r="5">
      <c r="A5" s="48">
        <v>4.0</v>
      </c>
      <c r="B5" s="37" t="s">
        <v>55</v>
      </c>
      <c r="C5" s="37" t="s">
        <v>56</v>
      </c>
      <c r="D5" s="47" t="s">
        <v>57</v>
      </c>
      <c r="E5" s="49">
        <v>0.571</v>
      </c>
      <c r="F5" s="49">
        <v>1.0</v>
      </c>
      <c r="G5" s="49">
        <v>1.0</v>
      </c>
      <c r="H5" s="49">
        <v>1.0</v>
      </c>
      <c r="I5" s="50" t="str">
        <f>IMAGE("https://drive.google.com/uc?export=view&amp;id=1A27oO-piM3pvWsnAMdr8bRcHquE5OX4D")</f>
        <v/>
      </c>
      <c r="J5" s="47" t="s">
        <v>14</v>
      </c>
    </row>
    <row r="6">
      <c r="A6" s="48">
        <v>5.0</v>
      </c>
      <c r="B6" s="37" t="s">
        <v>58</v>
      </c>
      <c r="C6" s="37" t="s">
        <v>59</v>
      </c>
      <c r="D6" s="47" t="s">
        <v>60</v>
      </c>
      <c r="E6" s="49">
        <v>0.667</v>
      </c>
      <c r="F6" s="49">
        <v>0.734</v>
      </c>
      <c r="G6" s="49">
        <v>0.833</v>
      </c>
      <c r="H6" s="49">
        <v>0.6</v>
      </c>
      <c r="I6" s="50" t="str">
        <f>IMAGE("https://drive.google.com/uc?export=view&amp;id=1o4D6HkiN88UnJ0EddFdQZvlMOl6o87ym")</f>
        <v/>
      </c>
      <c r="J6" s="47" t="s">
        <v>14</v>
      </c>
    </row>
    <row r="7">
      <c r="A7" s="48">
        <v>6.0</v>
      </c>
      <c r="B7" s="37" t="s">
        <v>61</v>
      </c>
      <c r="C7" s="37" t="s">
        <v>62</v>
      </c>
      <c r="D7" s="47" t="s">
        <v>63</v>
      </c>
      <c r="E7" s="49">
        <v>1.0</v>
      </c>
      <c r="F7" s="49">
        <v>1.0</v>
      </c>
      <c r="G7" s="49">
        <v>0.583</v>
      </c>
      <c r="H7" s="49">
        <v>1.0</v>
      </c>
      <c r="I7" s="50" t="str">
        <f>IMAGE("https://drive.google.com/uc?export=view&amp;id=1xIBTZB3ErCMFr52F6orM-oFUqWVPaGaS")</f>
        <v/>
      </c>
      <c r="J7" s="47" t="s">
        <v>14</v>
      </c>
    </row>
    <row r="8">
      <c r="A8" s="48">
        <v>7.0</v>
      </c>
      <c r="B8" s="37" t="s">
        <v>64</v>
      </c>
      <c r="C8" s="37" t="s">
        <v>65</v>
      </c>
      <c r="D8" s="47" t="s">
        <v>66</v>
      </c>
      <c r="E8" s="49">
        <v>0.0</v>
      </c>
      <c r="F8" s="49">
        <v>0.81</v>
      </c>
      <c r="G8" s="49">
        <v>0.0</v>
      </c>
      <c r="H8" s="49">
        <v>0.2</v>
      </c>
      <c r="I8" s="50" t="str">
        <f>IMAGE("https://drive.google.com/uc?export=view&amp;id=19w73J71Q6HnNGTwLM0fZ8hw84ev8h03Y")</f>
        <v/>
      </c>
      <c r="J8" s="47" t="s">
        <v>14</v>
      </c>
    </row>
    <row r="9">
      <c r="A9" s="48">
        <v>8.0</v>
      </c>
      <c r="B9" s="37" t="s">
        <v>67</v>
      </c>
      <c r="C9" s="37" t="s">
        <v>68</v>
      </c>
      <c r="D9" s="47" t="s">
        <v>69</v>
      </c>
      <c r="E9" s="49">
        <v>0.5</v>
      </c>
      <c r="F9" s="49">
        <v>0.821</v>
      </c>
      <c r="G9" s="49">
        <v>1.0</v>
      </c>
      <c r="H9" s="49">
        <v>0.333</v>
      </c>
      <c r="I9" s="50" t="str">
        <f>IMAGE("https://drive.google.com/uc?export=view&amp;id=1LphF5CdNh_uDjN3IlHgSPN3v3EAGpgH6")</f>
        <v/>
      </c>
      <c r="J9" s="47" t="s">
        <v>14</v>
      </c>
    </row>
    <row r="10">
      <c r="A10" s="48">
        <v>9.0</v>
      </c>
      <c r="B10" s="37" t="s">
        <v>70</v>
      </c>
      <c r="C10" s="37" t="s">
        <v>71</v>
      </c>
      <c r="D10" s="47" t="s">
        <v>72</v>
      </c>
      <c r="E10" s="49">
        <v>0.6</v>
      </c>
      <c r="F10" s="49">
        <v>0.523</v>
      </c>
      <c r="G10" s="49">
        <v>0.583</v>
      </c>
      <c r="H10" s="49">
        <v>0.0</v>
      </c>
      <c r="I10" s="50" t="str">
        <f>IMAGE("https://drive.google.com/uc?export=view&amp;id=1k5RfntDpLiJXy1b_yK39qUp9v3t8FKo5")</f>
        <v/>
      </c>
      <c r="J10" s="47" t="s">
        <v>14</v>
      </c>
    </row>
    <row r="11">
      <c r="A11" s="48">
        <v>10.0</v>
      </c>
      <c r="B11" s="37" t="s">
        <v>73</v>
      </c>
      <c r="C11" s="37" t="s">
        <v>74</v>
      </c>
      <c r="D11" s="47" t="s">
        <v>75</v>
      </c>
      <c r="E11" s="49">
        <v>0.286</v>
      </c>
      <c r="F11" s="49">
        <v>0.849</v>
      </c>
      <c r="G11" s="49">
        <v>0.333</v>
      </c>
      <c r="H11" s="49">
        <v>0.75</v>
      </c>
      <c r="I11" s="50" t="str">
        <f>IMAGE("https://drive.google.com/uc?export=view&amp;id=16_CTN-aJL1gxlASC-0unn2FOlybBzKC-")</f>
        <v/>
      </c>
      <c r="J11" s="47" t="s">
        <v>14</v>
      </c>
    </row>
    <row r="12">
      <c r="A12" s="48">
        <v>11.0</v>
      </c>
      <c r="B12" s="37" t="s">
        <v>76</v>
      </c>
      <c r="C12" s="37" t="s">
        <v>77</v>
      </c>
      <c r="D12" s="47" t="s">
        <v>78</v>
      </c>
      <c r="E12" s="49">
        <v>0.444</v>
      </c>
      <c r="F12" s="49">
        <v>0.597</v>
      </c>
      <c r="G12" s="49">
        <v>1.0</v>
      </c>
      <c r="H12" s="49">
        <v>1.0</v>
      </c>
      <c r="I12" s="50" t="str">
        <f>IMAGE("https://drive.google.com/uc?export=view&amp;id=1jYSdCJkyV8nELiXcu9pwlF1VWnGLMdsh")</f>
        <v/>
      </c>
      <c r="J12" s="47" t="s">
        <v>14</v>
      </c>
    </row>
    <row r="13">
      <c r="A13" s="48">
        <v>12.0</v>
      </c>
      <c r="B13" s="37" t="s">
        <v>79</v>
      </c>
      <c r="C13" s="37" t="s">
        <v>80</v>
      </c>
      <c r="D13" s="47" t="s">
        <v>81</v>
      </c>
      <c r="E13" s="49">
        <v>0.889</v>
      </c>
      <c r="F13" s="49">
        <v>0.0</v>
      </c>
      <c r="G13" s="49">
        <v>0.0</v>
      </c>
      <c r="H13" s="49">
        <v>0.667</v>
      </c>
      <c r="I13" s="50" t="str">
        <f>IMAGE("https://drive.google.com/uc?export=view&amp;id=10g3KSphlYmmWl8uVd0ORoR48gg0P6sTO")</f>
        <v/>
      </c>
      <c r="J13" s="47" t="s">
        <v>14</v>
      </c>
    </row>
    <row r="14">
      <c r="A14" s="48">
        <v>13.0</v>
      </c>
      <c r="B14" s="37" t="s">
        <v>82</v>
      </c>
      <c r="C14" s="37" t="s">
        <v>83</v>
      </c>
      <c r="D14" s="47" t="s">
        <v>84</v>
      </c>
      <c r="E14" s="49">
        <v>0.75</v>
      </c>
      <c r="F14" s="49">
        <v>0.502</v>
      </c>
      <c r="G14" s="49">
        <v>0.583</v>
      </c>
      <c r="H14" s="49">
        <v>1.0</v>
      </c>
      <c r="I14" s="50" t="str">
        <f>IMAGE("https://drive.google.com/uc?export=view&amp;id=1x9x1EkcTn2q_uQpxpPUFwF-P0iO-XqjN")</f>
        <v/>
      </c>
      <c r="J14" s="47" t="s">
        <v>14</v>
      </c>
    </row>
    <row r="15">
      <c r="A15" s="48">
        <v>14.0</v>
      </c>
      <c r="B15" s="37" t="s">
        <v>85</v>
      </c>
      <c r="C15" s="37" t="s">
        <v>86</v>
      </c>
      <c r="D15" s="47" t="s">
        <v>87</v>
      </c>
      <c r="E15" s="49">
        <v>0.786</v>
      </c>
      <c r="F15" s="49">
        <v>0.867</v>
      </c>
      <c r="G15" s="49">
        <v>0.0</v>
      </c>
      <c r="H15" s="49">
        <v>0.5</v>
      </c>
      <c r="I15" s="50" t="str">
        <f>IMAGE("https://drive.google.com/uc?export=view&amp;id=1v3vDBi_Tto_l9g1pufR3eisWwi3JIw52")</f>
        <v/>
      </c>
      <c r="J15" s="47" t="s">
        <v>14</v>
      </c>
    </row>
    <row r="16">
      <c r="A16" s="48">
        <v>15.0</v>
      </c>
      <c r="B16" s="37" t="s">
        <v>88</v>
      </c>
      <c r="C16" s="37" t="s">
        <v>89</v>
      </c>
      <c r="D16" s="47" t="s">
        <v>90</v>
      </c>
      <c r="E16" s="49">
        <v>1.0</v>
      </c>
      <c r="F16" s="49">
        <v>0.0</v>
      </c>
      <c r="G16" s="49">
        <v>0.0</v>
      </c>
      <c r="H16" s="49">
        <v>0.6</v>
      </c>
      <c r="I16" s="50" t="str">
        <f>IMAGE("https://drive.google.com/uc?export=view&amp;id=1LwhIqBgkAyCQ8maH4JVJ5YAyeYkgQh71")</f>
        <v/>
      </c>
      <c r="J16" s="47" t="s">
        <v>14</v>
      </c>
    </row>
    <row r="17">
      <c r="A17" s="48">
        <v>16.0</v>
      </c>
      <c r="B17" s="37" t="s">
        <v>91</v>
      </c>
      <c r="C17" s="37" t="s">
        <v>92</v>
      </c>
      <c r="D17" s="47" t="s">
        <v>93</v>
      </c>
      <c r="E17" s="49">
        <v>0.75</v>
      </c>
      <c r="F17" s="49">
        <v>0.99</v>
      </c>
      <c r="G17" s="49">
        <v>1.0</v>
      </c>
      <c r="H17" s="49">
        <v>1.0</v>
      </c>
      <c r="I17" s="50" t="str">
        <f>IMAGE("https://drive.google.com/uc?export=view&amp;id=1EnMTvK7mPyPiH_sKcFe4S-aV_170DW-4")</f>
        <v/>
      </c>
      <c r="J17" s="47" t="s">
        <v>14</v>
      </c>
    </row>
    <row r="18">
      <c r="A18" s="48">
        <v>17.0</v>
      </c>
      <c r="B18" s="37" t="s">
        <v>94</v>
      </c>
      <c r="C18" s="37" t="s">
        <v>95</v>
      </c>
      <c r="D18" s="47" t="s">
        <v>96</v>
      </c>
      <c r="E18" s="49">
        <v>0.0</v>
      </c>
      <c r="F18" s="49">
        <v>0.568</v>
      </c>
      <c r="G18" s="49">
        <v>0.333</v>
      </c>
      <c r="H18" s="49">
        <v>0.429</v>
      </c>
      <c r="I18" s="50" t="str">
        <f>IMAGE("https://drive.google.com/uc?export=view&amp;id=1OA_pJZ8kpxJXMw4q_oGuZcXkRXPpTPSR")</f>
        <v/>
      </c>
      <c r="J18" s="47" t="s">
        <v>14</v>
      </c>
    </row>
    <row r="19">
      <c r="A19" s="48">
        <v>18.0</v>
      </c>
      <c r="B19" s="37" t="s">
        <v>97</v>
      </c>
      <c r="C19" s="37" t="s">
        <v>98</v>
      </c>
      <c r="D19" s="47" t="s">
        <v>99</v>
      </c>
      <c r="E19" s="49">
        <v>0.45</v>
      </c>
      <c r="F19" s="49">
        <v>0.782</v>
      </c>
      <c r="G19" s="49">
        <v>1.0</v>
      </c>
      <c r="H19" s="49">
        <v>1.0</v>
      </c>
      <c r="I19" s="50" t="str">
        <f>IMAGE("https://drive.google.com/uc?export=view&amp;id=1zglQx8AVt2aHHh6tJlSuxjHqo_wczlqU")</f>
        <v/>
      </c>
      <c r="J19" s="47" t="s">
        <v>14</v>
      </c>
    </row>
    <row r="20">
      <c r="A20" s="48">
        <v>19.0</v>
      </c>
      <c r="B20" s="37" t="s">
        <v>100</v>
      </c>
      <c r="C20" s="37" t="s">
        <v>101</v>
      </c>
      <c r="D20" s="47" t="s">
        <v>102</v>
      </c>
      <c r="E20" s="49">
        <v>0.231</v>
      </c>
      <c r="F20" s="49">
        <v>0.933</v>
      </c>
      <c r="G20" s="49">
        <v>0.5</v>
      </c>
      <c r="H20" s="49">
        <v>1.0</v>
      </c>
      <c r="I20" s="50" t="str">
        <f>IMAGE("https://drive.google.com/uc?export=view&amp;id=1uHbhg6sQyqSpA-Wec4Oom2cnx6TehU9S")</f>
        <v/>
      </c>
      <c r="J20" s="47" t="s">
        <v>14</v>
      </c>
    </row>
    <row r="21">
      <c r="A21" s="48">
        <v>20.0</v>
      </c>
      <c r="B21" s="37" t="s">
        <v>115</v>
      </c>
      <c r="C21" s="37" t="s">
        <v>116</v>
      </c>
      <c r="D21" s="47" t="s">
        <v>117</v>
      </c>
      <c r="E21" s="49">
        <v>0.9</v>
      </c>
      <c r="F21" s="49">
        <v>0.945</v>
      </c>
      <c r="G21" s="49">
        <v>0.833</v>
      </c>
      <c r="H21" s="49">
        <v>0.8</v>
      </c>
      <c r="I21" s="50" t="str">
        <f>IMAGE("https://drive.google.com/uc?export=view&amp;id=11k2Xh8eVwH7dr5ND96qeLKcJGyM6EYPO")</f>
        <v/>
      </c>
      <c r="J21" s="47" t="s">
        <v>14</v>
      </c>
    </row>
    <row r="22">
      <c r="A22" s="48">
        <v>21.0</v>
      </c>
      <c r="B22" s="37" t="s">
        <v>103</v>
      </c>
      <c r="C22" s="37" t="s">
        <v>104</v>
      </c>
      <c r="D22" s="47" t="s">
        <v>105</v>
      </c>
      <c r="E22" s="49">
        <v>1.0</v>
      </c>
      <c r="F22" s="49">
        <v>0.987</v>
      </c>
      <c r="G22" s="49">
        <v>1.0</v>
      </c>
      <c r="H22" s="49">
        <v>1.0</v>
      </c>
      <c r="I22" s="50" t="str">
        <f>IMAGE("https://drive.google.com/uc?export=view&amp;id=1wN25mWZD8SBh2eOvAO_VePszbcmRkLws")</f>
        <v/>
      </c>
      <c r="J22" s="47" t="s">
        <v>15</v>
      </c>
    </row>
    <row r="23">
      <c r="A23" s="48">
        <v>22.0</v>
      </c>
      <c r="B23" s="37" t="s">
        <v>106</v>
      </c>
      <c r="C23" s="37" t="s">
        <v>107</v>
      </c>
      <c r="D23" s="47" t="s">
        <v>108</v>
      </c>
      <c r="E23" s="49">
        <v>0.909</v>
      </c>
      <c r="F23" s="49">
        <v>0.0</v>
      </c>
      <c r="G23" s="49">
        <v>0.0</v>
      </c>
      <c r="H23" s="49">
        <v>0.5</v>
      </c>
      <c r="I23" s="50" t="str">
        <f>IMAGE("https://drive.google.com/uc?export=view&amp;id=1ono8yAQKlxu2oMNAU9ILnErQ6LuzaiEh")</f>
        <v/>
      </c>
      <c r="J23" s="47" t="s">
        <v>15</v>
      </c>
    </row>
    <row r="24">
      <c r="A24" s="48">
        <v>23.0</v>
      </c>
      <c r="B24" s="37" t="s">
        <v>109</v>
      </c>
      <c r="C24" s="37" t="s">
        <v>110</v>
      </c>
      <c r="D24" s="47" t="s">
        <v>111</v>
      </c>
      <c r="E24" s="49">
        <v>0.333</v>
      </c>
      <c r="F24" s="49">
        <v>0.907</v>
      </c>
      <c r="G24" s="49">
        <v>1.0</v>
      </c>
      <c r="H24" s="49">
        <v>0.833</v>
      </c>
      <c r="I24" s="50" t="str">
        <f>IMAGE("https://drive.google.com/uc?export=view&amp;id=1AERoGmVzEqVr3eJlh62Fo8Pejewyr1xK")</f>
        <v/>
      </c>
      <c r="J24" s="47" t="s">
        <v>15</v>
      </c>
    </row>
    <row r="25">
      <c r="A25" s="48">
        <v>24.0</v>
      </c>
      <c r="B25" s="37" t="s">
        <v>112</v>
      </c>
      <c r="C25" s="37" t="s">
        <v>113</v>
      </c>
      <c r="D25" s="47" t="s">
        <v>114</v>
      </c>
      <c r="E25" s="49">
        <v>0.733</v>
      </c>
      <c r="F25" s="49">
        <v>0.947</v>
      </c>
      <c r="G25" s="49">
        <v>0.833</v>
      </c>
      <c r="H25" s="49">
        <v>0.714</v>
      </c>
      <c r="I25" s="50" t="str">
        <f>IMAGE("https://drive.google.com/uc?export=view&amp;id=1Xmvj0ndXjo9UDUpWmqUipwFBEXiuIrBJ")</f>
        <v/>
      </c>
      <c r="J25" s="47" t="s">
        <v>15</v>
      </c>
    </row>
    <row r="26">
      <c r="A26" s="48">
        <v>25.0</v>
      </c>
      <c r="B26" s="37" t="s">
        <v>118</v>
      </c>
      <c r="C26" s="37" t="s">
        <v>119</v>
      </c>
      <c r="D26" s="47" t="s">
        <v>120</v>
      </c>
      <c r="E26" s="49">
        <v>0.417</v>
      </c>
      <c r="F26" s="49">
        <v>1.0</v>
      </c>
      <c r="G26" s="49">
        <v>0.0</v>
      </c>
      <c r="H26" s="49">
        <v>0.833</v>
      </c>
      <c r="I26" s="50" t="str">
        <f>IMAGE("https://drive.google.com/uc?export=view&amp;id=1twjvGs92Q9SZf2CFWlAOaWC0jBL954NB")</f>
        <v/>
      </c>
      <c r="J26" s="47" t="s">
        <v>15</v>
      </c>
    </row>
    <row r="27">
      <c r="A27" s="48">
        <v>26.0</v>
      </c>
      <c r="B27" s="37" t="s">
        <v>121</v>
      </c>
      <c r="C27" s="37" t="s">
        <v>122</v>
      </c>
      <c r="D27" s="47" t="s">
        <v>123</v>
      </c>
      <c r="E27" s="49">
        <v>0.917</v>
      </c>
      <c r="F27" s="49">
        <v>0.874</v>
      </c>
      <c r="G27" s="49">
        <v>0.0</v>
      </c>
      <c r="H27" s="49">
        <v>0.667</v>
      </c>
      <c r="I27" s="50" t="str">
        <f>IMAGE("https://drive.google.com/uc?export=view&amp;id=1rwSFn2jMq7gy515qsOkA2P3jNxORmBXX")</f>
        <v/>
      </c>
      <c r="J27" s="47" t="s">
        <v>15</v>
      </c>
    </row>
    <row r="28">
      <c r="A28" s="48">
        <v>27.0</v>
      </c>
      <c r="B28" s="37" t="s">
        <v>124</v>
      </c>
      <c r="C28" s="37" t="s">
        <v>125</v>
      </c>
      <c r="D28" s="47" t="s">
        <v>126</v>
      </c>
      <c r="E28" s="49">
        <v>0.0</v>
      </c>
      <c r="F28" s="49">
        <v>0.91</v>
      </c>
      <c r="G28" s="49">
        <v>0.833</v>
      </c>
      <c r="H28" s="49">
        <v>0.0</v>
      </c>
      <c r="I28" s="50" t="str">
        <f>IMAGE("https://drive.google.com/uc?export=view&amp;id=1U28eMG8BNVltWp7pEiNNWYgTqYsnAR3t")</f>
        <v/>
      </c>
      <c r="J28" s="47" t="s">
        <v>15</v>
      </c>
    </row>
    <row r="29">
      <c r="A29" s="48">
        <v>28.0</v>
      </c>
      <c r="B29" s="37" t="s">
        <v>127</v>
      </c>
      <c r="C29" s="37" t="s">
        <v>128</v>
      </c>
      <c r="D29" s="47" t="s">
        <v>129</v>
      </c>
      <c r="E29" s="49">
        <v>1.0</v>
      </c>
      <c r="F29" s="49">
        <v>0.997</v>
      </c>
      <c r="G29" s="49">
        <v>1.0</v>
      </c>
      <c r="H29" s="49">
        <v>1.0</v>
      </c>
      <c r="I29" s="50" t="str">
        <f>IMAGE("https://drive.google.com/uc?export=view&amp;id=1Geia3CnhkOEgr-lUaUtsACw2vChzGniU")</f>
        <v/>
      </c>
      <c r="J29" s="47" t="s">
        <v>15</v>
      </c>
    </row>
    <row r="30">
      <c r="A30" s="48">
        <v>29.0</v>
      </c>
      <c r="B30" s="37" t="s">
        <v>130</v>
      </c>
      <c r="C30" s="37" t="s">
        <v>131</v>
      </c>
      <c r="D30" s="47" t="s">
        <v>132</v>
      </c>
      <c r="E30" s="49">
        <v>0.615</v>
      </c>
      <c r="F30" s="49">
        <v>0.788</v>
      </c>
      <c r="G30" s="49">
        <v>1.0</v>
      </c>
      <c r="H30" s="49">
        <v>1.0</v>
      </c>
      <c r="I30" s="50" t="str">
        <f>IMAGE("https://drive.google.com/uc?export=view&amp;id=19uHDXwCi8xNh2zM_zNPikxrJYkrzq3gd")</f>
        <v/>
      </c>
      <c r="J30" s="47" t="s">
        <v>15</v>
      </c>
    </row>
    <row r="31">
      <c r="A31" s="48">
        <v>30.0</v>
      </c>
      <c r="B31" s="37" t="s">
        <v>133</v>
      </c>
      <c r="C31" s="37" t="s">
        <v>134</v>
      </c>
      <c r="D31" s="47" t="s">
        <v>135</v>
      </c>
      <c r="E31" s="49">
        <v>0.636</v>
      </c>
      <c r="F31" s="49">
        <v>0.0</v>
      </c>
      <c r="G31" s="49">
        <v>0.0</v>
      </c>
      <c r="H31" s="49">
        <v>0.833</v>
      </c>
      <c r="I31" s="50" t="str">
        <f>IMAGE("https://drive.google.com/uc?export=view&amp;id=16qR0NBfmgUhRWFcgED_caeRK0QVq4OCo")</f>
        <v/>
      </c>
      <c r="J31" s="47" t="s">
        <v>15</v>
      </c>
    </row>
    <row r="32">
      <c r="A32" s="48">
        <v>31.0</v>
      </c>
      <c r="B32" s="37" t="s">
        <v>136</v>
      </c>
      <c r="C32" s="37" t="s">
        <v>137</v>
      </c>
      <c r="D32" s="47" t="s">
        <v>138</v>
      </c>
      <c r="E32" s="49">
        <v>0.909</v>
      </c>
      <c r="F32" s="49">
        <v>0.61</v>
      </c>
      <c r="G32" s="49">
        <v>0.833</v>
      </c>
      <c r="H32" s="49">
        <v>0.8</v>
      </c>
      <c r="I32" s="50" t="str">
        <f>IMAGE("https://drive.google.com/uc?export=view&amp;id=1w58_q53naUe5yDOpHUZE0eZCypIjtstN")</f>
        <v/>
      </c>
      <c r="J32" s="47" t="s">
        <v>15</v>
      </c>
    </row>
    <row r="33">
      <c r="A33" s="48">
        <v>32.0</v>
      </c>
      <c r="B33" s="37" t="s">
        <v>139</v>
      </c>
      <c r="C33" s="37" t="s">
        <v>140</v>
      </c>
      <c r="D33" s="47" t="s">
        <v>141</v>
      </c>
      <c r="E33" s="49">
        <v>0.875</v>
      </c>
      <c r="F33" s="49">
        <v>1.0</v>
      </c>
      <c r="G33" s="49">
        <v>0.583</v>
      </c>
      <c r="H33" s="49">
        <v>0.4</v>
      </c>
      <c r="I33" s="50" t="str">
        <f>IMAGE("https://drive.google.com/uc?export=view&amp;id=1sej2nsS3g8Z8JVXnU2hEDexNryCnV1y9")</f>
        <v/>
      </c>
      <c r="J33" s="47" t="s">
        <v>15</v>
      </c>
    </row>
    <row r="34">
      <c r="A34" s="48">
        <v>33.0</v>
      </c>
      <c r="B34" s="37" t="s">
        <v>142</v>
      </c>
      <c r="C34" s="37" t="s">
        <v>143</v>
      </c>
      <c r="D34" s="47" t="s">
        <v>144</v>
      </c>
      <c r="E34" s="49">
        <v>1.0</v>
      </c>
      <c r="F34" s="49">
        <v>0.781</v>
      </c>
      <c r="G34" s="49">
        <v>0.0</v>
      </c>
      <c r="H34" s="49">
        <v>0.0</v>
      </c>
      <c r="I34" s="50" t="str">
        <f>IMAGE("https://drive.google.com/uc?export=view&amp;id=1_7Fkg3Ap8HPDFWWp45NdGVyyl7LRjthD")</f>
        <v/>
      </c>
      <c r="J34" s="47" t="s">
        <v>15</v>
      </c>
    </row>
    <row r="35">
      <c r="A35" s="48">
        <v>34.0</v>
      </c>
      <c r="B35" s="37" t="s">
        <v>145</v>
      </c>
      <c r="C35" s="37" t="s">
        <v>146</v>
      </c>
      <c r="D35" s="47" t="s">
        <v>147</v>
      </c>
      <c r="E35" s="49">
        <v>0.5</v>
      </c>
      <c r="F35" s="49">
        <v>0.687</v>
      </c>
      <c r="G35" s="49">
        <v>1.0</v>
      </c>
      <c r="H35" s="49">
        <v>1.0</v>
      </c>
      <c r="I35" s="50" t="str">
        <f>IMAGE("https://drive.google.com/uc?export=view&amp;id=1GYZS0Vk8guz6U0Xq94z-QejuTsPhPZKD")</f>
        <v/>
      </c>
      <c r="J35" s="47" t="s">
        <v>15</v>
      </c>
    </row>
    <row r="36">
      <c r="A36" s="48">
        <v>35.0</v>
      </c>
      <c r="B36" s="37" t="s">
        <v>148</v>
      </c>
      <c r="C36" s="37" t="s">
        <v>149</v>
      </c>
      <c r="D36" s="47" t="s">
        <v>150</v>
      </c>
      <c r="E36" s="49">
        <v>0.167</v>
      </c>
      <c r="F36" s="49">
        <v>0.633</v>
      </c>
      <c r="G36" s="49">
        <v>0.333</v>
      </c>
      <c r="H36" s="49">
        <v>0.75</v>
      </c>
      <c r="I36" s="50" t="str">
        <f>IMAGE("https://drive.google.com/uc?export=view&amp;id=1g9J73cfCWCbyNuXCrjNt522MTfFsAYX8")</f>
        <v/>
      </c>
      <c r="J36" s="47" t="s">
        <v>15</v>
      </c>
    </row>
    <row r="37">
      <c r="A37" s="48">
        <v>36.0</v>
      </c>
      <c r="B37" s="37" t="s">
        <v>151</v>
      </c>
      <c r="C37" s="37" t="s">
        <v>152</v>
      </c>
      <c r="D37" s="47" t="s">
        <v>153</v>
      </c>
      <c r="E37" s="49">
        <v>0.421</v>
      </c>
      <c r="F37" s="49">
        <v>0.888</v>
      </c>
      <c r="G37" s="49">
        <v>1.0</v>
      </c>
      <c r="H37" s="49">
        <v>0.375</v>
      </c>
      <c r="I37" s="50" t="str">
        <f>IMAGE("https://drive.google.com/uc?export=view&amp;id=1hTT1B6gIhiEZlrQEkr0HlX3oyXdMTj1B")</f>
        <v/>
      </c>
      <c r="J37" s="47" t="s">
        <v>15</v>
      </c>
    </row>
    <row r="38">
      <c r="A38" s="48">
        <v>37.0</v>
      </c>
      <c r="B38" s="37" t="s">
        <v>154</v>
      </c>
      <c r="C38" s="37" t="s">
        <v>155</v>
      </c>
      <c r="D38" s="47" t="s">
        <v>156</v>
      </c>
      <c r="E38" s="49">
        <v>0.556</v>
      </c>
      <c r="F38" s="49">
        <v>0.993</v>
      </c>
      <c r="G38" s="49">
        <v>1.0</v>
      </c>
      <c r="H38" s="49">
        <v>1.0</v>
      </c>
      <c r="I38" s="50" t="str">
        <f>IMAGE("https://drive.google.com/uc?export=view&amp;id=1fc26K7JoNzJqOhnJvK3R3069HDiuUNg8")</f>
        <v/>
      </c>
      <c r="J38" s="47" t="s">
        <v>15</v>
      </c>
    </row>
    <row r="39">
      <c r="A39" s="48">
        <v>38.0</v>
      </c>
      <c r="B39" s="37" t="s">
        <v>157</v>
      </c>
      <c r="C39" s="37" t="s">
        <v>158</v>
      </c>
      <c r="D39" s="47" t="s">
        <v>159</v>
      </c>
      <c r="E39" s="49">
        <v>1.0</v>
      </c>
      <c r="F39" s="49">
        <v>0.529</v>
      </c>
      <c r="G39" s="49">
        <v>0.583</v>
      </c>
      <c r="H39" s="49">
        <v>1.0</v>
      </c>
      <c r="I39" s="50" t="str">
        <f>IMAGE("https://drive.google.com/uc?export=view&amp;id=1WDloIopKysj6AnT744_jMJ0rcjeoOC8m")</f>
        <v/>
      </c>
      <c r="J39" s="47" t="s">
        <v>15</v>
      </c>
    </row>
    <row r="40">
      <c r="A40" s="48">
        <v>39.0</v>
      </c>
      <c r="B40" s="37" t="s">
        <v>160</v>
      </c>
      <c r="C40" s="37" t="s">
        <v>161</v>
      </c>
      <c r="D40" s="47" t="s">
        <v>162</v>
      </c>
      <c r="E40" s="49">
        <v>0.857</v>
      </c>
      <c r="F40" s="49">
        <v>0.914</v>
      </c>
      <c r="G40" s="49">
        <v>1.0</v>
      </c>
      <c r="H40" s="49">
        <v>0.75</v>
      </c>
      <c r="I40" s="50" t="str">
        <f>IMAGE("https://drive.google.com/uc?export=view&amp;id=1XoAzIZW89y4y49fQNjcBSdn81B0M2Yix")</f>
        <v/>
      </c>
      <c r="J40" s="47" t="s">
        <v>15</v>
      </c>
    </row>
    <row r="41">
      <c r="A41" s="48">
        <v>40.0</v>
      </c>
      <c r="B41" s="37" t="s">
        <v>163</v>
      </c>
      <c r="C41" s="37" t="s">
        <v>164</v>
      </c>
      <c r="D41" s="47" t="s">
        <v>165</v>
      </c>
      <c r="E41" s="49">
        <v>0.381</v>
      </c>
      <c r="F41" s="49">
        <v>0.617</v>
      </c>
      <c r="G41" s="49">
        <v>1.0</v>
      </c>
      <c r="H41" s="49">
        <v>0.333</v>
      </c>
      <c r="I41" s="50" t="str">
        <f>IMAGE("https://drive.google.com/uc?export=view&amp;id=1mubrba--d0x7zjdfChjJQBSlxlI1xslI")</f>
        <v/>
      </c>
      <c r="J41" s="47" t="s">
        <v>15</v>
      </c>
    </row>
    <row r="42">
      <c r="A42" s="48">
        <v>41.0</v>
      </c>
      <c r="B42" s="37" t="s">
        <v>166</v>
      </c>
      <c r="C42" s="37" t="s">
        <v>167</v>
      </c>
      <c r="D42" s="47" t="s">
        <v>168</v>
      </c>
      <c r="E42" s="49">
        <v>0.308</v>
      </c>
      <c r="F42" s="49">
        <v>0.935</v>
      </c>
      <c r="G42" s="49">
        <v>0.833</v>
      </c>
      <c r="H42" s="49">
        <v>0.0</v>
      </c>
      <c r="I42" s="50" t="str">
        <f>IMAGE("https://drive.google.com/uc?export=view&amp;id=1W4xIx8yezp7_U-WJLwsUbgFbErv_kfhQ")</f>
        <v/>
      </c>
      <c r="J42" s="47" t="s">
        <v>16</v>
      </c>
    </row>
    <row r="43">
      <c r="A43" s="48">
        <v>42.0</v>
      </c>
      <c r="B43" s="37" t="s">
        <v>169</v>
      </c>
      <c r="C43" s="37" t="s">
        <v>170</v>
      </c>
      <c r="D43" s="47" t="s">
        <v>171</v>
      </c>
      <c r="E43" s="49">
        <v>0.733</v>
      </c>
      <c r="F43" s="49">
        <v>0.724</v>
      </c>
      <c r="G43" s="49">
        <v>0.5</v>
      </c>
      <c r="H43" s="49">
        <v>0.0</v>
      </c>
      <c r="I43" s="50" t="str">
        <f>IMAGE("https://drive.google.com/uc?export=view&amp;id=13KAnbvmNygz_-roDb2gZhhkePpSJEFVw")</f>
        <v/>
      </c>
      <c r="J43" s="47" t="s">
        <v>16</v>
      </c>
    </row>
    <row r="44">
      <c r="A44" s="48">
        <v>43.0</v>
      </c>
      <c r="B44" s="37" t="s">
        <v>172</v>
      </c>
      <c r="C44" s="37" t="s">
        <v>173</v>
      </c>
      <c r="D44" s="47" t="s">
        <v>174</v>
      </c>
      <c r="E44" s="49">
        <v>0.875</v>
      </c>
      <c r="F44" s="49">
        <v>0.0</v>
      </c>
      <c r="G44" s="49">
        <v>0.0</v>
      </c>
      <c r="H44" s="49">
        <v>0.2</v>
      </c>
      <c r="I44" s="50" t="str">
        <f>IMAGE("https://drive.google.com/uc?export=view&amp;id=1p0umA6oALCJiPY5_Irhm8Vuc9Jwd-tGq")</f>
        <v/>
      </c>
      <c r="J44" s="47" t="s">
        <v>16</v>
      </c>
    </row>
    <row r="45">
      <c r="A45" s="48">
        <v>44.0</v>
      </c>
      <c r="B45" s="37" t="s">
        <v>175</v>
      </c>
      <c r="C45" s="37" t="s">
        <v>176</v>
      </c>
      <c r="D45" s="47" t="s">
        <v>177</v>
      </c>
      <c r="E45" s="49">
        <v>0.667</v>
      </c>
      <c r="F45" s="49">
        <v>0.0</v>
      </c>
      <c r="G45" s="49">
        <v>0.0</v>
      </c>
      <c r="H45" s="49">
        <v>0.333</v>
      </c>
      <c r="I45" s="50" t="str">
        <f>IMAGE("https://drive.google.com/uc?export=view&amp;id=1mqSHgo2h4GpJNcjeUwDWg6YbRXGip_bh")</f>
        <v/>
      </c>
      <c r="J45" s="47" t="s">
        <v>16</v>
      </c>
    </row>
    <row r="46">
      <c r="A46" s="48">
        <v>45.0</v>
      </c>
      <c r="B46" s="37" t="s">
        <v>178</v>
      </c>
      <c r="C46" s="37" t="s">
        <v>179</v>
      </c>
      <c r="D46" s="47" t="s">
        <v>180</v>
      </c>
      <c r="E46" s="49">
        <v>0.111</v>
      </c>
      <c r="F46" s="49">
        <v>0.863</v>
      </c>
      <c r="G46" s="49">
        <v>0.0</v>
      </c>
      <c r="H46" s="49">
        <v>0.0</v>
      </c>
      <c r="I46" s="50" t="str">
        <f>IMAGE("https://drive.google.com/uc?export=view&amp;id=1yPmKAELlL9sBrFvofBw-OVm1mQaxVPwR")</f>
        <v/>
      </c>
      <c r="J46" s="47" t="s">
        <v>16</v>
      </c>
    </row>
    <row r="47">
      <c r="A47" s="48">
        <v>46.0</v>
      </c>
      <c r="B47" s="37" t="s">
        <v>181</v>
      </c>
      <c r="C47" s="37" t="s">
        <v>182</v>
      </c>
      <c r="D47" s="47" t="s">
        <v>183</v>
      </c>
      <c r="E47" s="49">
        <v>1.0</v>
      </c>
      <c r="F47" s="49">
        <v>0.889</v>
      </c>
      <c r="G47" s="49">
        <v>1.0</v>
      </c>
      <c r="H47" s="49">
        <v>1.0</v>
      </c>
      <c r="I47" s="50" t="str">
        <f>IMAGE("https://drive.google.com/uc?export=view&amp;id=1fkidZgCJZo8Fna4aJigCzZr52MHiqXhe")</f>
        <v/>
      </c>
      <c r="J47" s="47" t="s">
        <v>16</v>
      </c>
    </row>
    <row r="48">
      <c r="A48" s="48">
        <v>47.0</v>
      </c>
      <c r="B48" s="37" t="s">
        <v>184</v>
      </c>
      <c r="C48" s="37" t="s">
        <v>185</v>
      </c>
      <c r="D48" s="47" t="s">
        <v>186</v>
      </c>
      <c r="E48" s="49">
        <v>1.0</v>
      </c>
      <c r="F48" s="49">
        <v>0.821</v>
      </c>
      <c r="G48" s="49">
        <v>1.0</v>
      </c>
      <c r="H48" s="49">
        <v>1.0</v>
      </c>
      <c r="I48" s="50" t="str">
        <f>IMAGE("https://drive.google.com/uc?export=view&amp;id=1GuRIAmAzLBH6Tsyc9-roTRnBoP0XbWvv")</f>
        <v/>
      </c>
      <c r="J48" s="47" t="s">
        <v>16</v>
      </c>
    </row>
    <row r="49">
      <c r="A49" s="48">
        <v>48.0</v>
      </c>
      <c r="B49" s="37" t="s">
        <v>187</v>
      </c>
      <c r="C49" s="37" t="s">
        <v>188</v>
      </c>
      <c r="D49" s="47" t="s">
        <v>189</v>
      </c>
      <c r="E49" s="49">
        <v>0.4</v>
      </c>
      <c r="F49" s="49">
        <v>0.995</v>
      </c>
      <c r="G49" s="49">
        <v>1.0</v>
      </c>
      <c r="H49" s="49">
        <v>0.0</v>
      </c>
      <c r="I49" s="50" t="str">
        <f>IMAGE("https://drive.google.com/uc?export=view&amp;id=1lF4BBMER-oKPQT-ArVcPLKZI6AYJrP0v")</f>
        <v/>
      </c>
      <c r="J49" s="47" t="s">
        <v>16</v>
      </c>
    </row>
    <row r="50">
      <c r="A50" s="48">
        <v>49.0</v>
      </c>
      <c r="B50" s="37" t="s">
        <v>190</v>
      </c>
      <c r="C50" s="37" t="s">
        <v>191</v>
      </c>
      <c r="D50" s="47" t="s">
        <v>192</v>
      </c>
      <c r="E50" s="49">
        <v>0.0</v>
      </c>
      <c r="F50" s="49">
        <v>0.764</v>
      </c>
      <c r="G50" s="49">
        <v>1.0</v>
      </c>
      <c r="H50" s="49">
        <v>1.0</v>
      </c>
      <c r="I50" s="50" t="str">
        <f>IMAGE("https://drive.google.com/uc?export=view&amp;id=1JQPWoOeZZZPErLDL25Fd3tI_Kci-3ycf")</f>
        <v/>
      </c>
      <c r="J50" s="47" t="s">
        <v>16</v>
      </c>
    </row>
    <row r="51">
      <c r="A51" s="48">
        <v>50.0</v>
      </c>
      <c r="B51" s="37" t="s">
        <v>193</v>
      </c>
      <c r="C51" s="37" t="s">
        <v>194</v>
      </c>
      <c r="D51" s="47" t="s">
        <v>195</v>
      </c>
      <c r="E51" s="49">
        <v>0.222</v>
      </c>
      <c r="F51" s="49">
        <v>0.389</v>
      </c>
      <c r="G51" s="49">
        <v>0.333</v>
      </c>
      <c r="H51" s="49">
        <v>0.0</v>
      </c>
      <c r="I51" s="50" t="str">
        <f>IMAGE("https://drive.google.com/uc?export=view&amp;id=1F0M_5Bgc1foHunLrgY4xgC33q47AMySd")</f>
        <v/>
      </c>
      <c r="J51" s="47" t="s">
        <v>16</v>
      </c>
    </row>
    <row r="52">
      <c r="A52" s="48">
        <v>51.0</v>
      </c>
      <c r="B52" s="37" t="s">
        <v>196</v>
      </c>
      <c r="C52" s="37" t="s">
        <v>197</v>
      </c>
      <c r="D52" s="47" t="s">
        <v>198</v>
      </c>
      <c r="E52" s="49">
        <v>1.0</v>
      </c>
      <c r="F52" s="49">
        <v>0.0</v>
      </c>
      <c r="G52" s="49">
        <v>0.0</v>
      </c>
      <c r="H52" s="49">
        <v>0.571</v>
      </c>
      <c r="I52" s="50" t="str">
        <f>IMAGE("https://drive.google.com/uc?export=view&amp;id=18anli5Uya-MohZyBN7MI6gZYWv8SLaQj")</f>
        <v/>
      </c>
      <c r="J52" s="47" t="s">
        <v>16</v>
      </c>
    </row>
    <row r="53">
      <c r="A53" s="48">
        <v>52.0</v>
      </c>
      <c r="B53" s="37" t="s">
        <v>199</v>
      </c>
      <c r="C53" s="37" t="s">
        <v>200</v>
      </c>
      <c r="D53" s="47" t="s">
        <v>201</v>
      </c>
      <c r="E53" s="49">
        <v>0.25</v>
      </c>
      <c r="F53" s="49">
        <v>0.862</v>
      </c>
      <c r="G53" s="49">
        <v>0.5</v>
      </c>
      <c r="H53" s="49">
        <v>0.857</v>
      </c>
      <c r="I53" s="50" t="str">
        <f>IMAGE("https://drive.google.com/uc?export=view&amp;id=1KutkJ5-U0ZD_Jli1HXn7GZrZJXLyz6YJ")</f>
        <v/>
      </c>
      <c r="J53" s="47" t="s">
        <v>16</v>
      </c>
    </row>
    <row r="54">
      <c r="A54" s="48">
        <v>53.0</v>
      </c>
      <c r="B54" s="37" t="s">
        <v>202</v>
      </c>
      <c r="C54" s="37" t="s">
        <v>203</v>
      </c>
      <c r="D54" s="47" t="s">
        <v>204</v>
      </c>
      <c r="E54" s="49">
        <v>0.462</v>
      </c>
      <c r="F54" s="49">
        <v>0.605</v>
      </c>
      <c r="G54" s="49">
        <v>0.0</v>
      </c>
      <c r="H54" s="49">
        <v>1.0</v>
      </c>
      <c r="I54" s="50" t="str">
        <f>IMAGE("https://drive.google.com/uc?export=view&amp;id=1BjIT34BE5CT_6n7GJnrYjIuv9NDs9gft")</f>
        <v/>
      </c>
      <c r="J54" s="47" t="s">
        <v>16</v>
      </c>
    </row>
    <row r="55">
      <c r="A55" s="48">
        <v>54.0</v>
      </c>
      <c r="B55" s="37" t="s">
        <v>205</v>
      </c>
      <c r="C55" s="37" t="s">
        <v>206</v>
      </c>
      <c r="D55" s="47" t="s">
        <v>207</v>
      </c>
      <c r="E55" s="49">
        <v>0.0</v>
      </c>
      <c r="F55" s="49">
        <v>1.0</v>
      </c>
      <c r="G55" s="49">
        <v>0.5</v>
      </c>
      <c r="H55" s="49">
        <v>0.0</v>
      </c>
      <c r="I55" s="50" t="str">
        <f>IMAGE("https://drive.google.com/uc?export=view&amp;id=1BnknDk_7LOEv8jrFLoPv7Fm6YJTa_p_9")</f>
        <v/>
      </c>
      <c r="J55" s="47" t="s">
        <v>16</v>
      </c>
    </row>
    <row r="56">
      <c r="A56" s="48">
        <v>55.0</v>
      </c>
      <c r="B56" s="37" t="s">
        <v>208</v>
      </c>
      <c r="C56" s="37" t="s">
        <v>209</v>
      </c>
      <c r="D56" s="47" t="s">
        <v>210</v>
      </c>
      <c r="E56" s="49">
        <v>1.0</v>
      </c>
      <c r="F56" s="49">
        <v>0.763</v>
      </c>
      <c r="G56" s="49">
        <v>1.0</v>
      </c>
      <c r="H56" s="49">
        <v>0.429</v>
      </c>
      <c r="I56" s="50" t="str">
        <f>IMAGE("https://drive.google.com/uc?export=view&amp;id=1uN3iR3D6k1_FL7A3VXf4V0C_j_PE0_so")</f>
        <v/>
      </c>
      <c r="J56" s="47" t="s">
        <v>16</v>
      </c>
    </row>
    <row r="57">
      <c r="A57" s="48">
        <v>56.0</v>
      </c>
      <c r="B57" s="37" t="s">
        <v>211</v>
      </c>
      <c r="C57" s="37" t="s">
        <v>212</v>
      </c>
      <c r="D57" s="47" t="s">
        <v>213</v>
      </c>
      <c r="E57" s="49">
        <v>0.889</v>
      </c>
      <c r="F57" s="49">
        <v>0.926</v>
      </c>
      <c r="G57" s="49">
        <v>1.0</v>
      </c>
      <c r="H57" s="49">
        <v>1.0</v>
      </c>
      <c r="I57" s="50" t="str">
        <f>IMAGE("https://drive.google.com/uc?export=view&amp;id=1z2pmPIOtG2-I9RdMWlS3JGjEzRINo-1E")</f>
        <v/>
      </c>
      <c r="J57" s="47" t="s">
        <v>16</v>
      </c>
    </row>
    <row r="58">
      <c r="A58" s="48">
        <v>57.0</v>
      </c>
      <c r="B58" s="37" t="s">
        <v>214</v>
      </c>
      <c r="C58" s="37" t="s">
        <v>215</v>
      </c>
      <c r="D58" s="47" t="s">
        <v>216</v>
      </c>
      <c r="E58" s="49">
        <v>1.0</v>
      </c>
      <c r="F58" s="49">
        <v>0.741</v>
      </c>
      <c r="G58" s="49">
        <v>0.833</v>
      </c>
      <c r="H58" s="49">
        <v>1.0</v>
      </c>
      <c r="I58" s="50" t="str">
        <f>IMAGE("https://drive.google.com/uc?export=view&amp;id=1F04b_S7xX2MJ1oB5kaegDqbKzbpwoVoB")</f>
        <v/>
      </c>
      <c r="J58" s="47" t="s">
        <v>16</v>
      </c>
    </row>
    <row r="59">
      <c r="A59" s="48">
        <v>58.0</v>
      </c>
      <c r="B59" s="37" t="s">
        <v>217</v>
      </c>
      <c r="C59" s="37" t="s">
        <v>218</v>
      </c>
      <c r="D59" s="47" t="s">
        <v>219</v>
      </c>
      <c r="E59" s="49">
        <v>0.714</v>
      </c>
      <c r="F59" s="49">
        <v>0.803</v>
      </c>
      <c r="G59" s="49">
        <v>0.0</v>
      </c>
      <c r="H59" s="49">
        <v>0.0</v>
      </c>
      <c r="I59" s="50" t="str">
        <f>IMAGE("https://drive.google.com/uc?export=view&amp;id=1LkOzJNVZWdyvawAH45jPXoDnqwPUfT0q")</f>
        <v/>
      </c>
      <c r="J59" s="47" t="s">
        <v>16</v>
      </c>
    </row>
    <row r="60">
      <c r="A60" s="48">
        <v>59.0</v>
      </c>
      <c r="B60" s="37" t="s">
        <v>220</v>
      </c>
      <c r="C60" s="37" t="s">
        <v>221</v>
      </c>
      <c r="D60" s="47" t="s">
        <v>222</v>
      </c>
      <c r="E60" s="49">
        <v>0.667</v>
      </c>
      <c r="F60" s="49">
        <v>0.719</v>
      </c>
      <c r="G60" s="49">
        <v>1.0</v>
      </c>
      <c r="H60" s="49">
        <v>0.5</v>
      </c>
      <c r="I60" s="50" t="str">
        <f>IMAGE("https://drive.google.com/uc?export=view&amp;id=1kcJKuY1Hv8Fh5YMx_MdJKJujFuOx1j1u")</f>
        <v/>
      </c>
      <c r="J60" s="47" t="s">
        <v>16</v>
      </c>
    </row>
    <row r="61">
      <c r="A61" s="48">
        <v>60.0</v>
      </c>
      <c r="B61" s="37" t="s">
        <v>223</v>
      </c>
      <c r="C61" s="37" t="s">
        <v>224</v>
      </c>
      <c r="D61" s="47" t="s">
        <v>225</v>
      </c>
      <c r="E61" s="49">
        <v>0.875</v>
      </c>
      <c r="F61" s="49">
        <v>0.687</v>
      </c>
      <c r="G61" s="49">
        <v>1.0</v>
      </c>
      <c r="H61" s="49">
        <v>1.0</v>
      </c>
      <c r="I61" s="50" t="str">
        <f>IMAGE("https://drive.google.com/uc?export=view&amp;id=1wYpspIvsRCZM5jxPsVgac1NzhOMXdc98")</f>
        <v/>
      </c>
      <c r="J61" s="47" t="s">
        <v>16</v>
      </c>
    </row>
    <row r="62">
      <c r="A62" s="48">
        <v>61.0</v>
      </c>
      <c r="B62" s="37" t="s">
        <v>226</v>
      </c>
      <c r="C62" s="37" t="s">
        <v>227</v>
      </c>
      <c r="D62" s="47" t="s">
        <v>228</v>
      </c>
      <c r="E62" s="49">
        <v>1.0</v>
      </c>
      <c r="F62" s="49">
        <v>0.0</v>
      </c>
      <c r="G62" s="49">
        <v>0.0</v>
      </c>
      <c r="H62" s="49">
        <v>1.0</v>
      </c>
      <c r="I62" s="50" t="str">
        <f>IMAGE("https://drive.google.com/uc?export=view&amp;id=1uFlYVq6dWmlQ629Fu8GGgK0oXMbKRF3c")</f>
        <v/>
      </c>
      <c r="J62" s="47" t="s">
        <v>17</v>
      </c>
    </row>
    <row r="63">
      <c r="A63" s="48">
        <v>62.0</v>
      </c>
      <c r="B63" s="37" t="s">
        <v>229</v>
      </c>
      <c r="C63" s="37" t="s">
        <v>230</v>
      </c>
      <c r="D63" s="47" t="s">
        <v>231</v>
      </c>
      <c r="E63" s="49">
        <v>0.818</v>
      </c>
      <c r="F63" s="49">
        <v>0.0</v>
      </c>
      <c r="G63" s="49">
        <v>0.0</v>
      </c>
      <c r="H63" s="49">
        <v>0.8</v>
      </c>
      <c r="I63" s="50" t="str">
        <f>IMAGE("https://drive.google.com/uc?export=view&amp;id=1kv54n0gylMmhluXY0Qnkx8xuriQV38Ua")</f>
        <v/>
      </c>
      <c r="J63" s="47" t="s">
        <v>17</v>
      </c>
    </row>
    <row r="64">
      <c r="A64" s="48">
        <v>63.0</v>
      </c>
      <c r="B64" s="37" t="s">
        <v>232</v>
      </c>
      <c r="C64" s="37" t="s">
        <v>233</v>
      </c>
      <c r="D64" s="47" t="s">
        <v>234</v>
      </c>
      <c r="E64" s="49">
        <v>0.111</v>
      </c>
      <c r="F64" s="49">
        <v>0.797</v>
      </c>
      <c r="G64" s="49">
        <v>1.0</v>
      </c>
      <c r="H64" s="49">
        <v>0.333</v>
      </c>
      <c r="I64" s="50" t="str">
        <f>IMAGE("https://drive.google.com/uc?export=view&amp;id=1Q87fs95bOFxqxf9wOwmuAQdzNnPainK4")</f>
        <v/>
      </c>
      <c r="J64" s="47" t="s">
        <v>17</v>
      </c>
    </row>
    <row r="65">
      <c r="A65" s="48">
        <v>64.0</v>
      </c>
      <c r="B65" s="37" t="s">
        <v>235</v>
      </c>
      <c r="C65" s="37" t="s">
        <v>236</v>
      </c>
      <c r="D65" s="47" t="s">
        <v>237</v>
      </c>
      <c r="E65" s="49">
        <v>0.25</v>
      </c>
      <c r="F65" s="49">
        <v>0.827</v>
      </c>
      <c r="G65" s="49">
        <v>1.0</v>
      </c>
      <c r="H65" s="49">
        <v>0.333</v>
      </c>
      <c r="I65" s="50" t="str">
        <f>IMAGE("https://drive.google.com/uc?export=view&amp;id=1NThe3I-LCoRfm3TOHGIylS_UNmX61uVI")</f>
        <v/>
      </c>
      <c r="J65" s="47" t="s">
        <v>17</v>
      </c>
    </row>
    <row r="66">
      <c r="A66" s="48">
        <v>65.0</v>
      </c>
      <c r="B66" s="37" t="s">
        <v>238</v>
      </c>
      <c r="C66" s="37" t="s">
        <v>239</v>
      </c>
      <c r="D66" s="47" t="s">
        <v>240</v>
      </c>
      <c r="E66" s="49">
        <v>1.0</v>
      </c>
      <c r="F66" s="49">
        <v>0.601</v>
      </c>
      <c r="G66" s="49">
        <v>0.583</v>
      </c>
      <c r="H66" s="49">
        <v>1.0</v>
      </c>
      <c r="I66" s="50" t="str">
        <f>IMAGE("https://drive.google.com/uc?export=view&amp;id=1jBdmNu1VtCALQmAklL5tjQcwZUPbxwDl")</f>
        <v/>
      </c>
      <c r="J66" s="47" t="s">
        <v>17</v>
      </c>
    </row>
    <row r="67">
      <c r="A67" s="48">
        <v>66.0</v>
      </c>
      <c r="B67" s="37" t="s">
        <v>241</v>
      </c>
      <c r="C67" s="37" t="s">
        <v>242</v>
      </c>
      <c r="D67" s="47" t="s">
        <v>243</v>
      </c>
      <c r="E67" s="49">
        <v>0.917</v>
      </c>
      <c r="F67" s="49">
        <v>0.0</v>
      </c>
      <c r="G67" s="49">
        <v>0.0</v>
      </c>
      <c r="H67" s="49">
        <v>0.833</v>
      </c>
      <c r="I67" s="50" t="str">
        <f>IMAGE("https://drive.google.com/uc?export=view&amp;id=1iqffCmtCGaHX4Ei3hd9y5PlBKdVoeDg3")</f>
        <v/>
      </c>
      <c r="J67" s="47" t="s">
        <v>17</v>
      </c>
    </row>
    <row r="68">
      <c r="A68" s="48">
        <v>67.0</v>
      </c>
      <c r="B68" s="37" t="s">
        <v>244</v>
      </c>
      <c r="C68" s="37" t="s">
        <v>245</v>
      </c>
      <c r="D68" s="47" t="s">
        <v>246</v>
      </c>
      <c r="E68" s="49">
        <v>0.667</v>
      </c>
      <c r="F68" s="49">
        <v>0.637</v>
      </c>
      <c r="G68" s="49">
        <v>0.0</v>
      </c>
      <c r="H68" s="49">
        <v>0.75</v>
      </c>
      <c r="I68" s="50" t="str">
        <f>IMAGE("https://drive.google.com/uc?export=view&amp;id=1vs1C56Z_EVjyDuFeiNeVXZPu9RO_L1_T")</f>
        <v/>
      </c>
      <c r="J68" s="47" t="s">
        <v>17</v>
      </c>
    </row>
    <row r="69">
      <c r="A69" s="48">
        <v>68.0</v>
      </c>
      <c r="B69" s="37" t="s">
        <v>247</v>
      </c>
      <c r="C69" s="37" t="s">
        <v>248</v>
      </c>
      <c r="D69" s="47" t="s">
        <v>249</v>
      </c>
      <c r="E69" s="49">
        <v>1.0</v>
      </c>
      <c r="F69" s="49">
        <v>0.0</v>
      </c>
      <c r="G69" s="49">
        <v>0.0</v>
      </c>
      <c r="H69" s="49">
        <v>0.833</v>
      </c>
      <c r="I69" s="50" t="str">
        <f>IMAGE("https://drive.google.com/uc?export=view&amp;id=1uMgvkwNStSgXGIN25euRxEVKvjY-CpgW")</f>
        <v/>
      </c>
      <c r="J69" s="47" t="s">
        <v>17</v>
      </c>
    </row>
    <row r="70">
      <c r="A70" s="48">
        <v>69.0</v>
      </c>
      <c r="B70" s="37" t="s">
        <v>250</v>
      </c>
      <c r="C70" s="37" t="s">
        <v>251</v>
      </c>
      <c r="D70" s="47" t="s">
        <v>252</v>
      </c>
      <c r="E70" s="49">
        <v>0.692</v>
      </c>
      <c r="F70" s="49">
        <v>0.0</v>
      </c>
      <c r="G70" s="49">
        <v>0.0</v>
      </c>
      <c r="H70" s="49">
        <v>0.857</v>
      </c>
      <c r="I70" s="50" t="str">
        <f>IMAGE("https://drive.google.com/uc?export=view&amp;id=1jw-5ZWzDr5PS8nGAVDqKEO-SXszidSu3")</f>
        <v/>
      </c>
      <c r="J70" s="47" t="s">
        <v>17</v>
      </c>
    </row>
    <row r="71">
      <c r="A71" s="48">
        <v>70.0</v>
      </c>
      <c r="B71" s="37" t="s">
        <v>253</v>
      </c>
      <c r="C71" s="37" t="s">
        <v>254</v>
      </c>
      <c r="D71" s="47" t="s">
        <v>255</v>
      </c>
      <c r="E71" s="49">
        <v>0.636</v>
      </c>
      <c r="F71" s="49">
        <v>0.94</v>
      </c>
      <c r="G71" s="49">
        <v>1.0</v>
      </c>
      <c r="H71" s="49">
        <v>0.25</v>
      </c>
      <c r="I71" s="50" t="str">
        <f>IMAGE("https://drive.google.com/uc?export=view&amp;id=1nzAN9GdhpoIDOnim1qlUZ5m8NPmzeffG")</f>
        <v/>
      </c>
      <c r="J71" s="47" t="s">
        <v>17</v>
      </c>
    </row>
    <row r="72">
      <c r="A72" s="48">
        <v>71.0</v>
      </c>
      <c r="B72" s="37" t="s">
        <v>256</v>
      </c>
      <c r="C72" s="37" t="s">
        <v>257</v>
      </c>
      <c r="D72" s="47" t="s">
        <v>258</v>
      </c>
      <c r="E72" s="49">
        <v>0.0</v>
      </c>
      <c r="F72" s="49">
        <v>0.589</v>
      </c>
      <c r="G72" s="49">
        <v>0.833</v>
      </c>
      <c r="H72" s="49">
        <v>0.167</v>
      </c>
      <c r="I72" s="50" t="str">
        <f>IMAGE("https://drive.google.com/uc?export=view&amp;id=1hwjFnzCD5e9TpQDxCWyAeTrHKdpwr4mT")</f>
        <v/>
      </c>
      <c r="J72" s="47" t="s">
        <v>17</v>
      </c>
    </row>
    <row r="73">
      <c r="A73" s="48">
        <v>72.0</v>
      </c>
      <c r="B73" s="37" t="s">
        <v>259</v>
      </c>
      <c r="C73" s="37" t="s">
        <v>260</v>
      </c>
      <c r="D73" s="47" t="s">
        <v>261</v>
      </c>
      <c r="E73" s="49">
        <v>0.857</v>
      </c>
      <c r="F73" s="49">
        <v>0.0</v>
      </c>
      <c r="G73" s="49">
        <v>0.0</v>
      </c>
      <c r="H73" s="49">
        <v>0.0</v>
      </c>
      <c r="I73" s="50" t="str">
        <f>IMAGE("https://drive.google.com/uc?export=view&amp;id=10mhDHsMU6OWSJdzXOmCAH07FSnJxxfE-")</f>
        <v/>
      </c>
      <c r="J73" s="47" t="s">
        <v>17</v>
      </c>
    </row>
    <row r="74">
      <c r="A74" s="48">
        <v>73.0</v>
      </c>
      <c r="B74" s="37" t="s">
        <v>262</v>
      </c>
      <c r="C74" s="37" t="s">
        <v>263</v>
      </c>
      <c r="D74" s="47" t="s">
        <v>264</v>
      </c>
      <c r="E74" s="49">
        <v>0.0</v>
      </c>
      <c r="F74" s="49">
        <v>1.0</v>
      </c>
      <c r="G74" s="49">
        <v>0.0</v>
      </c>
      <c r="H74" s="49">
        <v>1.0</v>
      </c>
      <c r="I74" s="50" t="str">
        <f>IMAGE("https://drive.google.com/uc?export=view&amp;id=1qTEbfOgyDguepKtBYIfHvcbse6P_Z3ZG")</f>
        <v/>
      </c>
      <c r="J74" s="47" t="s">
        <v>17</v>
      </c>
    </row>
    <row r="75">
      <c r="A75" s="48">
        <v>74.0</v>
      </c>
      <c r="B75" s="37" t="s">
        <v>265</v>
      </c>
      <c r="C75" s="37" t="s">
        <v>266</v>
      </c>
      <c r="D75" s="47" t="s">
        <v>267</v>
      </c>
      <c r="E75" s="49">
        <v>0.5</v>
      </c>
      <c r="F75" s="49">
        <v>0.978</v>
      </c>
      <c r="G75" s="49">
        <v>0.333</v>
      </c>
      <c r="H75" s="49">
        <v>1.0</v>
      </c>
      <c r="I75" s="50" t="str">
        <f>IMAGE("https://drive.google.com/uc?export=view&amp;id=1SfHJO37HjRiEYtR0DDD7dh0sDLFPyKVJ")</f>
        <v/>
      </c>
      <c r="J75" s="47" t="s">
        <v>17</v>
      </c>
    </row>
    <row r="76">
      <c r="A76" s="48">
        <v>75.0</v>
      </c>
      <c r="B76" s="37" t="s">
        <v>268</v>
      </c>
      <c r="C76" s="37" t="s">
        <v>269</v>
      </c>
      <c r="D76" s="47" t="s">
        <v>270</v>
      </c>
      <c r="E76" s="49">
        <v>0.909</v>
      </c>
      <c r="F76" s="49">
        <v>0.551</v>
      </c>
      <c r="G76" s="49">
        <v>1.0</v>
      </c>
      <c r="H76" s="49">
        <v>0.444</v>
      </c>
      <c r="I76" s="50" t="str">
        <f>IMAGE("https://drive.google.com/uc?export=view&amp;id=1f_lV53csNw6SGjNFeCrheiZP896taysg")</f>
        <v/>
      </c>
      <c r="J76" s="47" t="s">
        <v>17</v>
      </c>
    </row>
    <row r="77">
      <c r="A77" s="48">
        <v>76.0</v>
      </c>
      <c r="B77" s="37" t="s">
        <v>271</v>
      </c>
      <c r="C77" s="37" t="s">
        <v>272</v>
      </c>
      <c r="D77" s="47" t="s">
        <v>273</v>
      </c>
      <c r="E77" s="49">
        <v>0.778</v>
      </c>
      <c r="F77" s="49">
        <v>0.492</v>
      </c>
      <c r="G77" s="49">
        <v>1.0</v>
      </c>
      <c r="H77" s="49">
        <v>0.75</v>
      </c>
      <c r="I77" s="50" t="str">
        <f>IMAGE("https://drive.google.com/uc?export=view&amp;id=1dE4WhAA55Z0b0W8gUOWslty4AsDaTN1U")</f>
        <v/>
      </c>
      <c r="J77" s="47" t="s">
        <v>17</v>
      </c>
    </row>
    <row r="78">
      <c r="A78" s="48">
        <v>77.0</v>
      </c>
      <c r="B78" s="37" t="s">
        <v>274</v>
      </c>
      <c r="C78" s="37" t="s">
        <v>275</v>
      </c>
      <c r="D78" s="47" t="s">
        <v>276</v>
      </c>
      <c r="E78" s="49">
        <v>0.0</v>
      </c>
      <c r="F78" s="49">
        <v>0.611</v>
      </c>
      <c r="G78" s="49">
        <v>1.0</v>
      </c>
      <c r="H78" s="49">
        <v>1.0</v>
      </c>
      <c r="I78" s="50" t="str">
        <f>IMAGE("https://drive.google.com/uc?export=view&amp;id=1LXf_zJaN0WDTT61nkV9b996mH4smXG6N")</f>
        <v/>
      </c>
      <c r="J78" s="47" t="s">
        <v>17</v>
      </c>
    </row>
    <row r="79">
      <c r="A79" s="48">
        <v>78.0</v>
      </c>
      <c r="B79" s="37" t="s">
        <v>277</v>
      </c>
      <c r="C79" s="37" t="s">
        <v>278</v>
      </c>
      <c r="D79" s="47" t="s">
        <v>279</v>
      </c>
      <c r="E79" s="49">
        <v>0.5</v>
      </c>
      <c r="F79" s="49">
        <v>1.0</v>
      </c>
      <c r="G79" s="49">
        <v>0.5</v>
      </c>
      <c r="H79" s="49">
        <v>1.0</v>
      </c>
      <c r="I79" s="50" t="str">
        <f>IMAGE("https://drive.google.com/uc?export=view&amp;id=175n6mpYgKwk7BFRj3FRdnjxbiqkU4rTZ")</f>
        <v/>
      </c>
      <c r="J79" s="47" t="s">
        <v>17</v>
      </c>
    </row>
    <row r="80">
      <c r="A80" s="48">
        <v>79.0</v>
      </c>
      <c r="B80" s="37" t="s">
        <v>280</v>
      </c>
      <c r="C80" s="37" t="s">
        <v>281</v>
      </c>
      <c r="D80" s="47" t="s">
        <v>282</v>
      </c>
      <c r="E80" s="49">
        <v>0.6</v>
      </c>
      <c r="F80" s="49">
        <v>0.0</v>
      </c>
      <c r="G80" s="49">
        <v>0.0</v>
      </c>
      <c r="H80" s="49">
        <v>0.0</v>
      </c>
      <c r="I80" s="50" t="str">
        <f>IMAGE("https://drive.google.com/uc?export=view&amp;id=1h_dN3xp9cAkAiI7fms_HH8-bsP3OpOIV")</f>
        <v/>
      </c>
      <c r="J80" s="47" t="s">
        <v>17</v>
      </c>
    </row>
    <row r="81">
      <c r="A81" s="48">
        <v>80.0</v>
      </c>
      <c r="B81" s="37" t="s">
        <v>283</v>
      </c>
      <c r="C81" s="37" t="s">
        <v>284</v>
      </c>
      <c r="D81" s="47" t="s">
        <v>285</v>
      </c>
      <c r="E81" s="49">
        <v>0.688</v>
      </c>
      <c r="F81" s="49">
        <v>0.758</v>
      </c>
      <c r="G81" s="49">
        <v>1.0</v>
      </c>
      <c r="H81" s="49">
        <v>1.0</v>
      </c>
      <c r="I81" s="50" t="str">
        <f>IMAGE("https://drive.google.com/uc?export=view&amp;id=1NIjB7U0sq7GPfLXViYaaJdrYBMRqSai1")</f>
        <v/>
      </c>
      <c r="J81" s="47" t="s">
        <v>17</v>
      </c>
    </row>
    <row r="82">
      <c r="B82" s="51"/>
      <c r="C82" s="51"/>
      <c r="E82" s="7"/>
      <c r="F82" s="7"/>
      <c r="G82" s="7"/>
      <c r="H82" s="7"/>
    </row>
    <row r="83">
      <c r="B83" s="51"/>
      <c r="C83" s="51"/>
      <c r="E83" s="7"/>
      <c r="F83" s="7"/>
      <c r="G83" s="7"/>
      <c r="H83" s="7"/>
    </row>
    <row r="84">
      <c r="B84" s="51"/>
      <c r="C84" s="51"/>
      <c r="E84" s="7"/>
      <c r="F84" s="7"/>
      <c r="G84" s="7"/>
      <c r="H84" s="7"/>
    </row>
    <row r="85">
      <c r="B85" s="51"/>
      <c r="C85" s="51"/>
      <c r="E85" s="7"/>
      <c r="F85" s="7"/>
      <c r="G85" s="7"/>
      <c r="H85" s="7"/>
    </row>
    <row r="86">
      <c r="B86" s="51"/>
      <c r="C86" s="51"/>
      <c r="E86" s="7"/>
      <c r="F86" s="7"/>
      <c r="G86" s="7"/>
      <c r="H86" s="7"/>
    </row>
    <row r="87">
      <c r="B87" s="51"/>
      <c r="C87" s="51"/>
      <c r="E87" s="7"/>
      <c r="F87" s="7"/>
      <c r="G87" s="7"/>
      <c r="H87" s="7"/>
    </row>
    <row r="88">
      <c r="B88" s="51"/>
      <c r="C88" s="51"/>
      <c r="E88" s="7"/>
      <c r="F88" s="7"/>
      <c r="G88" s="7"/>
      <c r="H88" s="7"/>
    </row>
    <row r="89">
      <c r="B89" s="51"/>
      <c r="C89" s="51"/>
      <c r="E89" s="7"/>
      <c r="F89" s="7"/>
      <c r="G89" s="7"/>
      <c r="H89" s="7"/>
    </row>
    <row r="90">
      <c r="B90" s="51"/>
      <c r="C90" s="51"/>
      <c r="E90" s="7"/>
      <c r="F90" s="7"/>
      <c r="G90" s="7"/>
      <c r="H90" s="7"/>
    </row>
    <row r="91">
      <c r="B91" s="51"/>
      <c r="C91" s="51"/>
      <c r="E91" s="7"/>
      <c r="F91" s="7"/>
      <c r="G91" s="7"/>
      <c r="H91" s="7"/>
    </row>
    <row r="92">
      <c r="B92" s="51"/>
      <c r="C92" s="51"/>
      <c r="E92" s="7"/>
      <c r="F92" s="7"/>
      <c r="G92" s="7"/>
      <c r="H92" s="7"/>
    </row>
    <row r="93">
      <c r="B93" s="51"/>
      <c r="C93" s="51"/>
      <c r="E93" s="7"/>
      <c r="F93" s="7"/>
      <c r="G93" s="7"/>
      <c r="H93" s="7"/>
    </row>
    <row r="94">
      <c r="B94" s="51"/>
      <c r="C94" s="51"/>
      <c r="E94" s="7"/>
      <c r="F94" s="7"/>
      <c r="G94" s="7"/>
      <c r="H94" s="7"/>
    </row>
    <row r="95">
      <c r="B95" s="51"/>
      <c r="C95" s="51"/>
      <c r="E95" s="7"/>
      <c r="F95" s="7"/>
      <c r="G95" s="7"/>
      <c r="H95" s="7"/>
    </row>
    <row r="96">
      <c r="B96" s="51"/>
      <c r="C96" s="51"/>
      <c r="E96" s="7"/>
      <c r="F96" s="7"/>
      <c r="G96" s="7"/>
      <c r="H96" s="7"/>
    </row>
    <row r="97">
      <c r="B97" s="51"/>
      <c r="C97" s="51"/>
      <c r="E97" s="7"/>
      <c r="F97" s="7"/>
      <c r="G97" s="7"/>
      <c r="H97" s="7"/>
    </row>
    <row r="98">
      <c r="B98" s="51"/>
      <c r="C98" s="51"/>
      <c r="E98" s="7"/>
      <c r="F98" s="7"/>
      <c r="G98" s="7"/>
      <c r="H98" s="7"/>
    </row>
    <row r="99">
      <c r="B99" s="51"/>
      <c r="C99" s="51"/>
      <c r="E99" s="7"/>
      <c r="F99" s="7"/>
      <c r="G99" s="7"/>
      <c r="H99" s="7"/>
    </row>
    <row r="100">
      <c r="B100" s="51"/>
      <c r="C100" s="51"/>
      <c r="E100" s="7"/>
      <c r="F100" s="7"/>
      <c r="G100" s="7"/>
      <c r="H100" s="7"/>
    </row>
    <row r="101">
      <c r="B101" s="51"/>
      <c r="C101" s="51"/>
      <c r="E101" s="7"/>
      <c r="F101" s="7"/>
      <c r="G101" s="7"/>
      <c r="H101" s="7"/>
    </row>
    <row r="102">
      <c r="B102" s="51"/>
      <c r="C102" s="51"/>
      <c r="E102" s="7"/>
      <c r="F102" s="7"/>
      <c r="G102" s="7"/>
      <c r="H102" s="7"/>
    </row>
    <row r="103">
      <c r="B103" s="51"/>
      <c r="C103" s="51"/>
      <c r="E103" s="7"/>
      <c r="F103" s="7"/>
      <c r="G103" s="7"/>
      <c r="H103" s="7"/>
    </row>
    <row r="104">
      <c r="B104" s="51"/>
      <c r="C104" s="51"/>
      <c r="E104" s="7"/>
      <c r="F104" s="7"/>
      <c r="G104" s="7"/>
      <c r="H104" s="7"/>
    </row>
    <row r="105">
      <c r="B105" s="51"/>
      <c r="C105" s="51"/>
      <c r="E105" s="7"/>
      <c r="F105" s="7"/>
      <c r="G105" s="7"/>
      <c r="H105" s="7"/>
    </row>
    <row r="106">
      <c r="B106" s="51"/>
      <c r="C106" s="51"/>
      <c r="E106" s="7"/>
      <c r="F106" s="7"/>
      <c r="G106" s="7"/>
      <c r="H106" s="7"/>
    </row>
    <row r="107">
      <c r="B107" s="51"/>
      <c r="C107" s="51"/>
      <c r="E107" s="7"/>
      <c r="F107" s="7"/>
      <c r="G107" s="7"/>
      <c r="H107" s="7"/>
    </row>
    <row r="108">
      <c r="B108" s="51"/>
      <c r="C108" s="51"/>
      <c r="E108" s="7"/>
      <c r="F108" s="7"/>
      <c r="G108" s="7"/>
      <c r="H108" s="7"/>
    </row>
    <row r="109">
      <c r="B109" s="51"/>
      <c r="C109" s="51"/>
      <c r="E109" s="7"/>
      <c r="F109" s="7"/>
      <c r="G109" s="7"/>
      <c r="H109" s="7"/>
    </row>
    <row r="110">
      <c r="B110" s="51"/>
      <c r="C110" s="51"/>
      <c r="E110" s="7"/>
      <c r="F110" s="7"/>
      <c r="G110" s="7"/>
      <c r="H110" s="7"/>
    </row>
    <row r="111">
      <c r="B111" s="51"/>
      <c r="C111" s="51"/>
      <c r="E111" s="7"/>
      <c r="F111" s="7"/>
      <c r="G111" s="7"/>
      <c r="H111" s="7"/>
    </row>
    <row r="112">
      <c r="B112" s="51"/>
      <c r="C112" s="51"/>
      <c r="E112" s="7"/>
      <c r="F112" s="7"/>
      <c r="G112" s="7"/>
      <c r="H112" s="7"/>
    </row>
    <row r="113">
      <c r="B113" s="51"/>
      <c r="C113" s="51"/>
      <c r="E113" s="7"/>
      <c r="F113" s="7"/>
      <c r="G113" s="7"/>
      <c r="H113" s="7"/>
    </row>
    <row r="114">
      <c r="B114" s="51"/>
      <c r="C114" s="51"/>
      <c r="E114" s="7"/>
      <c r="F114" s="7"/>
      <c r="G114" s="7"/>
      <c r="H114" s="7"/>
    </row>
    <row r="115">
      <c r="B115" s="51"/>
      <c r="C115" s="51"/>
      <c r="E115" s="7"/>
      <c r="F115" s="7"/>
      <c r="G115" s="7"/>
      <c r="H115" s="7"/>
    </row>
    <row r="116">
      <c r="B116" s="51"/>
      <c r="C116" s="51"/>
      <c r="E116" s="7"/>
      <c r="F116" s="7"/>
      <c r="G116" s="7"/>
      <c r="H116" s="7"/>
    </row>
    <row r="117">
      <c r="B117" s="51"/>
      <c r="C117" s="51"/>
      <c r="E117" s="7"/>
      <c r="F117" s="7"/>
      <c r="G117" s="7"/>
      <c r="H117" s="7"/>
    </row>
    <row r="118">
      <c r="B118" s="51"/>
      <c r="C118" s="51"/>
      <c r="E118" s="7"/>
      <c r="F118" s="7"/>
      <c r="G118" s="7"/>
      <c r="H118" s="7"/>
    </row>
    <row r="119">
      <c r="B119" s="51"/>
      <c r="C119" s="51"/>
      <c r="E119" s="7"/>
      <c r="F119" s="7"/>
      <c r="G119" s="7"/>
      <c r="H119" s="7"/>
    </row>
    <row r="120">
      <c r="B120" s="51"/>
      <c r="C120" s="51"/>
      <c r="E120" s="7"/>
      <c r="F120" s="7"/>
      <c r="G120" s="7"/>
      <c r="H120" s="7"/>
    </row>
    <row r="121">
      <c r="B121" s="51"/>
      <c r="C121" s="51"/>
      <c r="E121" s="7"/>
      <c r="F121" s="7"/>
      <c r="G121" s="7"/>
      <c r="H121" s="7"/>
    </row>
    <row r="122">
      <c r="B122" s="51"/>
      <c r="C122" s="51"/>
      <c r="E122" s="7"/>
      <c r="F122" s="7"/>
      <c r="G122" s="7"/>
      <c r="H122" s="7"/>
    </row>
    <row r="123">
      <c r="B123" s="51"/>
      <c r="C123" s="51"/>
      <c r="E123" s="7"/>
      <c r="F123" s="7"/>
      <c r="G123" s="7"/>
      <c r="H123" s="7"/>
    </row>
    <row r="124">
      <c r="B124" s="51"/>
      <c r="C124" s="51"/>
      <c r="E124" s="7"/>
      <c r="F124" s="7"/>
      <c r="G124" s="7"/>
      <c r="H124" s="7"/>
    </row>
    <row r="125">
      <c r="B125" s="51"/>
      <c r="C125" s="51"/>
      <c r="E125" s="7"/>
      <c r="F125" s="7"/>
      <c r="G125" s="7"/>
      <c r="H125" s="7"/>
    </row>
    <row r="126">
      <c r="B126" s="51"/>
      <c r="C126" s="51"/>
      <c r="E126" s="7"/>
      <c r="F126" s="7"/>
      <c r="G126" s="7"/>
      <c r="H126" s="7"/>
    </row>
    <row r="127">
      <c r="B127" s="51"/>
      <c r="C127" s="51"/>
      <c r="E127" s="7"/>
      <c r="F127" s="7"/>
      <c r="G127" s="7"/>
      <c r="H127" s="7"/>
    </row>
    <row r="128">
      <c r="B128" s="51"/>
      <c r="C128" s="51"/>
      <c r="E128" s="7"/>
      <c r="F128" s="7"/>
      <c r="G128" s="7"/>
      <c r="H128" s="7"/>
    </row>
    <row r="129">
      <c r="B129" s="51"/>
      <c r="C129" s="51"/>
      <c r="E129" s="7"/>
      <c r="F129" s="7"/>
      <c r="G129" s="7"/>
      <c r="H129" s="7"/>
    </row>
    <row r="130">
      <c r="B130" s="51"/>
      <c r="C130" s="51"/>
      <c r="E130" s="7"/>
      <c r="F130" s="7"/>
      <c r="G130" s="7"/>
      <c r="H130" s="7"/>
    </row>
    <row r="131">
      <c r="B131" s="51"/>
      <c r="C131" s="51"/>
      <c r="E131" s="7"/>
      <c r="F131" s="7"/>
      <c r="G131" s="7"/>
      <c r="H131" s="7"/>
    </row>
    <row r="132">
      <c r="B132" s="51"/>
      <c r="C132" s="51"/>
      <c r="E132" s="7"/>
      <c r="F132" s="7"/>
      <c r="G132" s="7"/>
      <c r="H132" s="7"/>
    </row>
    <row r="133">
      <c r="B133" s="51"/>
      <c r="C133" s="51"/>
      <c r="E133" s="7"/>
      <c r="F133" s="7"/>
      <c r="G133" s="7"/>
      <c r="H133" s="7"/>
    </row>
    <row r="134">
      <c r="B134" s="51"/>
      <c r="C134" s="51"/>
      <c r="E134" s="7"/>
      <c r="F134" s="7"/>
      <c r="G134" s="7"/>
      <c r="H134" s="7"/>
    </row>
    <row r="135">
      <c r="B135" s="51"/>
      <c r="C135" s="51"/>
      <c r="E135" s="7"/>
      <c r="F135" s="7"/>
      <c r="G135" s="7"/>
      <c r="H135" s="7"/>
    </row>
    <row r="136">
      <c r="B136" s="51"/>
      <c r="C136" s="51"/>
      <c r="E136" s="7"/>
      <c r="F136" s="7"/>
      <c r="G136" s="7"/>
      <c r="H136" s="7"/>
    </row>
    <row r="137">
      <c r="B137" s="51"/>
      <c r="C137" s="51"/>
      <c r="E137" s="7"/>
      <c r="F137" s="7"/>
      <c r="G137" s="7"/>
      <c r="H137" s="7"/>
    </row>
    <row r="138">
      <c r="B138" s="51"/>
      <c r="C138" s="51"/>
      <c r="E138" s="7"/>
      <c r="F138" s="7"/>
      <c r="G138" s="7"/>
      <c r="H138" s="7"/>
    </row>
    <row r="139">
      <c r="B139" s="51"/>
      <c r="C139" s="51"/>
      <c r="E139" s="7"/>
      <c r="F139" s="7"/>
      <c r="G139" s="7"/>
      <c r="H139" s="7"/>
    </row>
    <row r="140">
      <c r="B140" s="51"/>
      <c r="C140" s="51"/>
      <c r="E140" s="7"/>
      <c r="F140" s="7"/>
      <c r="G140" s="7"/>
      <c r="H140" s="7"/>
    </row>
    <row r="141">
      <c r="B141" s="51"/>
      <c r="C141" s="51"/>
      <c r="E141" s="7"/>
      <c r="F141" s="7"/>
      <c r="G141" s="7"/>
      <c r="H141" s="7"/>
    </row>
    <row r="142">
      <c r="B142" s="51"/>
      <c r="C142" s="51"/>
      <c r="E142" s="7"/>
      <c r="F142" s="7"/>
      <c r="G142" s="7"/>
      <c r="H142" s="7"/>
    </row>
    <row r="143">
      <c r="B143" s="51"/>
      <c r="C143" s="51"/>
      <c r="E143" s="7"/>
      <c r="F143" s="7"/>
      <c r="G143" s="7"/>
      <c r="H143" s="7"/>
    </row>
    <row r="144">
      <c r="B144" s="51"/>
      <c r="C144" s="51"/>
      <c r="E144" s="7"/>
      <c r="F144" s="7"/>
      <c r="G144" s="7"/>
      <c r="H144" s="7"/>
    </row>
    <row r="145">
      <c r="B145" s="51"/>
      <c r="C145" s="51"/>
      <c r="E145" s="7"/>
      <c r="F145" s="7"/>
      <c r="G145" s="7"/>
      <c r="H145" s="7"/>
    </row>
    <row r="146">
      <c r="B146" s="51"/>
      <c r="C146" s="51"/>
      <c r="E146" s="7"/>
      <c r="F146" s="7"/>
      <c r="G146" s="7"/>
      <c r="H146" s="7"/>
    </row>
    <row r="147">
      <c r="B147" s="51"/>
      <c r="C147" s="51"/>
      <c r="E147" s="7"/>
      <c r="F147" s="7"/>
      <c r="G147" s="7"/>
      <c r="H147" s="7"/>
    </row>
    <row r="148">
      <c r="B148" s="51"/>
      <c r="C148" s="51"/>
      <c r="E148" s="7"/>
      <c r="F148" s="7"/>
      <c r="G148" s="7"/>
      <c r="H148" s="7"/>
    </row>
    <row r="149">
      <c r="B149" s="51"/>
      <c r="C149" s="51"/>
      <c r="E149" s="7"/>
      <c r="F149" s="7"/>
      <c r="G149" s="7"/>
      <c r="H149" s="7"/>
    </row>
    <row r="150">
      <c r="B150" s="51"/>
      <c r="C150" s="51"/>
      <c r="E150" s="7"/>
      <c r="F150" s="7"/>
      <c r="G150" s="7"/>
      <c r="H150" s="7"/>
    </row>
    <row r="151">
      <c r="B151" s="51"/>
      <c r="C151" s="51"/>
      <c r="E151" s="7"/>
      <c r="F151" s="7"/>
      <c r="G151" s="7"/>
      <c r="H151" s="7"/>
    </row>
    <row r="152">
      <c r="B152" s="51"/>
      <c r="C152" s="51"/>
      <c r="E152" s="7"/>
      <c r="F152" s="7"/>
      <c r="G152" s="7"/>
      <c r="H152" s="7"/>
    </row>
    <row r="153">
      <c r="B153" s="51"/>
      <c r="C153" s="51"/>
      <c r="E153" s="7"/>
      <c r="F153" s="7"/>
      <c r="G153" s="7"/>
      <c r="H153" s="7"/>
    </row>
    <row r="154">
      <c r="B154" s="51"/>
      <c r="C154" s="51"/>
      <c r="E154" s="7"/>
      <c r="F154" s="7"/>
      <c r="G154" s="7"/>
      <c r="H154" s="7"/>
    </row>
    <row r="155">
      <c r="B155" s="51"/>
      <c r="C155" s="51"/>
      <c r="E155" s="7"/>
      <c r="F155" s="7"/>
      <c r="G155" s="7"/>
      <c r="H155" s="7"/>
    </row>
    <row r="156">
      <c r="B156" s="51"/>
      <c r="C156" s="51"/>
      <c r="E156" s="7"/>
      <c r="F156" s="7"/>
      <c r="G156" s="7"/>
      <c r="H156" s="7"/>
    </row>
    <row r="157">
      <c r="B157" s="51"/>
      <c r="C157" s="51"/>
      <c r="E157" s="7"/>
      <c r="F157" s="7"/>
      <c r="G157" s="7"/>
      <c r="H157" s="7"/>
    </row>
    <row r="158">
      <c r="B158" s="51"/>
      <c r="C158" s="51"/>
      <c r="E158" s="7"/>
      <c r="F158" s="7"/>
      <c r="G158" s="7"/>
      <c r="H158" s="7"/>
    </row>
    <row r="159">
      <c r="B159" s="51"/>
      <c r="C159" s="51"/>
      <c r="E159" s="7"/>
      <c r="F159" s="7"/>
      <c r="G159" s="7"/>
      <c r="H159" s="7"/>
    </row>
    <row r="160">
      <c r="B160" s="51"/>
      <c r="C160" s="51"/>
      <c r="E160" s="7"/>
      <c r="F160" s="7"/>
      <c r="G160" s="7"/>
      <c r="H160" s="7"/>
    </row>
    <row r="161">
      <c r="B161" s="51"/>
      <c r="C161" s="51"/>
      <c r="E161" s="7"/>
      <c r="F161" s="7"/>
      <c r="G161" s="7"/>
      <c r="H161" s="7"/>
    </row>
    <row r="162">
      <c r="B162" s="51"/>
      <c r="C162" s="51"/>
      <c r="E162" s="7"/>
      <c r="F162" s="7"/>
      <c r="G162" s="7"/>
      <c r="H162" s="7"/>
    </row>
    <row r="163">
      <c r="B163" s="51"/>
      <c r="C163" s="51"/>
      <c r="E163" s="7"/>
      <c r="F163" s="7"/>
      <c r="G163" s="7"/>
      <c r="H163" s="7"/>
    </row>
    <row r="164">
      <c r="B164" s="51"/>
      <c r="C164" s="51"/>
      <c r="E164" s="7"/>
      <c r="F164" s="7"/>
      <c r="G164" s="7"/>
      <c r="H164" s="7"/>
    </row>
    <row r="165">
      <c r="B165" s="51"/>
      <c r="C165" s="51"/>
      <c r="E165" s="7"/>
      <c r="F165" s="7"/>
      <c r="G165" s="7"/>
      <c r="H165" s="7"/>
    </row>
    <row r="166">
      <c r="B166" s="51"/>
      <c r="C166" s="51"/>
      <c r="E166" s="7"/>
      <c r="F166" s="7"/>
      <c r="G166" s="7"/>
      <c r="H166" s="7"/>
    </row>
    <row r="167">
      <c r="B167" s="51"/>
      <c r="C167" s="51"/>
      <c r="E167" s="7"/>
      <c r="F167" s="7"/>
      <c r="G167" s="7"/>
      <c r="H167" s="7"/>
    </row>
    <row r="168">
      <c r="B168" s="51"/>
      <c r="C168" s="51"/>
      <c r="E168" s="7"/>
      <c r="F168" s="7"/>
      <c r="G168" s="7"/>
      <c r="H168" s="7"/>
    </row>
    <row r="169">
      <c r="B169" s="51"/>
      <c r="C169" s="51"/>
      <c r="E169" s="7"/>
      <c r="F169" s="7"/>
      <c r="G169" s="7"/>
      <c r="H169" s="7"/>
    </row>
    <row r="170">
      <c r="B170" s="51"/>
      <c r="C170" s="51"/>
      <c r="E170" s="7"/>
      <c r="F170" s="7"/>
      <c r="G170" s="7"/>
      <c r="H170" s="7"/>
    </row>
    <row r="171">
      <c r="B171" s="51"/>
      <c r="C171" s="51"/>
      <c r="E171" s="7"/>
      <c r="F171" s="7"/>
      <c r="G171" s="7"/>
      <c r="H171" s="7"/>
    </row>
    <row r="172">
      <c r="B172" s="51"/>
      <c r="C172" s="51"/>
      <c r="E172" s="7"/>
      <c r="F172" s="7"/>
      <c r="G172" s="7"/>
      <c r="H172" s="7"/>
    </row>
    <row r="173">
      <c r="B173" s="51"/>
      <c r="C173" s="51"/>
      <c r="E173" s="7"/>
      <c r="F173" s="7"/>
      <c r="G173" s="7"/>
      <c r="H173" s="7"/>
    </row>
    <row r="174">
      <c r="B174" s="51"/>
      <c r="C174" s="51"/>
      <c r="E174" s="7"/>
      <c r="F174" s="7"/>
      <c r="G174" s="7"/>
      <c r="H174" s="7"/>
    </row>
    <row r="175">
      <c r="B175" s="51"/>
      <c r="C175" s="51"/>
      <c r="E175" s="7"/>
      <c r="F175" s="7"/>
      <c r="G175" s="7"/>
      <c r="H175" s="7"/>
    </row>
    <row r="176">
      <c r="B176" s="51"/>
      <c r="C176" s="51"/>
      <c r="E176" s="7"/>
      <c r="F176" s="7"/>
      <c r="G176" s="7"/>
      <c r="H176" s="7"/>
    </row>
    <row r="177">
      <c r="B177" s="51"/>
      <c r="C177" s="51"/>
      <c r="E177" s="7"/>
      <c r="F177" s="7"/>
      <c r="G177" s="7"/>
      <c r="H177" s="7"/>
    </row>
    <row r="178">
      <c r="B178" s="51"/>
      <c r="C178" s="51"/>
      <c r="E178" s="7"/>
      <c r="F178" s="7"/>
      <c r="G178" s="7"/>
      <c r="H178" s="7"/>
    </row>
    <row r="179">
      <c r="B179" s="51"/>
      <c r="C179" s="51"/>
      <c r="E179" s="7"/>
      <c r="F179" s="7"/>
      <c r="G179" s="7"/>
      <c r="H179" s="7"/>
    </row>
    <row r="180">
      <c r="B180" s="51"/>
      <c r="C180" s="51"/>
      <c r="E180" s="7"/>
      <c r="F180" s="7"/>
      <c r="G180" s="7"/>
      <c r="H180" s="7"/>
    </row>
    <row r="181">
      <c r="B181" s="51"/>
      <c r="C181" s="51"/>
      <c r="E181" s="7"/>
      <c r="F181" s="7"/>
      <c r="G181" s="7"/>
      <c r="H181" s="7"/>
    </row>
    <row r="182">
      <c r="B182" s="51"/>
      <c r="C182" s="51"/>
      <c r="E182" s="7"/>
      <c r="F182" s="7"/>
      <c r="G182" s="7"/>
      <c r="H182" s="7"/>
    </row>
    <row r="183">
      <c r="B183" s="51"/>
      <c r="C183" s="51"/>
      <c r="E183" s="7"/>
      <c r="F183" s="7"/>
      <c r="G183" s="7"/>
      <c r="H183" s="7"/>
    </row>
    <row r="184">
      <c r="B184" s="51"/>
      <c r="C184" s="51"/>
      <c r="E184" s="7"/>
      <c r="F184" s="7"/>
      <c r="G184" s="7"/>
      <c r="H184" s="7"/>
    </row>
    <row r="185">
      <c r="B185" s="51"/>
      <c r="C185" s="51"/>
      <c r="E185" s="7"/>
      <c r="F185" s="7"/>
      <c r="G185" s="7"/>
      <c r="H185" s="7"/>
    </row>
    <row r="186">
      <c r="B186" s="51"/>
      <c r="C186" s="51"/>
      <c r="E186" s="7"/>
      <c r="F186" s="7"/>
      <c r="G186" s="7"/>
      <c r="H186" s="7"/>
    </row>
    <row r="187">
      <c r="B187" s="51"/>
      <c r="C187" s="51"/>
      <c r="E187" s="7"/>
      <c r="F187" s="7"/>
      <c r="G187" s="7"/>
      <c r="H187" s="7"/>
    </row>
    <row r="188">
      <c r="B188" s="51"/>
      <c r="C188" s="51"/>
      <c r="E188" s="7"/>
      <c r="F188" s="7"/>
      <c r="G188" s="7"/>
      <c r="H188" s="7"/>
    </row>
    <row r="189">
      <c r="B189" s="51"/>
      <c r="C189" s="51"/>
      <c r="E189" s="7"/>
      <c r="F189" s="7"/>
      <c r="G189" s="7"/>
      <c r="H189" s="7"/>
    </row>
    <row r="190">
      <c r="B190" s="51"/>
      <c r="C190" s="51"/>
      <c r="E190" s="7"/>
      <c r="F190" s="7"/>
      <c r="G190" s="7"/>
      <c r="H190" s="7"/>
    </row>
    <row r="191">
      <c r="B191" s="51"/>
      <c r="C191" s="51"/>
      <c r="E191" s="7"/>
      <c r="F191" s="7"/>
      <c r="G191" s="7"/>
      <c r="H191" s="7"/>
    </row>
    <row r="192">
      <c r="B192" s="51"/>
      <c r="C192" s="51"/>
      <c r="E192" s="7"/>
      <c r="F192" s="7"/>
      <c r="G192" s="7"/>
      <c r="H192" s="7"/>
    </row>
    <row r="193">
      <c r="B193" s="51"/>
      <c r="C193" s="51"/>
      <c r="E193" s="7"/>
      <c r="F193" s="7"/>
      <c r="G193" s="7"/>
      <c r="H193" s="7"/>
    </row>
    <row r="194">
      <c r="B194" s="51"/>
      <c r="C194" s="51"/>
      <c r="E194" s="7"/>
      <c r="F194" s="7"/>
      <c r="G194" s="7"/>
      <c r="H194" s="7"/>
    </row>
    <row r="195">
      <c r="B195" s="51"/>
      <c r="C195" s="51"/>
      <c r="E195" s="7"/>
      <c r="F195" s="7"/>
      <c r="G195" s="7"/>
      <c r="H195" s="7"/>
    </row>
    <row r="196">
      <c r="B196" s="51"/>
      <c r="C196" s="51"/>
      <c r="E196" s="7"/>
      <c r="F196" s="7"/>
      <c r="G196" s="7"/>
      <c r="H196" s="7"/>
    </row>
    <row r="197">
      <c r="B197" s="51"/>
      <c r="C197" s="51"/>
      <c r="E197" s="7"/>
      <c r="F197" s="7"/>
      <c r="G197" s="7"/>
      <c r="H197" s="7"/>
    </row>
    <row r="198">
      <c r="B198" s="51"/>
      <c r="C198" s="51"/>
      <c r="E198" s="7"/>
      <c r="F198" s="7"/>
      <c r="G198" s="7"/>
      <c r="H198" s="7"/>
    </row>
    <row r="199">
      <c r="B199" s="51"/>
      <c r="C199" s="51"/>
      <c r="E199" s="7"/>
      <c r="F199" s="7"/>
      <c r="G199" s="7"/>
      <c r="H199" s="7"/>
    </row>
    <row r="200">
      <c r="B200" s="51"/>
      <c r="C200" s="51"/>
      <c r="E200" s="7"/>
      <c r="F200" s="7"/>
      <c r="G200" s="7"/>
      <c r="H200" s="7"/>
    </row>
    <row r="201">
      <c r="B201" s="51"/>
      <c r="C201" s="51"/>
      <c r="E201" s="7"/>
      <c r="F201" s="7"/>
      <c r="G201" s="7"/>
      <c r="H201" s="7"/>
    </row>
    <row r="202">
      <c r="B202" s="51"/>
      <c r="C202" s="51"/>
      <c r="E202" s="7"/>
      <c r="F202" s="7"/>
      <c r="G202" s="7"/>
      <c r="H202" s="7"/>
    </row>
    <row r="203">
      <c r="B203" s="51"/>
      <c r="C203" s="51"/>
      <c r="E203" s="7"/>
      <c r="F203" s="7"/>
      <c r="G203" s="7"/>
      <c r="H203" s="7"/>
    </row>
    <row r="204">
      <c r="B204" s="51"/>
      <c r="C204" s="51"/>
      <c r="E204" s="7"/>
      <c r="F204" s="7"/>
      <c r="G204" s="7"/>
      <c r="H204" s="7"/>
    </row>
    <row r="205">
      <c r="B205" s="51"/>
      <c r="C205" s="51"/>
      <c r="E205" s="7"/>
      <c r="F205" s="7"/>
      <c r="G205" s="7"/>
      <c r="H205" s="7"/>
    </row>
    <row r="206">
      <c r="B206" s="51"/>
      <c r="C206" s="51"/>
      <c r="E206" s="7"/>
      <c r="F206" s="7"/>
      <c r="G206" s="7"/>
      <c r="H206" s="7"/>
    </row>
    <row r="207">
      <c r="B207" s="51"/>
      <c r="C207" s="51"/>
      <c r="E207" s="7"/>
      <c r="F207" s="7"/>
      <c r="G207" s="7"/>
      <c r="H207" s="7"/>
    </row>
    <row r="208">
      <c r="B208" s="51"/>
      <c r="C208" s="51"/>
      <c r="E208" s="7"/>
      <c r="F208" s="7"/>
      <c r="G208" s="7"/>
      <c r="H208" s="7"/>
    </row>
    <row r="209">
      <c r="B209" s="51"/>
      <c r="C209" s="51"/>
      <c r="E209" s="7"/>
      <c r="F209" s="7"/>
      <c r="G209" s="7"/>
      <c r="H209" s="7"/>
    </row>
    <row r="210">
      <c r="B210" s="51"/>
      <c r="C210" s="51"/>
      <c r="E210" s="7"/>
      <c r="F210" s="7"/>
      <c r="G210" s="7"/>
      <c r="H210" s="7"/>
    </row>
    <row r="211">
      <c r="B211" s="51"/>
      <c r="C211" s="51"/>
      <c r="E211" s="7"/>
      <c r="F211" s="7"/>
      <c r="G211" s="7"/>
      <c r="H211" s="7"/>
    </row>
    <row r="212">
      <c r="B212" s="51"/>
      <c r="C212" s="51"/>
      <c r="E212" s="7"/>
      <c r="F212" s="7"/>
      <c r="G212" s="7"/>
      <c r="H212" s="7"/>
    </row>
    <row r="213">
      <c r="B213" s="51"/>
      <c r="C213" s="51"/>
      <c r="E213" s="7"/>
      <c r="F213" s="7"/>
      <c r="G213" s="7"/>
      <c r="H213" s="7"/>
    </row>
    <row r="214">
      <c r="B214" s="51"/>
      <c r="C214" s="51"/>
      <c r="E214" s="7"/>
      <c r="F214" s="7"/>
      <c r="G214" s="7"/>
      <c r="H214" s="7"/>
    </row>
    <row r="215">
      <c r="B215" s="51"/>
      <c r="C215" s="51"/>
      <c r="E215" s="7"/>
      <c r="F215" s="7"/>
      <c r="G215" s="7"/>
      <c r="H215" s="7"/>
    </row>
    <row r="216">
      <c r="B216" s="51"/>
      <c r="C216" s="51"/>
      <c r="E216" s="7"/>
      <c r="F216" s="7"/>
      <c r="G216" s="7"/>
      <c r="H216" s="7"/>
    </row>
    <row r="217">
      <c r="B217" s="51"/>
      <c r="C217" s="51"/>
      <c r="E217" s="7"/>
      <c r="F217" s="7"/>
      <c r="G217" s="7"/>
      <c r="H217" s="7"/>
    </row>
    <row r="218">
      <c r="B218" s="51"/>
      <c r="C218" s="51"/>
      <c r="E218" s="7"/>
      <c r="F218" s="7"/>
      <c r="G218" s="7"/>
      <c r="H218" s="7"/>
    </row>
    <row r="219">
      <c r="B219" s="51"/>
      <c r="C219" s="51"/>
      <c r="E219" s="7"/>
      <c r="F219" s="7"/>
      <c r="G219" s="7"/>
      <c r="H219" s="7"/>
    </row>
    <row r="220">
      <c r="B220" s="51"/>
      <c r="C220" s="51"/>
      <c r="E220" s="7"/>
      <c r="F220" s="7"/>
      <c r="G220" s="7"/>
      <c r="H220" s="7"/>
    </row>
    <row r="221">
      <c r="B221" s="51"/>
      <c r="C221" s="51"/>
      <c r="E221" s="7"/>
      <c r="F221" s="7"/>
      <c r="G221" s="7"/>
      <c r="H221" s="7"/>
    </row>
    <row r="222">
      <c r="B222" s="51"/>
      <c r="C222" s="51"/>
      <c r="E222" s="7"/>
      <c r="F222" s="7"/>
      <c r="G222" s="7"/>
      <c r="H222" s="7"/>
    </row>
    <row r="223">
      <c r="B223" s="51"/>
      <c r="C223" s="51"/>
      <c r="E223" s="7"/>
      <c r="F223" s="7"/>
      <c r="G223" s="7"/>
      <c r="H223" s="7"/>
    </row>
    <row r="224">
      <c r="B224" s="51"/>
      <c r="C224" s="51"/>
      <c r="E224" s="7"/>
      <c r="F224" s="7"/>
      <c r="G224" s="7"/>
      <c r="H224" s="7"/>
    </row>
    <row r="225">
      <c r="B225" s="51"/>
      <c r="C225" s="51"/>
      <c r="E225" s="7"/>
      <c r="F225" s="7"/>
      <c r="G225" s="7"/>
      <c r="H225" s="7"/>
    </row>
    <row r="226">
      <c r="B226" s="51"/>
      <c r="C226" s="51"/>
      <c r="E226" s="7"/>
      <c r="F226" s="7"/>
      <c r="G226" s="7"/>
      <c r="H226" s="7"/>
    </row>
    <row r="227">
      <c r="B227" s="51"/>
      <c r="C227" s="51"/>
      <c r="E227" s="7"/>
      <c r="F227" s="7"/>
      <c r="G227" s="7"/>
      <c r="H227" s="7"/>
    </row>
    <row r="228">
      <c r="B228" s="51"/>
      <c r="C228" s="51"/>
      <c r="E228" s="7"/>
      <c r="F228" s="7"/>
      <c r="G228" s="7"/>
      <c r="H228" s="7"/>
    </row>
    <row r="229">
      <c r="B229" s="51"/>
      <c r="C229" s="51"/>
      <c r="E229" s="7"/>
      <c r="F229" s="7"/>
      <c r="G229" s="7"/>
      <c r="H229" s="7"/>
    </row>
    <row r="230">
      <c r="B230" s="51"/>
      <c r="C230" s="51"/>
      <c r="E230" s="7"/>
      <c r="F230" s="7"/>
      <c r="G230" s="7"/>
      <c r="H230" s="7"/>
    </row>
    <row r="231">
      <c r="B231" s="51"/>
      <c r="C231" s="51"/>
      <c r="E231" s="7"/>
      <c r="F231" s="7"/>
      <c r="G231" s="7"/>
      <c r="H231" s="7"/>
    </row>
    <row r="232">
      <c r="B232" s="51"/>
      <c r="C232" s="51"/>
      <c r="E232" s="7"/>
      <c r="F232" s="7"/>
      <c r="G232" s="7"/>
      <c r="H232" s="7"/>
    </row>
    <row r="233">
      <c r="B233" s="51"/>
      <c r="C233" s="51"/>
      <c r="E233" s="7"/>
      <c r="F233" s="7"/>
      <c r="G233" s="7"/>
      <c r="H233" s="7"/>
    </row>
    <row r="234">
      <c r="B234" s="51"/>
      <c r="C234" s="51"/>
      <c r="E234" s="7"/>
      <c r="F234" s="7"/>
      <c r="G234" s="7"/>
      <c r="H234" s="7"/>
    </row>
    <row r="235">
      <c r="B235" s="51"/>
      <c r="C235" s="51"/>
      <c r="E235" s="7"/>
      <c r="F235" s="7"/>
      <c r="G235" s="7"/>
      <c r="H235" s="7"/>
    </row>
    <row r="236">
      <c r="B236" s="51"/>
      <c r="C236" s="51"/>
      <c r="E236" s="7"/>
      <c r="F236" s="7"/>
      <c r="G236" s="7"/>
      <c r="H236" s="7"/>
    </row>
    <row r="237">
      <c r="B237" s="51"/>
      <c r="C237" s="51"/>
      <c r="E237" s="7"/>
      <c r="F237" s="7"/>
      <c r="G237" s="7"/>
      <c r="H237" s="7"/>
    </row>
    <row r="238">
      <c r="B238" s="51"/>
      <c r="C238" s="51"/>
      <c r="E238" s="7"/>
      <c r="F238" s="7"/>
      <c r="G238" s="7"/>
      <c r="H238" s="7"/>
    </row>
    <row r="239">
      <c r="B239" s="51"/>
      <c r="C239" s="51"/>
      <c r="E239" s="7"/>
      <c r="F239" s="7"/>
      <c r="G239" s="7"/>
      <c r="H239" s="7"/>
    </row>
    <row r="240">
      <c r="B240" s="51"/>
      <c r="C240" s="51"/>
      <c r="E240" s="7"/>
      <c r="F240" s="7"/>
      <c r="G240" s="7"/>
      <c r="H240" s="7"/>
    </row>
    <row r="241">
      <c r="B241" s="51"/>
      <c r="C241" s="51"/>
      <c r="E241" s="7"/>
      <c r="F241" s="7"/>
      <c r="G241" s="7"/>
      <c r="H241" s="7"/>
    </row>
    <row r="242">
      <c r="B242" s="51"/>
      <c r="C242" s="51"/>
      <c r="E242" s="7"/>
      <c r="F242" s="7"/>
      <c r="G242" s="7"/>
      <c r="H242" s="7"/>
    </row>
    <row r="243">
      <c r="B243" s="51"/>
      <c r="C243" s="51"/>
      <c r="E243" s="7"/>
      <c r="F243" s="7"/>
      <c r="G243" s="7"/>
      <c r="H243" s="7"/>
    </row>
    <row r="244">
      <c r="B244" s="51"/>
      <c r="C244" s="51"/>
      <c r="E244" s="7"/>
      <c r="F244" s="7"/>
      <c r="G244" s="7"/>
      <c r="H244" s="7"/>
    </row>
    <row r="245">
      <c r="B245" s="51"/>
      <c r="C245" s="51"/>
      <c r="E245" s="7"/>
      <c r="F245" s="7"/>
      <c r="G245" s="7"/>
      <c r="H245" s="7"/>
    </row>
    <row r="246">
      <c r="B246" s="51"/>
      <c r="C246" s="51"/>
      <c r="E246" s="7"/>
      <c r="F246" s="7"/>
      <c r="G246" s="7"/>
      <c r="H246" s="7"/>
    </row>
    <row r="247">
      <c r="B247" s="51"/>
      <c r="C247" s="51"/>
      <c r="E247" s="7"/>
      <c r="F247" s="7"/>
      <c r="G247" s="7"/>
      <c r="H247" s="7"/>
    </row>
    <row r="248">
      <c r="B248" s="51"/>
      <c r="C248" s="51"/>
      <c r="E248" s="7"/>
      <c r="F248" s="7"/>
      <c r="G248" s="7"/>
      <c r="H248" s="7"/>
    </row>
    <row r="249">
      <c r="B249" s="51"/>
      <c r="C249" s="51"/>
      <c r="E249" s="7"/>
      <c r="F249" s="7"/>
      <c r="G249" s="7"/>
      <c r="H249" s="7"/>
    </row>
    <row r="250">
      <c r="B250" s="51"/>
      <c r="C250" s="51"/>
      <c r="E250" s="7"/>
      <c r="F250" s="7"/>
      <c r="G250" s="7"/>
      <c r="H250" s="7"/>
    </row>
    <row r="251">
      <c r="B251" s="51"/>
      <c r="C251" s="51"/>
      <c r="E251" s="7"/>
      <c r="F251" s="7"/>
      <c r="G251" s="7"/>
      <c r="H251" s="7"/>
    </row>
    <row r="252">
      <c r="B252" s="51"/>
      <c r="C252" s="51"/>
      <c r="E252" s="7"/>
      <c r="F252" s="7"/>
      <c r="G252" s="7"/>
      <c r="H252" s="7"/>
    </row>
    <row r="253">
      <c r="B253" s="51"/>
      <c r="C253" s="51"/>
      <c r="E253" s="7"/>
      <c r="F253" s="7"/>
      <c r="G253" s="7"/>
      <c r="H253" s="7"/>
    </row>
    <row r="254">
      <c r="B254" s="51"/>
      <c r="C254" s="51"/>
      <c r="E254" s="7"/>
      <c r="F254" s="7"/>
      <c r="G254" s="7"/>
      <c r="H254" s="7"/>
    </row>
    <row r="255">
      <c r="B255" s="51"/>
      <c r="C255" s="51"/>
      <c r="E255" s="7"/>
      <c r="F255" s="7"/>
      <c r="G255" s="7"/>
      <c r="H255" s="7"/>
    </row>
    <row r="256">
      <c r="B256" s="51"/>
      <c r="C256" s="51"/>
      <c r="E256" s="7"/>
      <c r="F256" s="7"/>
      <c r="G256" s="7"/>
      <c r="H256" s="7"/>
    </row>
    <row r="257">
      <c r="B257" s="51"/>
      <c r="C257" s="51"/>
      <c r="E257" s="7"/>
      <c r="F257" s="7"/>
      <c r="G257" s="7"/>
      <c r="H257" s="7"/>
    </row>
    <row r="258">
      <c r="B258" s="51"/>
      <c r="C258" s="51"/>
      <c r="E258" s="7"/>
      <c r="F258" s="7"/>
      <c r="G258" s="7"/>
      <c r="H258" s="7"/>
    </row>
    <row r="259">
      <c r="B259" s="51"/>
      <c r="C259" s="51"/>
      <c r="E259" s="7"/>
      <c r="F259" s="7"/>
      <c r="G259" s="7"/>
      <c r="H259" s="7"/>
    </row>
    <row r="260">
      <c r="B260" s="51"/>
      <c r="C260" s="51"/>
      <c r="E260" s="7"/>
      <c r="F260" s="7"/>
      <c r="G260" s="7"/>
      <c r="H260" s="7"/>
    </row>
    <row r="261">
      <c r="B261" s="51"/>
      <c r="C261" s="51"/>
      <c r="E261" s="7"/>
      <c r="F261" s="7"/>
      <c r="G261" s="7"/>
      <c r="H261" s="7"/>
    </row>
    <row r="262">
      <c r="B262" s="51"/>
      <c r="C262" s="51"/>
      <c r="E262" s="7"/>
      <c r="F262" s="7"/>
      <c r="G262" s="7"/>
      <c r="H262" s="7"/>
    </row>
    <row r="263">
      <c r="B263" s="51"/>
      <c r="C263" s="51"/>
      <c r="E263" s="7"/>
      <c r="F263" s="7"/>
      <c r="G263" s="7"/>
      <c r="H263" s="7"/>
    </row>
    <row r="264">
      <c r="B264" s="51"/>
      <c r="C264" s="51"/>
      <c r="E264" s="7"/>
      <c r="F264" s="7"/>
      <c r="G264" s="7"/>
      <c r="H264" s="7"/>
    </row>
    <row r="265">
      <c r="B265" s="51"/>
      <c r="C265" s="51"/>
      <c r="E265" s="7"/>
      <c r="F265" s="7"/>
      <c r="G265" s="7"/>
      <c r="H265" s="7"/>
    </row>
    <row r="266">
      <c r="B266" s="51"/>
      <c r="C266" s="51"/>
      <c r="E266" s="7"/>
      <c r="F266" s="7"/>
      <c r="G266" s="7"/>
      <c r="H266" s="7"/>
    </row>
    <row r="267">
      <c r="B267" s="51"/>
      <c r="C267" s="51"/>
      <c r="E267" s="7"/>
      <c r="F267" s="7"/>
      <c r="G267" s="7"/>
      <c r="H267" s="7"/>
    </row>
    <row r="268">
      <c r="B268" s="51"/>
      <c r="C268" s="51"/>
      <c r="E268" s="7"/>
      <c r="F268" s="7"/>
      <c r="G268" s="7"/>
      <c r="H268" s="7"/>
    </row>
    <row r="269">
      <c r="B269" s="51"/>
      <c r="C269" s="51"/>
      <c r="E269" s="7"/>
      <c r="F269" s="7"/>
      <c r="G269" s="7"/>
      <c r="H269" s="7"/>
    </row>
    <row r="270">
      <c r="B270" s="51"/>
      <c r="C270" s="51"/>
      <c r="E270" s="7"/>
      <c r="F270" s="7"/>
      <c r="G270" s="7"/>
      <c r="H270" s="7"/>
    </row>
    <row r="271">
      <c r="B271" s="51"/>
      <c r="C271" s="51"/>
      <c r="E271" s="7"/>
      <c r="F271" s="7"/>
      <c r="G271" s="7"/>
      <c r="H271" s="7"/>
    </row>
    <row r="272">
      <c r="B272" s="51"/>
      <c r="C272" s="51"/>
      <c r="E272" s="7"/>
      <c r="F272" s="7"/>
      <c r="G272" s="7"/>
      <c r="H272" s="7"/>
    </row>
    <row r="273">
      <c r="B273" s="51"/>
      <c r="C273" s="51"/>
      <c r="E273" s="7"/>
      <c r="F273" s="7"/>
      <c r="G273" s="7"/>
      <c r="H273" s="7"/>
    </row>
    <row r="274">
      <c r="B274" s="51"/>
      <c r="C274" s="51"/>
      <c r="E274" s="7"/>
      <c r="F274" s="7"/>
      <c r="G274" s="7"/>
      <c r="H274" s="7"/>
    </row>
    <row r="275">
      <c r="B275" s="51"/>
      <c r="C275" s="51"/>
      <c r="E275" s="7"/>
      <c r="F275" s="7"/>
      <c r="G275" s="7"/>
      <c r="H275" s="7"/>
    </row>
    <row r="276">
      <c r="B276" s="51"/>
      <c r="C276" s="51"/>
      <c r="E276" s="7"/>
      <c r="F276" s="7"/>
      <c r="G276" s="7"/>
      <c r="H276" s="7"/>
    </row>
    <row r="277">
      <c r="B277" s="51"/>
      <c r="C277" s="51"/>
      <c r="E277" s="7"/>
      <c r="F277" s="7"/>
      <c r="G277" s="7"/>
      <c r="H277" s="7"/>
    </row>
    <row r="278">
      <c r="B278" s="51"/>
      <c r="C278" s="51"/>
      <c r="E278" s="7"/>
      <c r="F278" s="7"/>
      <c r="G278" s="7"/>
      <c r="H278" s="7"/>
    </row>
    <row r="279">
      <c r="B279" s="51"/>
      <c r="C279" s="51"/>
      <c r="E279" s="7"/>
      <c r="F279" s="7"/>
      <c r="G279" s="7"/>
      <c r="H279" s="7"/>
    </row>
    <row r="280">
      <c r="B280" s="51"/>
      <c r="C280" s="51"/>
      <c r="E280" s="7"/>
      <c r="F280" s="7"/>
      <c r="G280" s="7"/>
      <c r="H280" s="7"/>
    </row>
    <row r="281">
      <c r="B281" s="51"/>
      <c r="C281" s="51"/>
      <c r="E281" s="7"/>
      <c r="F281" s="7"/>
      <c r="G281" s="7"/>
      <c r="H281" s="7"/>
    </row>
    <row r="282">
      <c r="B282" s="51"/>
      <c r="C282" s="51"/>
      <c r="E282" s="7"/>
      <c r="F282" s="7"/>
      <c r="G282" s="7"/>
      <c r="H282" s="7"/>
    </row>
    <row r="283">
      <c r="B283" s="51"/>
      <c r="C283" s="51"/>
      <c r="E283" s="7"/>
      <c r="F283" s="7"/>
      <c r="G283" s="7"/>
      <c r="H283" s="7"/>
    </row>
    <row r="284">
      <c r="B284" s="51"/>
      <c r="C284" s="51"/>
      <c r="E284" s="7"/>
      <c r="F284" s="7"/>
      <c r="G284" s="7"/>
      <c r="H284" s="7"/>
    </row>
    <row r="285">
      <c r="B285" s="51"/>
      <c r="C285" s="51"/>
      <c r="E285" s="7"/>
      <c r="F285" s="7"/>
      <c r="G285" s="7"/>
      <c r="H285" s="7"/>
    </row>
    <row r="286">
      <c r="B286" s="51"/>
      <c r="C286" s="51"/>
      <c r="E286" s="7"/>
      <c r="F286" s="7"/>
      <c r="G286" s="7"/>
      <c r="H286" s="7"/>
    </row>
    <row r="287">
      <c r="B287" s="51"/>
      <c r="C287" s="51"/>
      <c r="E287" s="7"/>
      <c r="F287" s="7"/>
      <c r="G287" s="7"/>
      <c r="H287" s="7"/>
    </row>
    <row r="288">
      <c r="B288" s="51"/>
      <c r="C288" s="51"/>
      <c r="E288" s="7"/>
      <c r="F288" s="7"/>
      <c r="G288" s="7"/>
      <c r="H288" s="7"/>
    </row>
    <row r="289">
      <c r="B289" s="51"/>
      <c r="C289" s="51"/>
      <c r="E289" s="7"/>
      <c r="F289" s="7"/>
      <c r="G289" s="7"/>
      <c r="H289" s="7"/>
    </row>
    <row r="290">
      <c r="B290" s="51"/>
      <c r="C290" s="51"/>
      <c r="E290" s="7"/>
      <c r="F290" s="7"/>
      <c r="G290" s="7"/>
      <c r="H290" s="7"/>
    </row>
    <row r="291">
      <c r="B291" s="51"/>
      <c r="C291" s="51"/>
      <c r="E291" s="7"/>
      <c r="F291" s="7"/>
      <c r="G291" s="7"/>
      <c r="H291" s="7"/>
    </row>
    <row r="292">
      <c r="B292" s="51"/>
      <c r="C292" s="51"/>
      <c r="E292" s="7"/>
      <c r="F292" s="7"/>
      <c r="G292" s="7"/>
      <c r="H292" s="7"/>
    </row>
    <row r="293">
      <c r="B293" s="51"/>
      <c r="C293" s="51"/>
      <c r="E293" s="7"/>
      <c r="F293" s="7"/>
      <c r="G293" s="7"/>
      <c r="H293" s="7"/>
    </row>
    <row r="294">
      <c r="B294" s="51"/>
      <c r="C294" s="51"/>
      <c r="E294" s="7"/>
      <c r="F294" s="7"/>
      <c r="G294" s="7"/>
      <c r="H294" s="7"/>
    </row>
    <row r="295">
      <c r="B295" s="51"/>
      <c r="C295" s="51"/>
      <c r="E295" s="7"/>
      <c r="F295" s="7"/>
      <c r="G295" s="7"/>
      <c r="H295" s="7"/>
    </row>
    <row r="296">
      <c r="B296" s="51"/>
      <c r="C296" s="51"/>
      <c r="E296" s="7"/>
      <c r="F296" s="7"/>
      <c r="G296" s="7"/>
      <c r="H296" s="7"/>
    </row>
    <row r="297">
      <c r="B297" s="51"/>
      <c r="C297" s="51"/>
      <c r="E297" s="7"/>
      <c r="F297" s="7"/>
      <c r="G297" s="7"/>
      <c r="H297" s="7"/>
    </row>
    <row r="298">
      <c r="B298" s="51"/>
      <c r="C298" s="51"/>
      <c r="E298" s="7"/>
      <c r="F298" s="7"/>
      <c r="G298" s="7"/>
      <c r="H298" s="7"/>
    </row>
    <row r="299">
      <c r="B299" s="51"/>
      <c r="C299" s="51"/>
      <c r="E299" s="7"/>
      <c r="F299" s="7"/>
      <c r="G299" s="7"/>
      <c r="H299" s="7"/>
    </row>
    <row r="300">
      <c r="B300" s="51"/>
      <c r="C300" s="51"/>
      <c r="E300" s="7"/>
      <c r="F300" s="7"/>
      <c r="G300" s="7"/>
      <c r="H300" s="7"/>
    </row>
    <row r="301">
      <c r="B301" s="51"/>
      <c r="C301" s="51"/>
      <c r="E301" s="7"/>
      <c r="F301" s="7"/>
      <c r="G301" s="7"/>
      <c r="H301" s="7"/>
    </row>
    <row r="302">
      <c r="B302" s="51"/>
      <c r="C302" s="51"/>
      <c r="E302" s="7"/>
      <c r="F302" s="7"/>
      <c r="G302" s="7"/>
      <c r="H302" s="7"/>
    </row>
    <row r="303">
      <c r="B303" s="51"/>
      <c r="C303" s="51"/>
      <c r="E303" s="7"/>
      <c r="F303" s="7"/>
      <c r="G303" s="7"/>
      <c r="H303" s="7"/>
    </row>
    <row r="304">
      <c r="B304" s="51"/>
      <c r="C304" s="51"/>
      <c r="E304" s="7"/>
      <c r="F304" s="7"/>
      <c r="G304" s="7"/>
      <c r="H304" s="7"/>
    </row>
    <row r="305">
      <c r="B305" s="51"/>
      <c r="C305" s="51"/>
      <c r="E305" s="7"/>
      <c r="F305" s="7"/>
      <c r="G305" s="7"/>
      <c r="H305" s="7"/>
    </row>
    <row r="306">
      <c r="B306" s="51"/>
      <c r="C306" s="51"/>
      <c r="E306" s="7"/>
      <c r="F306" s="7"/>
      <c r="G306" s="7"/>
      <c r="H306" s="7"/>
    </row>
    <row r="307">
      <c r="B307" s="51"/>
      <c r="C307" s="51"/>
      <c r="E307" s="7"/>
      <c r="F307" s="7"/>
      <c r="G307" s="7"/>
      <c r="H307" s="7"/>
    </row>
    <row r="308">
      <c r="B308" s="51"/>
      <c r="C308" s="51"/>
      <c r="E308" s="7"/>
      <c r="F308" s="7"/>
      <c r="G308" s="7"/>
      <c r="H308" s="7"/>
    </row>
    <row r="309">
      <c r="B309" s="51"/>
      <c r="C309" s="51"/>
      <c r="E309" s="7"/>
      <c r="F309" s="7"/>
      <c r="G309" s="7"/>
      <c r="H309" s="7"/>
    </row>
    <row r="310">
      <c r="B310" s="51"/>
      <c r="C310" s="51"/>
      <c r="E310" s="7"/>
      <c r="F310" s="7"/>
      <c r="G310" s="7"/>
      <c r="H310" s="7"/>
    </row>
    <row r="311">
      <c r="B311" s="51"/>
      <c r="C311" s="51"/>
      <c r="E311" s="7"/>
      <c r="F311" s="7"/>
      <c r="G311" s="7"/>
      <c r="H311" s="7"/>
    </row>
    <row r="312">
      <c r="B312" s="51"/>
      <c r="C312" s="51"/>
      <c r="E312" s="7"/>
      <c r="F312" s="7"/>
      <c r="G312" s="7"/>
      <c r="H312" s="7"/>
    </row>
    <row r="313">
      <c r="B313" s="51"/>
      <c r="C313" s="51"/>
      <c r="E313" s="7"/>
      <c r="F313" s="7"/>
      <c r="G313" s="7"/>
      <c r="H313" s="7"/>
    </row>
    <row r="314">
      <c r="B314" s="51"/>
      <c r="C314" s="51"/>
      <c r="E314" s="7"/>
      <c r="F314" s="7"/>
      <c r="G314" s="7"/>
      <c r="H314" s="7"/>
    </row>
    <row r="315">
      <c r="B315" s="51"/>
      <c r="C315" s="51"/>
      <c r="E315" s="7"/>
      <c r="F315" s="7"/>
      <c r="G315" s="7"/>
      <c r="H315" s="7"/>
    </row>
    <row r="316">
      <c r="B316" s="51"/>
      <c r="C316" s="51"/>
      <c r="E316" s="7"/>
      <c r="F316" s="7"/>
      <c r="G316" s="7"/>
      <c r="H316" s="7"/>
    </row>
    <row r="317">
      <c r="B317" s="51"/>
      <c r="C317" s="51"/>
      <c r="E317" s="7"/>
      <c r="F317" s="7"/>
      <c r="G317" s="7"/>
      <c r="H317" s="7"/>
    </row>
    <row r="318">
      <c r="B318" s="51"/>
      <c r="C318" s="51"/>
      <c r="E318" s="7"/>
      <c r="F318" s="7"/>
      <c r="G318" s="7"/>
      <c r="H318" s="7"/>
    </row>
    <row r="319">
      <c r="B319" s="51"/>
      <c r="C319" s="51"/>
      <c r="E319" s="7"/>
      <c r="F319" s="7"/>
      <c r="G319" s="7"/>
      <c r="H319" s="7"/>
    </row>
    <row r="320">
      <c r="B320" s="51"/>
      <c r="C320" s="51"/>
      <c r="E320" s="7"/>
      <c r="F320" s="7"/>
      <c r="G320" s="7"/>
      <c r="H320" s="7"/>
    </row>
    <row r="321">
      <c r="B321" s="51"/>
      <c r="C321" s="51"/>
      <c r="E321" s="7"/>
      <c r="F321" s="7"/>
      <c r="G321" s="7"/>
      <c r="H321" s="7"/>
    </row>
    <row r="322">
      <c r="B322" s="51"/>
      <c r="C322" s="51"/>
      <c r="E322" s="7"/>
      <c r="F322" s="7"/>
      <c r="G322" s="7"/>
      <c r="H322" s="7"/>
    </row>
    <row r="323">
      <c r="B323" s="51"/>
      <c r="C323" s="51"/>
      <c r="E323" s="7"/>
      <c r="F323" s="7"/>
      <c r="G323" s="7"/>
      <c r="H323" s="7"/>
    </row>
    <row r="324">
      <c r="B324" s="51"/>
      <c r="C324" s="51"/>
      <c r="E324" s="7"/>
      <c r="F324" s="7"/>
      <c r="G324" s="7"/>
      <c r="H324" s="7"/>
    </row>
    <row r="325">
      <c r="B325" s="51"/>
      <c r="C325" s="51"/>
      <c r="E325" s="7"/>
      <c r="F325" s="7"/>
      <c r="G325" s="7"/>
      <c r="H325" s="7"/>
    </row>
    <row r="326">
      <c r="B326" s="51"/>
      <c r="C326" s="51"/>
      <c r="E326" s="7"/>
      <c r="F326" s="7"/>
      <c r="G326" s="7"/>
      <c r="H326" s="7"/>
    </row>
    <row r="327">
      <c r="B327" s="51"/>
      <c r="C327" s="51"/>
      <c r="E327" s="7"/>
      <c r="F327" s="7"/>
      <c r="G327" s="7"/>
      <c r="H327" s="7"/>
    </row>
    <row r="328">
      <c r="B328" s="51"/>
      <c r="C328" s="51"/>
      <c r="E328" s="7"/>
      <c r="F328" s="7"/>
      <c r="G328" s="7"/>
      <c r="H328" s="7"/>
    </row>
    <row r="329">
      <c r="B329" s="51"/>
      <c r="C329" s="51"/>
      <c r="E329" s="7"/>
      <c r="F329" s="7"/>
      <c r="G329" s="7"/>
      <c r="H329" s="7"/>
    </row>
    <row r="330">
      <c r="B330" s="51"/>
      <c r="C330" s="51"/>
      <c r="E330" s="7"/>
      <c r="F330" s="7"/>
      <c r="G330" s="7"/>
      <c r="H330" s="7"/>
    </row>
    <row r="331">
      <c r="B331" s="51"/>
      <c r="C331" s="51"/>
      <c r="E331" s="7"/>
      <c r="F331" s="7"/>
      <c r="G331" s="7"/>
      <c r="H331" s="7"/>
    </row>
    <row r="332">
      <c r="B332" s="51"/>
      <c r="C332" s="51"/>
      <c r="E332" s="7"/>
      <c r="F332" s="7"/>
      <c r="G332" s="7"/>
      <c r="H332" s="7"/>
    </row>
    <row r="333">
      <c r="B333" s="51"/>
      <c r="C333" s="51"/>
      <c r="E333" s="7"/>
      <c r="F333" s="7"/>
      <c r="G333" s="7"/>
      <c r="H333" s="7"/>
    </row>
    <row r="334">
      <c r="B334" s="51"/>
      <c r="C334" s="51"/>
      <c r="E334" s="7"/>
      <c r="F334" s="7"/>
      <c r="G334" s="7"/>
      <c r="H334" s="7"/>
    </row>
    <row r="335">
      <c r="B335" s="51"/>
      <c r="C335" s="51"/>
      <c r="E335" s="7"/>
      <c r="F335" s="7"/>
      <c r="G335" s="7"/>
      <c r="H335" s="7"/>
    </row>
    <row r="336">
      <c r="B336" s="51"/>
      <c r="C336" s="51"/>
      <c r="E336" s="7"/>
      <c r="F336" s="7"/>
      <c r="G336" s="7"/>
      <c r="H336" s="7"/>
    </row>
    <row r="337">
      <c r="B337" s="51"/>
      <c r="C337" s="51"/>
      <c r="E337" s="7"/>
      <c r="F337" s="7"/>
      <c r="G337" s="7"/>
      <c r="H337" s="7"/>
    </row>
    <row r="338">
      <c r="B338" s="51"/>
      <c r="C338" s="51"/>
      <c r="E338" s="7"/>
      <c r="F338" s="7"/>
      <c r="G338" s="7"/>
      <c r="H338" s="7"/>
    </row>
    <row r="339">
      <c r="B339" s="51"/>
      <c r="C339" s="51"/>
      <c r="E339" s="7"/>
      <c r="F339" s="7"/>
      <c r="G339" s="7"/>
      <c r="H339" s="7"/>
    </row>
    <row r="340">
      <c r="B340" s="51"/>
      <c r="C340" s="51"/>
      <c r="E340" s="7"/>
      <c r="F340" s="7"/>
      <c r="G340" s="7"/>
      <c r="H340" s="7"/>
    </row>
    <row r="341">
      <c r="B341" s="51"/>
      <c r="C341" s="51"/>
      <c r="E341" s="7"/>
      <c r="F341" s="7"/>
      <c r="G341" s="7"/>
      <c r="H341" s="7"/>
    </row>
    <row r="342">
      <c r="B342" s="51"/>
      <c r="C342" s="51"/>
      <c r="E342" s="7"/>
      <c r="F342" s="7"/>
      <c r="G342" s="7"/>
      <c r="H342" s="7"/>
    </row>
    <row r="343">
      <c r="B343" s="51"/>
      <c r="C343" s="51"/>
      <c r="E343" s="7"/>
      <c r="F343" s="7"/>
      <c r="G343" s="7"/>
      <c r="H343" s="7"/>
    </row>
    <row r="344">
      <c r="B344" s="51"/>
      <c r="C344" s="51"/>
      <c r="E344" s="7"/>
      <c r="F344" s="7"/>
      <c r="G344" s="7"/>
      <c r="H344" s="7"/>
    </row>
    <row r="345">
      <c r="B345" s="51"/>
      <c r="C345" s="51"/>
      <c r="E345" s="7"/>
      <c r="F345" s="7"/>
      <c r="G345" s="7"/>
      <c r="H345" s="7"/>
    </row>
    <row r="346">
      <c r="B346" s="51"/>
      <c r="C346" s="51"/>
      <c r="E346" s="7"/>
      <c r="F346" s="7"/>
      <c r="G346" s="7"/>
      <c r="H346" s="7"/>
    </row>
    <row r="347">
      <c r="B347" s="51"/>
      <c r="C347" s="51"/>
      <c r="E347" s="7"/>
      <c r="F347" s="7"/>
      <c r="G347" s="7"/>
      <c r="H347" s="7"/>
    </row>
    <row r="348">
      <c r="B348" s="51"/>
      <c r="C348" s="51"/>
      <c r="E348" s="7"/>
      <c r="F348" s="7"/>
      <c r="G348" s="7"/>
      <c r="H348" s="7"/>
    </row>
    <row r="349">
      <c r="B349" s="51"/>
      <c r="C349" s="51"/>
      <c r="E349" s="7"/>
      <c r="F349" s="7"/>
      <c r="G349" s="7"/>
      <c r="H349" s="7"/>
    </row>
    <row r="350">
      <c r="B350" s="51"/>
      <c r="C350" s="51"/>
      <c r="E350" s="7"/>
      <c r="F350" s="7"/>
      <c r="G350" s="7"/>
      <c r="H350" s="7"/>
    </row>
    <row r="351">
      <c r="B351" s="51"/>
      <c r="C351" s="51"/>
      <c r="E351" s="7"/>
      <c r="F351" s="7"/>
      <c r="G351" s="7"/>
      <c r="H351" s="7"/>
    </row>
    <row r="352">
      <c r="B352" s="51"/>
      <c r="C352" s="51"/>
      <c r="E352" s="7"/>
      <c r="F352" s="7"/>
      <c r="G352" s="7"/>
      <c r="H352" s="7"/>
    </row>
    <row r="353">
      <c r="B353" s="51"/>
      <c r="C353" s="51"/>
      <c r="E353" s="7"/>
      <c r="F353" s="7"/>
      <c r="G353" s="7"/>
      <c r="H353" s="7"/>
    </row>
    <row r="354">
      <c r="B354" s="51"/>
      <c r="C354" s="51"/>
      <c r="E354" s="7"/>
      <c r="F354" s="7"/>
      <c r="G354" s="7"/>
      <c r="H354" s="7"/>
    </row>
    <row r="355">
      <c r="B355" s="51"/>
      <c r="C355" s="51"/>
      <c r="E355" s="7"/>
      <c r="F355" s="7"/>
      <c r="G355" s="7"/>
      <c r="H355" s="7"/>
    </row>
    <row r="356">
      <c r="B356" s="51"/>
      <c r="C356" s="51"/>
      <c r="E356" s="7"/>
      <c r="F356" s="7"/>
      <c r="G356" s="7"/>
      <c r="H356" s="7"/>
    </row>
    <row r="357">
      <c r="B357" s="51"/>
      <c r="C357" s="51"/>
      <c r="E357" s="7"/>
      <c r="F357" s="7"/>
      <c r="G357" s="7"/>
      <c r="H357" s="7"/>
    </row>
    <row r="358">
      <c r="B358" s="51"/>
      <c r="C358" s="51"/>
      <c r="E358" s="7"/>
      <c r="F358" s="7"/>
      <c r="G358" s="7"/>
      <c r="H358" s="7"/>
    </row>
    <row r="359">
      <c r="B359" s="51"/>
      <c r="C359" s="51"/>
      <c r="E359" s="7"/>
      <c r="F359" s="7"/>
      <c r="G359" s="7"/>
      <c r="H359" s="7"/>
    </row>
    <row r="360">
      <c r="B360" s="51"/>
      <c r="C360" s="51"/>
      <c r="E360" s="7"/>
      <c r="F360" s="7"/>
      <c r="G360" s="7"/>
      <c r="H360" s="7"/>
    </row>
    <row r="361">
      <c r="B361" s="51"/>
      <c r="C361" s="51"/>
      <c r="E361" s="7"/>
      <c r="F361" s="7"/>
      <c r="G361" s="7"/>
      <c r="H361" s="7"/>
    </row>
    <row r="362">
      <c r="B362" s="51"/>
      <c r="C362" s="51"/>
      <c r="E362" s="7"/>
      <c r="F362" s="7"/>
      <c r="G362" s="7"/>
      <c r="H362" s="7"/>
    </row>
    <row r="363">
      <c r="B363" s="51"/>
      <c r="C363" s="51"/>
      <c r="E363" s="7"/>
      <c r="F363" s="7"/>
      <c r="G363" s="7"/>
      <c r="H363" s="7"/>
    </row>
    <row r="364">
      <c r="B364" s="51"/>
      <c r="C364" s="51"/>
      <c r="E364" s="7"/>
      <c r="F364" s="7"/>
      <c r="G364" s="7"/>
      <c r="H364" s="7"/>
    </row>
    <row r="365">
      <c r="B365" s="51"/>
      <c r="C365" s="51"/>
      <c r="E365" s="7"/>
      <c r="F365" s="7"/>
      <c r="G365" s="7"/>
      <c r="H365" s="7"/>
    </row>
    <row r="366">
      <c r="B366" s="51"/>
      <c r="C366" s="51"/>
      <c r="E366" s="7"/>
      <c r="F366" s="7"/>
      <c r="G366" s="7"/>
      <c r="H366" s="7"/>
    </row>
    <row r="367">
      <c r="B367" s="51"/>
      <c r="C367" s="51"/>
      <c r="E367" s="7"/>
      <c r="F367" s="7"/>
      <c r="G367" s="7"/>
      <c r="H367" s="7"/>
    </row>
    <row r="368">
      <c r="B368" s="51"/>
      <c r="C368" s="51"/>
      <c r="E368" s="7"/>
      <c r="F368" s="7"/>
      <c r="G368" s="7"/>
      <c r="H368" s="7"/>
    </row>
    <row r="369">
      <c r="B369" s="51"/>
      <c r="C369" s="51"/>
      <c r="E369" s="7"/>
      <c r="F369" s="7"/>
      <c r="G369" s="7"/>
      <c r="H369" s="7"/>
    </row>
    <row r="370">
      <c r="B370" s="51"/>
      <c r="C370" s="51"/>
      <c r="E370" s="7"/>
      <c r="F370" s="7"/>
      <c r="G370" s="7"/>
      <c r="H370" s="7"/>
    </row>
    <row r="371">
      <c r="B371" s="51"/>
      <c r="C371" s="51"/>
      <c r="E371" s="7"/>
      <c r="F371" s="7"/>
      <c r="G371" s="7"/>
      <c r="H371" s="7"/>
    </row>
    <row r="372">
      <c r="B372" s="51"/>
      <c r="C372" s="51"/>
      <c r="E372" s="7"/>
      <c r="F372" s="7"/>
      <c r="G372" s="7"/>
      <c r="H372" s="7"/>
    </row>
    <row r="373">
      <c r="B373" s="51"/>
      <c r="C373" s="51"/>
      <c r="E373" s="7"/>
      <c r="F373" s="7"/>
      <c r="G373" s="7"/>
      <c r="H373" s="7"/>
    </row>
    <row r="374">
      <c r="B374" s="51"/>
      <c r="C374" s="51"/>
      <c r="E374" s="7"/>
      <c r="F374" s="7"/>
      <c r="G374" s="7"/>
      <c r="H374" s="7"/>
    </row>
    <row r="375">
      <c r="B375" s="51"/>
      <c r="C375" s="51"/>
      <c r="E375" s="7"/>
      <c r="F375" s="7"/>
      <c r="G375" s="7"/>
      <c r="H375" s="7"/>
    </row>
    <row r="376">
      <c r="B376" s="51"/>
      <c r="C376" s="51"/>
      <c r="E376" s="7"/>
      <c r="F376" s="7"/>
      <c r="G376" s="7"/>
      <c r="H376" s="7"/>
    </row>
    <row r="377">
      <c r="B377" s="51"/>
      <c r="C377" s="51"/>
      <c r="E377" s="7"/>
      <c r="F377" s="7"/>
      <c r="G377" s="7"/>
      <c r="H377" s="7"/>
    </row>
    <row r="378">
      <c r="B378" s="51"/>
      <c r="C378" s="51"/>
      <c r="E378" s="7"/>
      <c r="F378" s="7"/>
      <c r="G378" s="7"/>
      <c r="H378" s="7"/>
    </row>
    <row r="379">
      <c r="B379" s="51"/>
      <c r="C379" s="51"/>
      <c r="E379" s="7"/>
      <c r="F379" s="7"/>
      <c r="G379" s="7"/>
      <c r="H379" s="7"/>
    </row>
    <row r="380">
      <c r="B380" s="51"/>
      <c r="C380" s="51"/>
      <c r="E380" s="7"/>
      <c r="F380" s="7"/>
      <c r="G380" s="7"/>
      <c r="H380" s="7"/>
    </row>
    <row r="381">
      <c r="B381" s="51"/>
      <c r="C381" s="51"/>
      <c r="E381" s="7"/>
      <c r="F381" s="7"/>
      <c r="G381" s="7"/>
      <c r="H381" s="7"/>
    </row>
    <row r="382">
      <c r="B382" s="51"/>
      <c r="C382" s="51"/>
      <c r="E382" s="7"/>
      <c r="F382" s="7"/>
      <c r="G382" s="7"/>
      <c r="H382" s="7"/>
    </row>
    <row r="383">
      <c r="B383" s="51"/>
      <c r="C383" s="51"/>
      <c r="E383" s="7"/>
      <c r="F383" s="7"/>
      <c r="G383" s="7"/>
      <c r="H383" s="7"/>
    </row>
    <row r="384">
      <c r="B384" s="51"/>
      <c r="C384" s="51"/>
      <c r="E384" s="7"/>
      <c r="F384" s="7"/>
      <c r="G384" s="7"/>
      <c r="H384" s="7"/>
    </row>
    <row r="385">
      <c r="B385" s="51"/>
      <c r="C385" s="51"/>
      <c r="E385" s="7"/>
      <c r="F385" s="7"/>
      <c r="G385" s="7"/>
      <c r="H385" s="7"/>
    </row>
    <row r="386">
      <c r="B386" s="51"/>
      <c r="C386" s="51"/>
      <c r="E386" s="7"/>
      <c r="F386" s="7"/>
      <c r="G386" s="7"/>
      <c r="H386" s="7"/>
    </row>
    <row r="387">
      <c r="B387" s="51"/>
      <c r="C387" s="51"/>
      <c r="E387" s="7"/>
      <c r="F387" s="7"/>
      <c r="G387" s="7"/>
      <c r="H387" s="7"/>
    </row>
    <row r="388">
      <c r="B388" s="51"/>
      <c r="C388" s="51"/>
      <c r="E388" s="7"/>
      <c r="F388" s="7"/>
      <c r="G388" s="7"/>
      <c r="H388" s="7"/>
    </row>
    <row r="389">
      <c r="B389" s="51"/>
      <c r="C389" s="51"/>
      <c r="E389" s="7"/>
      <c r="F389" s="7"/>
      <c r="G389" s="7"/>
      <c r="H389" s="7"/>
    </row>
    <row r="390">
      <c r="B390" s="51"/>
      <c r="C390" s="51"/>
      <c r="E390" s="7"/>
      <c r="F390" s="7"/>
      <c r="G390" s="7"/>
      <c r="H390" s="7"/>
    </row>
    <row r="391">
      <c r="B391" s="51"/>
      <c r="C391" s="51"/>
      <c r="E391" s="7"/>
      <c r="F391" s="7"/>
      <c r="G391" s="7"/>
      <c r="H391" s="7"/>
    </row>
    <row r="392">
      <c r="B392" s="51"/>
      <c r="C392" s="51"/>
      <c r="E392" s="7"/>
      <c r="F392" s="7"/>
      <c r="G392" s="7"/>
      <c r="H392" s="7"/>
    </row>
    <row r="393">
      <c r="B393" s="51"/>
      <c r="C393" s="51"/>
      <c r="E393" s="7"/>
      <c r="F393" s="7"/>
      <c r="G393" s="7"/>
      <c r="H393" s="7"/>
    </row>
    <row r="394">
      <c r="B394" s="51"/>
      <c r="C394" s="51"/>
      <c r="E394" s="7"/>
      <c r="F394" s="7"/>
      <c r="G394" s="7"/>
      <c r="H394" s="7"/>
    </row>
    <row r="395">
      <c r="B395" s="51"/>
      <c r="C395" s="51"/>
      <c r="E395" s="7"/>
      <c r="F395" s="7"/>
      <c r="G395" s="7"/>
      <c r="H395" s="7"/>
    </row>
    <row r="396">
      <c r="B396" s="51"/>
      <c r="C396" s="51"/>
      <c r="E396" s="7"/>
      <c r="F396" s="7"/>
      <c r="G396" s="7"/>
      <c r="H396" s="7"/>
    </row>
    <row r="397">
      <c r="B397" s="51"/>
      <c r="C397" s="51"/>
      <c r="E397" s="7"/>
      <c r="F397" s="7"/>
      <c r="G397" s="7"/>
      <c r="H397" s="7"/>
    </row>
    <row r="398">
      <c r="B398" s="51"/>
      <c r="C398" s="51"/>
      <c r="E398" s="7"/>
      <c r="F398" s="7"/>
      <c r="G398" s="7"/>
      <c r="H398" s="7"/>
    </row>
    <row r="399">
      <c r="B399" s="51"/>
      <c r="C399" s="51"/>
      <c r="E399" s="7"/>
      <c r="F399" s="7"/>
      <c r="G399" s="7"/>
      <c r="H399" s="7"/>
    </row>
    <row r="400">
      <c r="B400" s="51"/>
      <c r="C400" s="51"/>
      <c r="E400" s="7"/>
      <c r="F400" s="7"/>
      <c r="G400" s="7"/>
      <c r="H400" s="7"/>
    </row>
    <row r="401">
      <c r="B401" s="51"/>
      <c r="C401" s="51"/>
      <c r="E401" s="7"/>
      <c r="F401" s="7"/>
      <c r="G401" s="7"/>
      <c r="H401" s="7"/>
    </row>
    <row r="402">
      <c r="B402" s="51"/>
      <c r="C402" s="51"/>
      <c r="E402" s="7"/>
      <c r="F402" s="7"/>
      <c r="G402" s="7"/>
      <c r="H402" s="7"/>
    </row>
    <row r="403">
      <c r="B403" s="51"/>
      <c r="C403" s="51"/>
      <c r="E403" s="7"/>
      <c r="F403" s="7"/>
      <c r="G403" s="7"/>
      <c r="H403" s="7"/>
    </row>
    <row r="404">
      <c r="B404" s="51"/>
      <c r="C404" s="51"/>
      <c r="E404" s="7"/>
      <c r="F404" s="7"/>
      <c r="G404" s="7"/>
      <c r="H404" s="7"/>
    </row>
    <row r="405">
      <c r="B405" s="51"/>
      <c r="C405" s="51"/>
      <c r="E405" s="7"/>
      <c r="F405" s="7"/>
      <c r="G405" s="7"/>
      <c r="H405" s="7"/>
    </row>
    <row r="406">
      <c r="B406" s="51"/>
      <c r="C406" s="51"/>
      <c r="E406" s="7"/>
      <c r="F406" s="7"/>
      <c r="G406" s="7"/>
      <c r="H406" s="7"/>
    </row>
    <row r="407">
      <c r="B407" s="51"/>
      <c r="C407" s="51"/>
      <c r="E407" s="7"/>
      <c r="F407" s="7"/>
      <c r="G407" s="7"/>
      <c r="H407" s="7"/>
    </row>
    <row r="408">
      <c r="B408" s="51"/>
      <c r="C408" s="51"/>
      <c r="E408" s="7"/>
      <c r="F408" s="7"/>
      <c r="G408" s="7"/>
      <c r="H408" s="7"/>
    </row>
    <row r="409">
      <c r="B409" s="51"/>
      <c r="C409" s="51"/>
      <c r="E409" s="7"/>
      <c r="F409" s="7"/>
      <c r="G409" s="7"/>
      <c r="H409" s="7"/>
    </row>
    <row r="410">
      <c r="B410" s="51"/>
      <c r="C410" s="51"/>
      <c r="E410" s="7"/>
      <c r="F410" s="7"/>
      <c r="G410" s="7"/>
      <c r="H410" s="7"/>
    </row>
    <row r="411">
      <c r="B411" s="51"/>
      <c r="C411" s="51"/>
      <c r="E411" s="7"/>
      <c r="F411" s="7"/>
      <c r="G411" s="7"/>
      <c r="H411" s="7"/>
    </row>
    <row r="412">
      <c r="B412" s="51"/>
      <c r="C412" s="51"/>
      <c r="E412" s="7"/>
      <c r="F412" s="7"/>
      <c r="G412" s="7"/>
      <c r="H412" s="7"/>
    </row>
    <row r="413">
      <c r="B413" s="51"/>
      <c r="C413" s="51"/>
      <c r="E413" s="7"/>
      <c r="F413" s="7"/>
      <c r="G413" s="7"/>
      <c r="H413" s="7"/>
    </row>
    <row r="414">
      <c r="B414" s="51"/>
      <c r="C414" s="51"/>
      <c r="E414" s="7"/>
      <c r="F414" s="7"/>
      <c r="G414" s="7"/>
      <c r="H414" s="7"/>
    </row>
    <row r="415">
      <c r="B415" s="51"/>
      <c r="C415" s="51"/>
      <c r="E415" s="7"/>
      <c r="F415" s="7"/>
      <c r="G415" s="7"/>
      <c r="H415" s="7"/>
    </row>
    <row r="416">
      <c r="B416" s="51"/>
      <c r="C416" s="51"/>
      <c r="E416" s="7"/>
      <c r="F416" s="7"/>
      <c r="G416" s="7"/>
      <c r="H416" s="7"/>
    </row>
    <row r="417">
      <c r="B417" s="51"/>
      <c r="C417" s="51"/>
      <c r="E417" s="7"/>
      <c r="F417" s="7"/>
      <c r="G417" s="7"/>
      <c r="H417" s="7"/>
    </row>
    <row r="418">
      <c r="B418" s="51"/>
      <c r="C418" s="51"/>
      <c r="E418" s="7"/>
      <c r="F418" s="7"/>
      <c r="G418" s="7"/>
      <c r="H418" s="7"/>
    </row>
    <row r="419">
      <c r="B419" s="51"/>
      <c r="C419" s="51"/>
      <c r="E419" s="7"/>
      <c r="F419" s="7"/>
      <c r="G419" s="7"/>
      <c r="H419" s="7"/>
    </row>
    <row r="420">
      <c r="B420" s="51"/>
      <c r="C420" s="51"/>
      <c r="E420" s="7"/>
      <c r="F420" s="7"/>
      <c r="G420" s="7"/>
      <c r="H420" s="7"/>
    </row>
    <row r="421">
      <c r="B421" s="51"/>
      <c r="C421" s="51"/>
      <c r="E421" s="7"/>
      <c r="F421" s="7"/>
      <c r="G421" s="7"/>
      <c r="H421" s="7"/>
    </row>
    <row r="422">
      <c r="B422" s="51"/>
      <c r="C422" s="51"/>
      <c r="E422" s="7"/>
      <c r="F422" s="7"/>
      <c r="G422" s="7"/>
      <c r="H422" s="7"/>
    </row>
    <row r="423">
      <c r="B423" s="51"/>
      <c r="C423" s="51"/>
      <c r="E423" s="7"/>
      <c r="F423" s="7"/>
      <c r="G423" s="7"/>
      <c r="H423" s="7"/>
    </row>
    <row r="424">
      <c r="B424" s="51"/>
      <c r="C424" s="51"/>
      <c r="E424" s="7"/>
      <c r="F424" s="7"/>
      <c r="G424" s="7"/>
      <c r="H424" s="7"/>
    </row>
    <row r="425">
      <c r="B425" s="51"/>
      <c r="C425" s="51"/>
      <c r="E425" s="7"/>
      <c r="F425" s="7"/>
      <c r="G425" s="7"/>
      <c r="H425" s="7"/>
    </row>
    <row r="426">
      <c r="B426" s="51"/>
      <c r="C426" s="51"/>
      <c r="E426" s="7"/>
      <c r="F426" s="7"/>
      <c r="G426" s="7"/>
      <c r="H426" s="7"/>
    </row>
    <row r="427">
      <c r="B427" s="51"/>
      <c r="C427" s="51"/>
      <c r="E427" s="7"/>
      <c r="F427" s="7"/>
      <c r="G427" s="7"/>
      <c r="H427" s="7"/>
    </row>
    <row r="428">
      <c r="B428" s="51"/>
      <c r="C428" s="51"/>
      <c r="E428" s="7"/>
      <c r="F428" s="7"/>
      <c r="G428" s="7"/>
      <c r="H428" s="7"/>
    </row>
    <row r="429">
      <c r="B429" s="51"/>
      <c r="C429" s="51"/>
      <c r="E429" s="7"/>
      <c r="F429" s="7"/>
      <c r="G429" s="7"/>
      <c r="H429" s="7"/>
    </row>
    <row r="430">
      <c r="B430" s="51"/>
      <c r="C430" s="51"/>
      <c r="E430" s="7"/>
      <c r="F430" s="7"/>
      <c r="G430" s="7"/>
      <c r="H430" s="7"/>
    </row>
    <row r="431">
      <c r="B431" s="51"/>
      <c r="C431" s="51"/>
      <c r="E431" s="7"/>
      <c r="F431" s="7"/>
      <c r="G431" s="7"/>
      <c r="H431" s="7"/>
    </row>
    <row r="432">
      <c r="B432" s="51"/>
      <c r="C432" s="51"/>
      <c r="E432" s="7"/>
      <c r="F432" s="7"/>
      <c r="G432" s="7"/>
      <c r="H432" s="7"/>
    </row>
    <row r="433">
      <c r="B433" s="51"/>
      <c r="C433" s="51"/>
      <c r="E433" s="7"/>
      <c r="F433" s="7"/>
      <c r="G433" s="7"/>
      <c r="H433" s="7"/>
    </row>
    <row r="434">
      <c r="B434" s="51"/>
      <c r="C434" s="51"/>
      <c r="E434" s="7"/>
      <c r="F434" s="7"/>
      <c r="G434" s="7"/>
      <c r="H434" s="7"/>
    </row>
    <row r="435">
      <c r="B435" s="51"/>
      <c r="C435" s="51"/>
      <c r="E435" s="7"/>
      <c r="F435" s="7"/>
      <c r="G435" s="7"/>
      <c r="H435" s="7"/>
    </row>
    <row r="436">
      <c r="B436" s="51"/>
      <c r="C436" s="51"/>
      <c r="E436" s="7"/>
      <c r="F436" s="7"/>
      <c r="G436" s="7"/>
      <c r="H436" s="7"/>
    </row>
    <row r="437">
      <c r="B437" s="51"/>
      <c r="C437" s="51"/>
      <c r="E437" s="7"/>
      <c r="F437" s="7"/>
      <c r="G437" s="7"/>
      <c r="H437" s="7"/>
    </row>
    <row r="438">
      <c r="B438" s="51"/>
      <c r="C438" s="51"/>
      <c r="E438" s="7"/>
      <c r="F438" s="7"/>
      <c r="G438" s="7"/>
      <c r="H438" s="7"/>
    </row>
    <row r="439">
      <c r="B439" s="51"/>
      <c r="C439" s="51"/>
      <c r="E439" s="7"/>
      <c r="F439" s="7"/>
      <c r="G439" s="7"/>
      <c r="H439" s="7"/>
    </row>
    <row r="440">
      <c r="B440" s="51"/>
      <c r="C440" s="51"/>
      <c r="E440" s="7"/>
      <c r="F440" s="7"/>
      <c r="G440" s="7"/>
      <c r="H440" s="7"/>
    </row>
    <row r="441">
      <c r="B441" s="51"/>
      <c r="C441" s="51"/>
      <c r="E441" s="7"/>
      <c r="F441" s="7"/>
      <c r="G441" s="7"/>
      <c r="H441" s="7"/>
    </row>
    <row r="442">
      <c r="B442" s="51"/>
      <c r="C442" s="51"/>
      <c r="E442" s="7"/>
      <c r="F442" s="7"/>
      <c r="G442" s="7"/>
      <c r="H442" s="7"/>
    </row>
    <row r="443">
      <c r="B443" s="51"/>
      <c r="C443" s="51"/>
      <c r="E443" s="7"/>
      <c r="F443" s="7"/>
      <c r="G443" s="7"/>
      <c r="H443" s="7"/>
    </row>
    <row r="444">
      <c r="B444" s="51"/>
      <c r="C444" s="51"/>
      <c r="E444" s="7"/>
      <c r="F444" s="7"/>
      <c r="G444" s="7"/>
      <c r="H444" s="7"/>
    </row>
    <row r="445">
      <c r="B445" s="51"/>
      <c r="C445" s="51"/>
      <c r="E445" s="7"/>
      <c r="F445" s="7"/>
      <c r="G445" s="7"/>
      <c r="H445" s="7"/>
    </row>
    <row r="446">
      <c r="B446" s="51"/>
      <c r="C446" s="51"/>
      <c r="E446" s="7"/>
      <c r="F446" s="7"/>
      <c r="G446" s="7"/>
      <c r="H446" s="7"/>
    </row>
    <row r="447">
      <c r="B447" s="51"/>
      <c r="C447" s="51"/>
      <c r="E447" s="7"/>
      <c r="F447" s="7"/>
      <c r="G447" s="7"/>
      <c r="H447" s="7"/>
    </row>
    <row r="448">
      <c r="B448" s="51"/>
      <c r="C448" s="51"/>
      <c r="E448" s="7"/>
      <c r="F448" s="7"/>
      <c r="G448" s="7"/>
      <c r="H448" s="7"/>
    </row>
    <row r="449">
      <c r="B449" s="51"/>
      <c r="C449" s="51"/>
      <c r="E449" s="7"/>
      <c r="F449" s="7"/>
      <c r="G449" s="7"/>
      <c r="H449" s="7"/>
    </row>
    <row r="450">
      <c r="B450" s="51"/>
      <c r="C450" s="51"/>
      <c r="E450" s="7"/>
      <c r="F450" s="7"/>
      <c r="G450" s="7"/>
      <c r="H450" s="7"/>
    </row>
    <row r="451">
      <c r="B451" s="51"/>
      <c r="C451" s="51"/>
      <c r="E451" s="7"/>
      <c r="F451" s="7"/>
      <c r="G451" s="7"/>
      <c r="H451" s="7"/>
    </row>
    <row r="452">
      <c r="B452" s="51"/>
      <c r="C452" s="51"/>
      <c r="E452" s="7"/>
      <c r="F452" s="7"/>
      <c r="G452" s="7"/>
      <c r="H452" s="7"/>
    </row>
    <row r="453">
      <c r="B453" s="51"/>
      <c r="C453" s="51"/>
      <c r="E453" s="7"/>
      <c r="F453" s="7"/>
      <c r="G453" s="7"/>
      <c r="H453" s="7"/>
    </row>
    <row r="454">
      <c r="B454" s="51"/>
      <c r="C454" s="51"/>
      <c r="E454" s="7"/>
      <c r="F454" s="7"/>
      <c r="G454" s="7"/>
      <c r="H454" s="7"/>
    </row>
    <row r="455">
      <c r="B455" s="51"/>
      <c r="C455" s="51"/>
      <c r="E455" s="7"/>
      <c r="F455" s="7"/>
      <c r="G455" s="7"/>
      <c r="H455" s="7"/>
    </row>
    <row r="456">
      <c r="B456" s="51"/>
      <c r="C456" s="51"/>
      <c r="E456" s="7"/>
      <c r="F456" s="7"/>
      <c r="G456" s="7"/>
      <c r="H456" s="7"/>
    </row>
    <row r="457">
      <c r="B457" s="51"/>
      <c r="C457" s="51"/>
      <c r="E457" s="7"/>
      <c r="F457" s="7"/>
      <c r="G457" s="7"/>
      <c r="H457" s="7"/>
    </row>
    <row r="458">
      <c r="B458" s="51"/>
      <c r="C458" s="51"/>
      <c r="E458" s="7"/>
      <c r="F458" s="7"/>
      <c r="G458" s="7"/>
      <c r="H458" s="7"/>
    </row>
    <row r="459">
      <c r="B459" s="51"/>
      <c r="C459" s="51"/>
      <c r="E459" s="7"/>
      <c r="F459" s="7"/>
      <c r="G459" s="7"/>
      <c r="H459" s="7"/>
    </row>
    <row r="460">
      <c r="B460" s="51"/>
      <c r="C460" s="51"/>
      <c r="E460" s="7"/>
      <c r="F460" s="7"/>
      <c r="G460" s="7"/>
      <c r="H460" s="7"/>
    </row>
    <row r="461">
      <c r="B461" s="51"/>
      <c r="C461" s="51"/>
      <c r="E461" s="7"/>
      <c r="F461" s="7"/>
      <c r="G461" s="7"/>
      <c r="H461" s="7"/>
    </row>
    <row r="462">
      <c r="B462" s="51"/>
      <c r="C462" s="51"/>
      <c r="E462" s="7"/>
      <c r="F462" s="7"/>
      <c r="G462" s="7"/>
      <c r="H462" s="7"/>
    </row>
    <row r="463">
      <c r="B463" s="51"/>
      <c r="C463" s="51"/>
      <c r="E463" s="7"/>
      <c r="F463" s="7"/>
      <c r="G463" s="7"/>
      <c r="H463" s="7"/>
    </row>
    <row r="464">
      <c r="B464" s="51"/>
      <c r="C464" s="51"/>
      <c r="E464" s="7"/>
      <c r="F464" s="7"/>
      <c r="G464" s="7"/>
      <c r="H464" s="7"/>
    </row>
    <row r="465">
      <c r="B465" s="51"/>
      <c r="C465" s="51"/>
      <c r="E465" s="7"/>
      <c r="F465" s="7"/>
      <c r="G465" s="7"/>
      <c r="H465" s="7"/>
    </row>
    <row r="466">
      <c r="B466" s="51"/>
      <c r="C466" s="51"/>
      <c r="E466" s="7"/>
      <c r="F466" s="7"/>
      <c r="G466" s="7"/>
      <c r="H466" s="7"/>
    </row>
    <row r="467">
      <c r="B467" s="51"/>
      <c r="C467" s="51"/>
      <c r="E467" s="7"/>
      <c r="F467" s="7"/>
      <c r="G467" s="7"/>
      <c r="H467" s="7"/>
    </row>
    <row r="468">
      <c r="B468" s="51"/>
      <c r="C468" s="51"/>
      <c r="E468" s="7"/>
      <c r="F468" s="7"/>
      <c r="G468" s="7"/>
      <c r="H468" s="7"/>
    </row>
    <row r="469">
      <c r="B469" s="51"/>
      <c r="C469" s="51"/>
      <c r="E469" s="7"/>
      <c r="F469" s="7"/>
      <c r="G469" s="7"/>
      <c r="H469" s="7"/>
    </row>
    <row r="470">
      <c r="B470" s="51"/>
      <c r="C470" s="51"/>
      <c r="E470" s="7"/>
      <c r="F470" s="7"/>
      <c r="G470" s="7"/>
      <c r="H470" s="7"/>
    </row>
    <row r="471">
      <c r="B471" s="51"/>
      <c r="C471" s="51"/>
      <c r="E471" s="7"/>
      <c r="F471" s="7"/>
      <c r="G471" s="7"/>
      <c r="H471" s="7"/>
    </row>
    <row r="472">
      <c r="B472" s="51"/>
      <c r="C472" s="51"/>
      <c r="E472" s="7"/>
      <c r="F472" s="7"/>
      <c r="G472" s="7"/>
      <c r="H472" s="7"/>
    </row>
    <row r="473">
      <c r="B473" s="51"/>
      <c r="C473" s="51"/>
      <c r="E473" s="7"/>
      <c r="F473" s="7"/>
      <c r="G473" s="7"/>
      <c r="H473" s="7"/>
    </row>
    <row r="474">
      <c r="B474" s="51"/>
      <c r="C474" s="51"/>
      <c r="E474" s="7"/>
      <c r="F474" s="7"/>
      <c r="G474" s="7"/>
      <c r="H474" s="7"/>
    </row>
    <row r="475">
      <c r="B475" s="51"/>
      <c r="C475" s="51"/>
      <c r="E475" s="7"/>
      <c r="F475" s="7"/>
      <c r="G475" s="7"/>
      <c r="H475" s="7"/>
    </row>
    <row r="476">
      <c r="B476" s="51"/>
      <c r="C476" s="51"/>
      <c r="E476" s="7"/>
      <c r="F476" s="7"/>
      <c r="G476" s="7"/>
      <c r="H476" s="7"/>
    </row>
    <row r="477">
      <c r="B477" s="51"/>
      <c r="C477" s="51"/>
      <c r="E477" s="7"/>
      <c r="F477" s="7"/>
      <c r="G477" s="7"/>
      <c r="H477" s="7"/>
    </row>
    <row r="478">
      <c r="B478" s="51"/>
      <c r="C478" s="51"/>
      <c r="E478" s="7"/>
      <c r="F478" s="7"/>
      <c r="G478" s="7"/>
      <c r="H478" s="7"/>
    </row>
    <row r="479">
      <c r="B479" s="51"/>
      <c r="C479" s="51"/>
      <c r="E479" s="7"/>
      <c r="F479" s="7"/>
      <c r="G479" s="7"/>
      <c r="H479" s="7"/>
    </row>
    <row r="480">
      <c r="B480" s="51"/>
      <c r="C480" s="51"/>
      <c r="E480" s="7"/>
      <c r="F480" s="7"/>
      <c r="G480" s="7"/>
      <c r="H480" s="7"/>
    </row>
    <row r="481">
      <c r="B481" s="51"/>
      <c r="C481" s="51"/>
      <c r="E481" s="7"/>
      <c r="F481" s="7"/>
      <c r="G481" s="7"/>
      <c r="H481" s="7"/>
    </row>
    <row r="482">
      <c r="B482" s="51"/>
      <c r="C482" s="51"/>
      <c r="E482" s="7"/>
      <c r="F482" s="7"/>
      <c r="G482" s="7"/>
      <c r="H482" s="7"/>
    </row>
    <row r="483">
      <c r="B483" s="51"/>
      <c r="C483" s="51"/>
      <c r="E483" s="7"/>
      <c r="F483" s="7"/>
      <c r="G483" s="7"/>
      <c r="H483" s="7"/>
    </row>
    <row r="484">
      <c r="B484" s="51"/>
      <c r="C484" s="51"/>
      <c r="E484" s="7"/>
      <c r="F484" s="7"/>
      <c r="G484" s="7"/>
      <c r="H484" s="7"/>
    </row>
    <row r="485">
      <c r="B485" s="51"/>
      <c r="C485" s="51"/>
      <c r="E485" s="7"/>
      <c r="F485" s="7"/>
      <c r="G485" s="7"/>
      <c r="H485" s="7"/>
    </row>
    <row r="486">
      <c r="B486" s="51"/>
      <c r="C486" s="51"/>
      <c r="E486" s="7"/>
      <c r="F486" s="7"/>
      <c r="G486" s="7"/>
      <c r="H486" s="7"/>
    </row>
    <row r="487">
      <c r="B487" s="51"/>
      <c r="C487" s="51"/>
      <c r="E487" s="7"/>
      <c r="F487" s="7"/>
      <c r="G487" s="7"/>
      <c r="H487" s="7"/>
    </row>
    <row r="488">
      <c r="B488" s="51"/>
      <c r="C488" s="51"/>
      <c r="E488" s="7"/>
      <c r="F488" s="7"/>
      <c r="G488" s="7"/>
      <c r="H488" s="7"/>
    </row>
    <row r="489">
      <c r="B489" s="51"/>
      <c r="C489" s="51"/>
      <c r="E489" s="7"/>
      <c r="F489" s="7"/>
      <c r="G489" s="7"/>
      <c r="H489" s="7"/>
    </row>
    <row r="490">
      <c r="B490" s="51"/>
      <c r="C490" s="51"/>
      <c r="E490" s="7"/>
      <c r="F490" s="7"/>
      <c r="G490" s="7"/>
      <c r="H490" s="7"/>
    </row>
    <row r="491">
      <c r="B491" s="51"/>
      <c r="C491" s="51"/>
      <c r="E491" s="7"/>
      <c r="F491" s="7"/>
      <c r="G491" s="7"/>
      <c r="H491" s="7"/>
    </row>
    <row r="492">
      <c r="B492" s="51"/>
      <c r="C492" s="51"/>
      <c r="E492" s="7"/>
      <c r="F492" s="7"/>
      <c r="G492" s="7"/>
      <c r="H492" s="7"/>
    </row>
    <row r="493">
      <c r="B493" s="51"/>
      <c r="C493" s="51"/>
      <c r="E493" s="7"/>
      <c r="F493" s="7"/>
      <c r="G493" s="7"/>
      <c r="H493" s="7"/>
    </row>
    <row r="494">
      <c r="B494" s="51"/>
      <c r="C494" s="51"/>
      <c r="E494" s="7"/>
      <c r="F494" s="7"/>
      <c r="G494" s="7"/>
      <c r="H494" s="7"/>
    </row>
    <row r="495">
      <c r="B495" s="51"/>
      <c r="C495" s="51"/>
      <c r="E495" s="7"/>
      <c r="F495" s="7"/>
      <c r="G495" s="7"/>
      <c r="H495" s="7"/>
    </row>
    <row r="496">
      <c r="B496" s="51"/>
      <c r="C496" s="51"/>
      <c r="E496" s="7"/>
      <c r="F496" s="7"/>
      <c r="G496" s="7"/>
      <c r="H496" s="7"/>
    </row>
    <row r="497">
      <c r="B497" s="51"/>
      <c r="C497" s="51"/>
      <c r="E497" s="7"/>
      <c r="F497" s="7"/>
      <c r="G497" s="7"/>
      <c r="H497" s="7"/>
    </row>
    <row r="498">
      <c r="B498" s="51"/>
      <c r="C498" s="51"/>
      <c r="E498" s="7"/>
      <c r="F498" s="7"/>
      <c r="G498" s="7"/>
      <c r="H498" s="7"/>
    </row>
    <row r="499">
      <c r="B499" s="51"/>
      <c r="C499" s="51"/>
      <c r="E499" s="7"/>
      <c r="F499" s="7"/>
      <c r="G499" s="7"/>
      <c r="H499" s="7"/>
    </row>
    <row r="500">
      <c r="B500" s="51"/>
      <c r="C500" s="51"/>
      <c r="E500" s="7"/>
      <c r="F500" s="7"/>
      <c r="G500" s="7"/>
      <c r="H500" s="7"/>
    </row>
    <row r="501">
      <c r="B501" s="51"/>
      <c r="C501" s="51"/>
      <c r="E501" s="7"/>
      <c r="F501" s="7"/>
      <c r="G501" s="7"/>
      <c r="H501" s="7"/>
    </row>
    <row r="502">
      <c r="B502" s="51"/>
      <c r="C502" s="51"/>
      <c r="E502" s="7"/>
      <c r="F502" s="7"/>
      <c r="G502" s="7"/>
      <c r="H502" s="7"/>
    </row>
    <row r="503">
      <c r="B503" s="51"/>
      <c r="C503" s="51"/>
      <c r="E503" s="7"/>
      <c r="F503" s="7"/>
      <c r="G503" s="7"/>
      <c r="H503" s="7"/>
    </row>
    <row r="504">
      <c r="B504" s="51"/>
      <c r="C504" s="51"/>
      <c r="E504" s="7"/>
      <c r="F504" s="7"/>
      <c r="G504" s="7"/>
      <c r="H504" s="7"/>
    </row>
    <row r="505">
      <c r="B505" s="51"/>
      <c r="C505" s="51"/>
      <c r="E505" s="7"/>
      <c r="F505" s="7"/>
      <c r="G505" s="7"/>
      <c r="H505" s="7"/>
    </row>
    <row r="506">
      <c r="B506" s="51"/>
      <c r="C506" s="51"/>
      <c r="E506" s="7"/>
      <c r="F506" s="7"/>
      <c r="G506" s="7"/>
      <c r="H506" s="7"/>
    </row>
    <row r="507">
      <c r="B507" s="51"/>
      <c r="C507" s="51"/>
      <c r="E507" s="7"/>
      <c r="F507" s="7"/>
      <c r="G507" s="7"/>
      <c r="H507" s="7"/>
    </row>
    <row r="508">
      <c r="B508" s="51"/>
      <c r="C508" s="51"/>
      <c r="E508" s="7"/>
      <c r="F508" s="7"/>
      <c r="G508" s="7"/>
      <c r="H508" s="7"/>
    </row>
    <row r="509">
      <c r="B509" s="51"/>
      <c r="C509" s="51"/>
      <c r="E509" s="7"/>
      <c r="F509" s="7"/>
      <c r="G509" s="7"/>
      <c r="H509" s="7"/>
    </row>
    <row r="510">
      <c r="B510" s="51"/>
      <c r="C510" s="51"/>
      <c r="E510" s="7"/>
      <c r="F510" s="7"/>
      <c r="G510" s="7"/>
      <c r="H510" s="7"/>
    </row>
    <row r="511">
      <c r="B511" s="51"/>
      <c r="C511" s="51"/>
      <c r="E511" s="7"/>
      <c r="F511" s="7"/>
      <c r="G511" s="7"/>
      <c r="H511" s="7"/>
    </row>
    <row r="512">
      <c r="B512" s="51"/>
      <c r="C512" s="51"/>
      <c r="E512" s="7"/>
      <c r="F512" s="7"/>
      <c r="G512" s="7"/>
      <c r="H512" s="7"/>
    </row>
    <row r="513">
      <c r="B513" s="51"/>
      <c r="C513" s="51"/>
      <c r="E513" s="7"/>
      <c r="F513" s="7"/>
      <c r="G513" s="7"/>
      <c r="H513" s="7"/>
    </row>
    <row r="514">
      <c r="B514" s="51"/>
      <c r="C514" s="51"/>
      <c r="E514" s="7"/>
      <c r="F514" s="7"/>
      <c r="G514" s="7"/>
      <c r="H514" s="7"/>
    </row>
    <row r="515">
      <c r="B515" s="51"/>
      <c r="C515" s="51"/>
      <c r="E515" s="7"/>
      <c r="F515" s="7"/>
      <c r="G515" s="7"/>
      <c r="H515" s="7"/>
    </row>
    <row r="516">
      <c r="B516" s="51"/>
      <c r="C516" s="51"/>
      <c r="E516" s="7"/>
      <c r="F516" s="7"/>
      <c r="G516" s="7"/>
      <c r="H516" s="7"/>
    </row>
    <row r="517">
      <c r="B517" s="51"/>
      <c r="C517" s="51"/>
      <c r="E517" s="7"/>
      <c r="F517" s="7"/>
      <c r="G517" s="7"/>
      <c r="H517" s="7"/>
    </row>
    <row r="518">
      <c r="B518" s="51"/>
      <c r="C518" s="51"/>
      <c r="E518" s="7"/>
      <c r="F518" s="7"/>
      <c r="G518" s="7"/>
      <c r="H518" s="7"/>
    </row>
    <row r="519">
      <c r="B519" s="51"/>
      <c r="C519" s="51"/>
      <c r="E519" s="7"/>
      <c r="F519" s="7"/>
      <c r="G519" s="7"/>
      <c r="H519" s="7"/>
    </row>
    <row r="520">
      <c r="B520" s="51"/>
      <c r="C520" s="51"/>
      <c r="E520" s="7"/>
      <c r="F520" s="7"/>
      <c r="G520" s="7"/>
      <c r="H520" s="7"/>
    </row>
    <row r="521">
      <c r="B521" s="51"/>
      <c r="C521" s="51"/>
      <c r="E521" s="7"/>
      <c r="F521" s="7"/>
      <c r="G521" s="7"/>
      <c r="H521" s="7"/>
    </row>
    <row r="522">
      <c r="B522" s="51"/>
      <c r="C522" s="51"/>
      <c r="E522" s="7"/>
      <c r="F522" s="7"/>
      <c r="G522" s="7"/>
      <c r="H522" s="7"/>
    </row>
    <row r="523">
      <c r="B523" s="51"/>
      <c r="C523" s="51"/>
      <c r="E523" s="7"/>
      <c r="F523" s="7"/>
      <c r="G523" s="7"/>
      <c r="H523" s="7"/>
    </row>
    <row r="524">
      <c r="B524" s="51"/>
      <c r="C524" s="51"/>
      <c r="E524" s="7"/>
      <c r="F524" s="7"/>
      <c r="G524" s="7"/>
      <c r="H524" s="7"/>
    </row>
    <row r="525">
      <c r="B525" s="51"/>
      <c r="C525" s="51"/>
      <c r="E525" s="7"/>
      <c r="F525" s="7"/>
      <c r="G525" s="7"/>
      <c r="H525" s="7"/>
    </row>
    <row r="526">
      <c r="B526" s="51"/>
      <c r="C526" s="51"/>
      <c r="E526" s="7"/>
      <c r="F526" s="7"/>
      <c r="G526" s="7"/>
      <c r="H526" s="7"/>
    </row>
    <row r="527">
      <c r="B527" s="51"/>
      <c r="C527" s="51"/>
      <c r="E527" s="7"/>
      <c r="F527" s="7"/>
      <c r="G527" s="7"/>
      <c r="H527" s="7"/>
    </row>
    <row r="528">
      <c r="B528" s="51"/>
      <c r="C528" s="51"/>
      <c r="E528" s="7"/>
      <c r="F528" s="7"/>
      <c r="G528" s="7"/>
      <c r="H528" s="7"/>
    </row>
    <row r="529">
      <c r="B529" s="51"/>
      <c r="C529" s="51"/>
      <c r="E529" s="7"/>
      <c r="F529" s="7"/>
      <c r="G529" s="7"/>
      <c r="H529" s="7"/>
    </row>
    <row r="530">
      <c r="B530" s="51"/>
      <c r="C530" s="51"/>
      <c r="E530" s="7"/>
      <c r="F530" s="7"/>
      <c r="G530" s="7"/>
      <c r="H530" s="7"/>
    </row>
    <row r="531">
      <c r="B531" s="51"/>
      <c r="C531" s="51"/>
      <c r="E531" s="7"/>
      <c r="F531" s="7"/>
      <c r="G531" s="7"/>
      <c r="H531" s="7"/>
    </row>
    <row r="532">
      <c r="B532" s="51"/>
      <c r="C532" s="51"/>
      <c r="E532" s="7"/>
      <c r="F532" s="7"/>
      <c r="G532" s="7"/>
      <c r="H532" s="7"/>
    </row>
    <row r="533">
      <c r="B533" s="51"/>
      <c r="C533" s="51"/>
      <c r="E533" s="7"/>
      <c r="F533" s="7"/>
      <c r="G533" s="7"/>
      <c r="H533" s="7"/>
    </row>
    <row r="534">
      <c r="B534" s="51"/>
      <c r="C534" s="51"/>
      <c r="E534" s="7"/>
      <c r="F534" s="7"/>
      <c r="G534" s="7"/>
      <c r="H534" s="7"/>
    </row>
    <row r="535">
      <c r="B535" s="51"/>
      <c r="C535" s="51"/>
      <c r="E535" s="7"/>
      <c r="F535" s="7"/>
      <c r="G535" s="7"/>
      <c r="H535" s="7"/>
    </row>
    <row r="536">
      <c r="B536" s="51"/>
      <c r="C536" s="51"/>
      <c r="E536" s="7"/>
      <c r="F536" s="7"/>
      <c r="G536" s="7"/>
      <c r="H536" s="7"/>
    </row>
    <row r="537">
      <c r="B537" s="51"/>
      <c r="C537" s="51"/>
      <c r="E537" s="7"/>
      <c r="F537" s="7"/>
      <c r="G537" s="7"/>
      <c r="H537" s="7"/>
    </row>
    <row r="538">
      <c r="B538" s="51"/>
      <c r="C538" s="51"/>
      <c r="E538" s="7"/>
      <c r="F538" s="7"/>
      <c r="G538" s="7"/>
      <c r="H538" s="7"/>
    </row>
    <row r="539">
      <c r="B539" s="51"/>
      <c r="C539" s="51"/>
      <c r="E539" s="7"/>
      <c r="F539" s="7"/>
      <c r="G539" s="7"/>
      <c r="H539" s="7"/>
    </row>
    <row r="540">
      <c r="B540" s="51"/>
      <c r="C540" s="51"/>
      <c r="E540" s="7"/>
      <c r="F540" s="7"/>
      <c r="G540" s="7"/>
      <c r="H540" s="7"/>
    </row>
    <row r="541">
      <c r="B541" s="51"/>
      <c r="C541" s="51"/>
      <c r="E541" s="7"/>
      <c r="F541" s="7"/>
      <c r="G541" s="7"/>
      <c r="H541" s="7"/>
    </row>
    <row r="542">
      <c r="B542" s="51"/>
      <c r="C542" s="51"/>
      <c r="E542" s="7"/>
      <c r="F542" s="7"/>
      <c r="G542" s="7"/>
      <c r="H542" s="7"/>
    </row>
    <row r="543">
      <c r="B543" s="51"/>
      <c r="C543" s="51"/>
      <c r="E543" s="7"/>
      <c r="F543" s="7"/>
      <c r="G543" s="7"/>
      <c r="H543" s="7"/>
    </row>
    <row r="544">
      <c r="B544" s="51"/>
      <c r="C544" s="51"/>
      <c r="E544" s="7"/>
      <c r="F544" s="7"/>
      <c r="G544" s="7"/>
      <c r="H544" s="7"/>
    </row>
    <row r="545">
      <c r="B545" s="51"/>
      <c r="C545" s="51"/>
      <c r="E545" s="7"/>
      <c r="F545" s="7"/>
      <c r="G545" s="7"/>
      <c r="H545" s="7"/>
    </row>
    <row r="546">
      <c r="B546" s="51"/>
      <c r="C546" s="51"/>
      <c r="E546" s="7"/>
      <c r="F546" s="7"/>
      <c r="G546" s="7"/>
      <c r="H546" s="7"/>
    </row>
    <row r="547">
      <c r="B547" s="51"/>
      <c r="C547" s="51"/>
      <c r="E547" s="7"/>
      <c r="F547" s="7"/>
      <c r="G547" s="7"/>
      <c r="H547" s="7"/>
    </row>
    <row r="548">
      <c r="B548" s="51"/>
      <c r="C548" s="51"/>
      <c r="E548" s="7"/>
      <c r="F548" s="7"/>
      <c r="G548" s="7"/>
      <c r="H548" s="7"/>
    </row>
    <row r="549">
      <c r="B549" s="51"/>
      <c r="C549" s="51"/>
      <c r="E549" s="7"/>
      <c r="F549" s="7"/>
      <c r="G549" s="7"/>
      <c r="H549" s="7"/>
    </row>
    <row r="550">
      <c r="B550" s="51"/>
      <c r="C550" s="51"/>
      <c r="E550" s="7"/>
      <c r="F550" s="7"/>
      <c r="G550" s="7"/>
      <c r="H550" s="7"/>
    </row>
    <row r="551">
      <c r="B551" s="51"/>
      <c r="C551" s="51"/>
      <c r="E551" s="7"/>
      <c r="F551" s="7"/>
      <c r="G551" s="7"/>
      <c r="H551" s="7"/>
    </row>
    <row r="552">
      <c r="B552" s="51"/>
      <c r="C552" s="51"/>
      <c r="E552" s="7"/>
      <c r="F552" s="7"/>
      <c r="G552" s="7"/>
      <c r="H552" s="7"/>
    </row>
    <row r="553">
      <c r="B553" s="51"/>
      <c r="C553" s="51"/>
      <c r="E553" s="7"/>
      <c r="F553" s="7"/>
      <c r="G553" s="7"/>
      <c r="H553" s="7"/>
    </row>
    <row r="554">
      <c r="B554" s="51"/>
      <c r="C554" s="51"/>
      <c r="E554" s="7"/>
      <c r="F554" s="7"/>
      <c r="G554" s="7"/>
      <c r="H554" s="7"/>
    </row>
    <row r="555">
      <c r="B555" s="51"/>
      <c r="C555" s="51"/>
      <c r="E555" s="7"/>
      <c r="F555" s="7"/>
      <c r="G555" s="7"/>
      <c r="H555" s="7"/>
    </row>
    <row r="556">
      <c r="B556" s="51"/>
      <c r="C556" s="51"/>
      <c r="E556" s="7"/>
      <c r="F556" s="7"/>
      <c r="G556" s="7"/>
      <c r="H556" s="7"/>
    </row>
    <row r="557">
      <c r="B557" s="51"/>
      <c r="C557" s="51"/>
      <c r="E557" s="7"/>
      <c r="F557" s="7"/>
      <c r="G557" s="7"/>
      <c r="H557" s="7"/>
    </row>
    <row r="558">
      <c r="B558" s="51"/>
      <c r="C558" s="51"/>
      <c r="E558" s="7"/>
      <c r="F558" s="7"/>
      <c r="G558" s="7"/>
      <c r="H558" s="7"/>
    </row>
    <row r="559">
      <c r="B559" s="51"/>
      <c r="C559" s="51"/>
      <c r="E559" s="7"/>
      <c r="F559" s="7"/>
      <c r="G559" s="7"/>
      <c r="H559" s="7"/>
    </row>
    <row r="560">
      <c r="B560" s="51"/>
      <c r="C560" s="51"/>
      <c r="E560" s="7"/>
      <c r="F560" s="7"/>
      <c r="G560" s="7"/>
      <c r="H560" s="7"/>
    </row>
    <row r="561">
      <c r="B561" s="51"/>
      <c r="C561" s="51"/>
      <c r="E561" s="7"/>
      <c r="F561" s="7"/>
      <c r="G561" s="7"/>
      <c r="H561" s="7"/>
    </row>
    <row r="562">
      <c r="B562" s="51"/>
      <c r="C562" s="51"/>
      <c r="E562" s="7"/>
      <c r="F562" s="7"/>
      <c r="G562" s="7"/>
      <c r="H562" s="7"/>
    </row>
    <row r="563">
      <c r="B563" s="51"/>
      <c r="C563" s="51"/>
      <c r="E563" s="7"/>
      <c r="F563" s="7"/>
      <c r="G563" s="7"/>
      <c r="H563" s="7"/>
    </row>
    <row r="564">
      <c r="B564" s="51"/>
      <c r="C564" s="51"/>
      <c r="E564" s="7"/>
      <c r="F564" s="7"/>
      <c r="G564" s="7"/>
      <c r="H564" s="7"/>
    </row>
    <row r="565">
      <c r="B565" s="51"/>
      <c r="C565" s="51"/>
      <c r="E565" s="7"/>
      <c r="F565" s="7"/>
      <c r="G565" s="7"/>
      <c r="H565" s="7"/>
    </row>
    <row r="566">
      <c r="B566" s="51"/>
      <c r="C566" s="51"/>
      <c r="E566" s="7"/>
      <c r="F566" s="7"/>
      <c r="G566" s="7"/>
      <c r="H566" s="7"/>
    </row>
    <row r="567">
      <c r="B567" s="51"/>
      <c r="C567" s="51"/>
      <c r="E567" s="7"/>
      <c r="F567" s="7"/>
      <c r="G567" s="7"/>
      <c r="H567" s="7"/>
    </row>
    <row r="568">
      <c r="B568" s="51"/>
      <c r="C568" s="51"/>
      <c r="E568" s="7"/>
      <c r="F568" s="7"/>
      <c r="G568" s="7"/>
      <c r="H568" s="7"/>
    </row>
    <row r="569">
      <c r="B569" s="51"/>
      <c r="C569" s="51"/>
      <c r="E569" s="7"/>
      <c r="F569" s="7"/>
      <c r="G569" s="7"/>
      <c r="H569" s="7"/>
    </row>
    <row r="570">
      <c r="B570" s="51"/>
      <c r="C570" s="51"/>
      <c r="E570" s="7"/>
      <c r="F570" s="7"/>
      <c r="G570" s="7"/>
      <c r="H570" s="7"/>
    </row>
    <row r="571">
      <c r="B571" s="51"/>
      <c r="C571" s="51"/>
      <c r="E571" s="7"/>
      <c r="F571" s="7"/>
      <c r="G571" s="7"/>
      <c r="H571" s="7"/>
    </row>
    <row r="572">
      <c r="B572" s="51"/>
      <c r="C572" s="51"/>
      <c r="E572" s="7"/>
      <c r="F572" s="7"/>
      <c r="G572" s="7"/>
      <c r="H572" s="7"/>
    </row>
    <row r="573">
      <c r="B573" s="51"/>
      <c r="C573" s="51"/>
      <c r="E573" s="7"/>
      <c r="F573" s="7"/>
      <c r="G573" s="7"/>
      <c r="H573" s="7"/>
    </row>
    <row r="574">
      <c r="B574" s="51"/>
      <c r="C574" s="51"/>
      <c r="E574" s="7"/>
      <c r="F574" s="7"/>
      <c r="G574" s="7"/>
      <c r="H574" s="7"/>
    </row>
    <row r="575">
      <c r="B575" s="51"/>
      <c r="C575" s="51"/>
      <c r="E575" s="7"/>
      <c r="F575" s="7"/>
      <c r="G575" s="7"/>
      <c r="H575" s="7"/>
    </row>
    <row r="576">
      <c r="B576" s="51"/>
      <c r="C576" s="51"/>
      <c r="E576" s="7"/>
      <c r="F576" s="7"/>
      <c r="G576" s="7"/>
      <c r="H576" s="7"/>
    </row>
    <row r="577">
      <c r="B577" s="51"/>
      <c r="C577" s="51"/>
      <c r="E577" s="7"/>
      <c r="F577" s="7"/>
      <c r="G577" s="7"/>
      <c r="H577" s="7"/>
    </row>
    <row r="578">
      <c r="B578" s="51"/>
      <c r="C578" s="51"/>
      <c r="E578" s="7"/>
      <c r="F578" s="7"/>
      <c r="G578" s="7"/>
      <c r="H578" s="7"/>
    </row>
    <row r="579">
      <c r="B579" s="51"/>
      <c r="C579" s="51"/>
      <c r="E579" s="7"/>
      <c r="F579" s="7"/>
      <c r="G579" s="7"/>
      <c r="H579" s="7"/>
    </row>
    <row r="580">
      <c r="B580" s="51"/>
      <c r="C580" s="51"/>
      <c r="E580" s="7"/>
      <c r="F580" s="7"/>
      <c r="G580" s="7"/>
      <c r="H580" s="7"/>
    </row>
    <row r="581">
      <c r="B581" s="51"/>
      <c r="C581" s="51"/>
      <c r="E581" s="7"/>
      <c r="F581" s="7"/>
      <c r="G581" s="7"/>
      <c r="H581" s="7"/>
    </row>
    <row r="582">
      <c r="B582" s="51"/>
      <c r="C582" s="51"/>
      <c r="E582" s="7"/>
      <c r="F582" s="7"/>
      <c r="G582" s="7"/>
      <c r="H582" s="7"/>
    </row>
    <row r="583">
      <c r="B583" s="51"/>
      <c r="C583" s="51"/>
      <c r="E583" s="7"/>
      <c r="F583" s="7"/>
      <c r="G583" s="7"/>
      <c r="H583" s="7"/>
    </row>
    <row r="584">
      <c r="B584" s="51"/>
      <c r="C584" s="51"/>
      <c r="E584" s="7"/>
      <c r="F584" s="7"/>
      <c r="G584" s="7"/>
      <c r="H584" s="7"/>
    </row>
    <row r="585">
      <c r="B585" s="51"/>
      <c r="C585" s="51"/>
      <c r="E585" s="7"/>
      <c r="F585" s="7"/>
      <c r="G585" s="7"/>
      <c r="H585" s="7"/>
    </row>
    <row r="586">
      <c r="B586" s="51"/>
      <c r="C586" s="51"/>
      <c r="E586" s="7"/>
      <c r="F586" s="7"/>
      <c r="G586" s="7"/>
      <c r="H586" s="7"/>
    </row>
    <row r="587">
      <c r="B587" s="51"/>
      <c r="C587" s="51"/>
      <c r="E587" s="7"/>
      <c r="F587" s="7"/>
      <c r="G587" s="7"/>
      <c r="H587" s="7"/>
    </row>
    <row r="588">
      <c r="B588" s="51"/>
      <c r="C588" s="51"/>
      <c r="E588" s="7"/>
      <c r="F588" s="7"/>
      <c r="G588" s="7"/>
      <c r="H588" s="7"/>
    </row>
    <row r="589">
      <c r="B589" s="51"/>
      <c r="C589" s="51"/>
      <c r="E589" s="7"/>
      <c r="F589" s="7"/>
      <c r="G589" s="7"/>
      <c r="H589" s="7"/>
    </row>
    <row r="590">
      <c r="B590" s="51"/>
      <c r="C590" s="51"/>
      <c r="E590" s="7"/>
      <c r="F590" s="7"/>
      <c r="G590" s="7"/>
      <c r="H590" s="7"/>
    </row>
    <row r="591">
      <c r="B591" s="51"/>
      <c r="C591" s="51"/>
      <c r="E591" s="7"/>
      <c r="F591" s="7"/>
      <c r="G591" s="7"/>
      <c r="H591" s="7"/>
    </row>
    <row r="592">
      <c r="B592" s="51"/>
      <c r="C592" s="51"/>
      <c r="E592" s="7"/>
      <c r="F592" s="7"/>
      <c r="G592" s="7"/>
      <c r="H592" s="7"/>
    </row>
    <row r="593">
      <c r="B593" s="51"/>
      <c r="C593" s="51"/>
      <c r="E593" s="7"/>
      <c r="F593" s="7"/>
      <c r="G593" s="7"/>
      <c r="H593" s="7"/>
    </row>
    <row r="594">
      <c r="B594" s="51"/>
      <c r="C594" s="51"/>
      <c r="E594" s="7"/>
      <c r="F594" s="7"/>
      <c r="G594" s="7"/>
      <c r="H594" s="7"/>
    </row>
    <row r="595">
      <c r="B595" s="51"/>
      <c r="C595" s="51"/>
      <c r="E595" s="7"/>
      <c r="F595" s="7"/>
      <c r="G595" s="7"/>
      <c r="H595" s="7"/>
    </row>
    <row r="596">
      <c r="B596" s="51"/>
      <c r="C596" s="51"/>
      <c r="E596" s="7"/>
      <c r="F596" s="7"/>
      <c r="G596" s="7"/>
      <c r="H596" s="7"/>
    </row>
    <row r="597">
      <c r="B597" s="51"/>
      <c r="C597" s="51"/>
      <c r="E597" s="7"/>
      <c r="F597" s="7"/>
      <c r="G597" s="7"/>
      <c r="H597" s="7"/>
    </row>
    <row r="598">
      <c r="B598" s="51"/>
      <c r="C598" s="51"/>
      <c r="E598" s="7"/>
      <c r="F598" s="7"/>
      <c r="G598" s="7"/>
      <c r="H598" s="7"/>
    </row>
    <row r="599">
      <c r="B599" s="51"/>
      <c r="C599" s="51"/>
      <c r="E599" s="7"/>
      <c r="F599" s="7"/>
      <c r="G599" s="7"/>
      <c r="H599" s="7"/>
    </row>
    <row r="600">
      <c r="B600" s="51"/>
      <c r="C600" s="51"/>
      <c r="E600" s="7"/>
      <c r="F600" s="7"/>
      <c r="G600" s="7"/>
      <c r="H600" s="7"/>
    </row>
    <row r="601">
      <c r="B601" s="51"/>
      <c r="C601" s="51"/>
      <c r="E601" s="7"/>
      <c r="F601" s="7"/>
      <c r="G601" s="7"/>
      <c r="H601" s="7"/>
    </row>
    <row r="602">
      <c r="B602" s="51"/>
      <c r="C602" s="51"/>
      <c r="E602" s="7"/>
      <c r="F602" s="7"/>
      <c r="G602" s="7"/>
      <c r="H602" s="7"/>
    </row>
    <row r="603">
      <c r="B603" s="51"/>
      <c r="C603" s="51"/>
      <c r="E603" s="7"/>
      <c r="F603" s="7"/>
      <c r="G603" s="7"/>
      <c r="H603" s="7"/>
    </row>
    <row r="604">
      <c r="B604" s="51"/>
      <c r="C604" s="51"/>
      <c r="E604" s="7"/>
      <c r="F604" s="7"/>
      <c r="G604" s="7"/>
      <c r="H604" s="7"/>
    </row>
    <row r="605">
      <c r="B605" s="51"/>
      <c r="C605" s="51"/>
      <c r="E605" s="7"/>
      <c r="F605" s="7"/>
      <c r="G605" s="7"/>
      <c r="H605" s="7"/>
    </row>
    <row r="606">
      <c r="B606" s="51"/>
      <c r="C606" s="51"/>
      <c r="E606" s="7"/>
      <c r="F606" s="7"/>
      <c r="G606" s="7"/>
      <c r="H606" s="7"/>
    </row>
    <row r="607">
      <c r="B607" s="51"/>
      <c r="C607" s="51"/>
      <c r="E607" s="7"/>
      <c r="F607" s="7"/>
      <c r="G607" s="7"/>
      <c r="H607" s="7"/>
    </row>
    <row r="608">
      <c r="B608" s="51"/>
      <c r="C608" s="51"/>
      <c r="E608" s="7"/>
      <c r="F608" s="7"/>
      <c r="G608" s="7"/>
      <c r="H608" s="7"/>
    </row>
    <row r="609">
      <c r="B609" s="51"/>
      <c r="C609" s="51"/>
      <c r="E609" s="7"/>
      <c r="F609" s="7"/>
      <c r="G609" s="7"/>
      <c r="H609" s="7"/>
    </row>
    <row r="610">
      <c r="B610" s="51"/>
      <c r="C610" s="51"/>
      <c r="E610" s="7"/>
      <c r="F610" s="7"/>
      <c r="G610" s="7"/>
      <c r="H610" s="7"/>
    </row>
    <row r="611">
      <c r="B611" s="51"/>
      <c r="C611" s="51"/>
      <c r="E611" s="7"/>
      <c r="F611" s="7"/>
      <c r="G611" s="7"/>
      <c r="H611" s="7"/>
    </row>
    <row r="612">
      <c r="B612" s="51"/>
      <c r="C612" s="51"/>
      <c r="E612" s="7"/>
      <c r="F612" s="7"/>
      <c r="G612" s="7"/>
      <c r="H612" s="7"/>
    </row>
    <row r="613">
      <c r="B613" s="51"/>
      <c r="C613" s="51"/>
      <c r="E613" s="7"/>
      <c r="F613" s="7"/>
      <c r="G613" s="7"/>
      <c r="H613" s="7"/>
    </row>
    <row r="614">
      <c r="B614" s="51"/>
      <c r="C614" s="51"/>
      <c r="E614" s="7"/>
      <c r="F614" s="7"/>
      <c r="G614" s="7"/>
      <c r="H614" s="7"/>
    </row>
    <row r="615">
      <c r="B615" s="51"/>
      <c r="C615" s="51"/>
      <c r="E615" s="7"/>
      <c r="F615" s="7"/>
      <c r="G615" s="7"/>
      <c r="H615" s="7"/>
    </row>
    <row r="616">
      <c r="B616" s="51"/>
      <c r="C616" s="51"/>
      <c r="E616" s="7"/>
      <c r="F616" s="7"/>
      <c r="G616" s="7"/>
      <c r="H616" s="7"/>
    </row>
    <row r="617">
      <c r="B617" s="51"/>
      <c r="C617" s="51"/>
      <c r="E617" s="7"/>
      <c r="F617" s="7"/>
      <c r="G617" s="7"/>
      <c r="H617" s="7"/>
    </row>
    <row r="618">
      <c r="B618" s="51"/>
      <c r="C618" s="51"/>
      <c r="E618" s="7"/>
      <c r="F618" s="7"/>
      <c r="G618" s="7"/>
      <c r="H618" s="7"/>
    </row>
    <row r="619">
      <c r="B619" s="51"/>
      <c r="C619" s="51"/>
      <c r="E619" s="7"/>
      <c r="F619" s="7"/>
      <c r="G619" s="7"/>
      <c r="H619" s="7"/>
    </row>
    <row r="620">
      <c r="B620" s="51"/>
      <c r="C620" s="51"/>
      <c r="E620" s="7"/>
      <c r="F620" s="7"/>
      <c r="G620" s="7"/>
      <c r="H620" s="7"/>
    </row>
    <row r="621">
      <c r="B621" s="51"/>
      <c r="C621" s="51"/>
      <c r="E621" s="7"/>
      <c r="F621" s="7"/>
      <c r="G621" s="7"/>
      <c r="H621" s="7"/>
    </row>
    <row r="622">
      <c r="B622" s="51"/>
      <c r="C622" s="51"/>
      <c r="E622" s="7"/>
      <c r="F622" s="7"/>
      <c r="G622" s="7"/>
      <c r="H622" s="7"/>
    </row>
    <row r="623">
      <c r="B623" s="51"/>
      <c r="C623" s="51"/>
      <c r="E623" s="7"/>
      <c r="F623" s="7"/>
      <c r="G623" s="7"/>
      <c r="H623" s="7"/>
    </row>
    <row r="624">
      <c r="B624" s="51"/>
      <c r="C624" s="51"/>
      <c r="E624" s="7"/>
      <c r="F624" s="7"/>
      <c r="G624" s="7"/>
      <c r="H624" s="7"/>
    </row>
    <row r="625">
      <c r="B625" s="51"/>
      <c r="C625" s="51"/>
      <c r="E625" s="7"/>
      <c r="F625" s="7"/>
      <c r="G625" s="7"/>
      <c r="H625" s="7"/>
    </row>
    <row r="626">
      <c r="B626" s="51"/>
      <c r="C626" s="51"/>
      <c r="E626" s="7"/>
      <c r="F626" s="7"/>
      <c r="G626" s="7"/>
      <c r="H626" s="7"/>
    </row>
    <row r="627">
      <c r="B627" s="51"/>
      <c r="C627" s="51"/>
      <c r="E627" s="7"/>
      <c r="F627" s="7"/>
      <c r="G627" s="7"/>
      <c r="H627" s="7"/>
    </row>
    <row r="628">
      <c r="B628" s="51"/>
      <c r="C628" s="51"/>
      <c r="E628" s="7"/>
      <c r="F628" s="7"/>
      <c r="G628" s="7"/>
      <c r="H628" s="7"/>
    </row>
    <row r="629">
      <c r="B629" s="51"/>
      <c r="C629" s="51"/>
      <c r="E629" s="7"/>
      <c r="F629" s="7"/>
      <c r="G629" s="7"/>
      <c r="H629" s="7"/>
    </row>
    <row r="630">
      <c r="B630" s="51"/>
      <c r="C630" s="51"/>
      <c r="E630" s="7"/>
      <c r="F630" s="7"/>
      <c r="G630" s="7"/>
      <c r="H630" s="7"/>
    </row>
    <row r="631">
      <c r="B631" s="51"/>
      <c r="C631" s="51"/>
      <c r="E631" s="7"/>
      <c r="F631" s="7"/>
      <c r="G631" s="7"/>
      <c r="H631" s="7"/>
    </row>
    <row r="632">
      <c r="B632" s="51"/>
      <c r="C632" s="51"/>
      <c r="E632" s="7"/>
      <c r="F632" s="7"/>
      <c r="G632" s="7"/>
      <c r="H632" s="7"/>
    </row>
    <row r="633">
      <c r="B633" s="51"/>
      <c r="C633" s="51"/>
      <c r="E633" s="7"/>
      <c r="F633" s="7"/>
      <c r="G633" s="7"/>
      <c r="H633" s="7"/>
    </row>
    <row r="634">
      <c r="B634" s="51"/>
      <c r="C634" s="51"/>
      <c r="E634" s="7"/>
      <c r="F634" s="7"/>
      <c r="G634" s="7"/>
      <c r="H634" s="7"/>
    </row>
    <row r="635">
      <c r="B635" s="51"/>
      <c r="C635" s="51"/>
      <c r="E635" s="7"/>
      <c r="F635" s="7"/>
      <c r="G635" s="7"/>
      <c r="H635" s="7"/>
    </row>
    <row r="636">
      <c r="B636" s="51"/>
      <c r="C636" s="51"/>
      <c r="E636" s="7"/>
      <c r="F636" s="7"/>
      <c r="G636" s="7"/>
      <c r="H636" s="7"/>
    </row>
    <row r="637">
      <c r="B637" s="51"/>
      <c r="C637" s="51"/>
      <c r="E637" s="7"/>
      <c r="F637" s="7"/>
      <c r="G637" s="7"/>
      <c r="H637" s="7"/>
    </row>
    <row r="638">
      <c r="B638" s="51"/>
      <c r="C638" s="51"/>
      <c r="E638" s="7"/>
      <c r="F638" s="7"/>
      <c r="G638" s="7"/>
      <c r="H638" s="7"/>
    </row>
    <row r="639">
      <c r="B639" s="51"/>
      <c r="C639" s="51"/>
      <c r="E639" s="7"/>
      <c r="F639" s="7"/>
      <c r="G639" s="7"/>
      <c r="H639" s="7"/>
    </row>
    <row r="640">
      <c r="B640" s="51"/>
      <c r="C640" s="51"/>
      <c r="E640" s="7"/>
      <c r="F640" s="7"/>
      <c r="G640" s="7"/>
      <c r="H640" s="7"/>
    </row>
    <row r="641">
      <c r="B641" s="51"/>
      <c r="C641" s="51"/>
      <c r="E641" s="7"/>
      <c r="F641" s="7"/>
      <c r="G641" s="7"/>
      <c r="H641" s="7"/>
    </row>
    <row r="642">
      <c r="B642" s="51"/>
      <c r="C642" s="51"/>
      <c r="E642" s="7"/>
      <c r="F642" s="7"/>
      <c r="G642" s="7"/>
      <c r="H642" s="7"/>
    </row>
    <row r="643">
      <c r="B643" s="51"/>
      <c r="C643" s="51"/>
      <c r="E643" s="7"/>
      <c r="F643" s="7"/>
      <c r="G643" s="7"/>
      <c r="H643" s="7"/>
    </row>
    <row r="644">
      <c r="B644" s="51"/>
      <c r="C644" s="51"/>
      <c r="E644" s="7"/>
      <c r="F644" s="7"/>
      <c r="G644" s="7"/>
      <c r="H644" s="7"/>
    </row>
    <row r="645">
      <c r="B645" s="51"/>
      <c r="C645" s="51"/>
      <c r="E645" s="7"/>
      <c r="F645" s="7"/>
      <c r="G645" s="7"/>
      <c r="H645" s="7"/>
    </row>
    <row r="646">
      <c r="B646" s="51"/>
      <c r="C646" s="51"/>
      <c r="E646" s="7"/>
      <c r="F646" s="7"/>
      <c r="G646" s="7"/>
      <c r="H646" s="7"/>
    </row>
    <row r="647">
      <c r="B647" s="51"/>
      <c r="C647" s="51"/>
      <c r="E647" s="7"/>
      <c r="F647" s="7"/>
      <c r="G647" s="7"/>
      <c r="H647" s="7"/>
    </row>
    <row r="648">
      <c r="B648" s="51"/>
      <c r="C648" s="51"/>
      <c r="E648" s="7"/>
      <c r="F648" s="7"/>
      <c r="G648" s="7"/>
      <c r="H648" s="7"/>
    </row>
    <row r="649">
      <c r="B649" s="51"/>
      <c r="C649" s="51"/>
      <c r="E649" s="7"/>
      <c r="F649" s="7"/>
      <c r="G649" s="7"/>
      <c r="H649" s="7"/>
    </row>
    <row r="650">
      <c r="B650" s="51"/>
      <c r="C650" s="51"/>
      <c r="E650" s="7"/>
      <c r="F650" s="7"/>
      <c r="G650" s="7"/>
      <c r="H650" s="7"/>
    </row>
    <row r="651">
      <c r="B651" s="51"/>
      <c r="C651" s="51"/>
      <c r="E651" s="7"/>
      <c r="F651" s="7"/>
      <c r="G651" s="7"/>
      <c r="H651" s="7"/>
    </row>
    <row r="652">
      <c r="B652" s="51"/>
      <c r="C652" s="51"/>
      <c r="E652" s="7"/>
      <c r="F652" s="7"/>
      <c r="G652" s="7"/>
      <c r="H652" s="7"/>
    </row>
    <row r="653">
      <c r="B653" s="51"/>
      <c r="C653" s="51"/>
      <c r="E653" s="7"/>
      <c r="F653" s="7"/>
      <c r="G653" s="7"/>
      <c r="H653" s="7"/>
    </row>
    <row r="654">
      <c r="B654" s="51"/>
      <c r="C654" s="51"/>
      <c r="E654" s="7"/>
      <c r="F654" s="7"/>
      <c r="G654" s="7"/>
      <c r="H654" s="7"/>
    </row>
    <row r="655">
      <c r="B655" s="51"/>
      <c r="C655" s="51"/>
      <c r="E655" s="7"/>
      <c r="F655" s="7"/>
      <c r="G655" s="7"/>
      <c r="H655" s="7"/>
    </row>
    <row r="656">
      <c r="B656" s="51"/>
      <c r="C656" s="51"/>
      <c r="E656" s="7"/>
      <c r="F656" s="7"/>
      <c r="G656" s="7"/>
      <c r="H656" s="7"/>
    </row>
    <row r="657">
      <c r="B657" s="51"/>
      <c r="C657" s="51"/>
      <c r="E657" s="7"/>
      <c r="F657" s="7"/>
      <c r="G657" s="7"/>
      <c r="H657" s="7"/>
    </row>
    <row r="658">
      <c r="B658" s="51"/>
      <c r="C658" s="51"/>
      <c r="E658" s="7"/>
      <c r="F658" s="7"/>
      <c r="G658" s="7"/>
      <c r="H658" s="7"/>
    </row>
    <row r="659">
      <c r="B659" s="51"/>
      <c r="C659" s="51"/>
      <c r="E659" s="7"/>
      <c r="F659" s="7"/>
      <c r="G659" s="7"/>
      <c r="H659" s="7"/>
    </row>
    <row r="660">
      <c r="B660" s="51"/>
      <c r="C660" s="51"/>
      <c r="E660" s="7"/>
      <c r="F660" s="7"/>
      <c r="G660" s="7"/>
      <c r="H660" s="7"/>
    </row>
    <row r="661">
      <c r="B661" s="51"/>
      <c r="C661" s="51"/>
      <c r="E661" s="7"/>
      <c r="F661" s="7"/>
      <c r="G661" s="7"/>
      <c r="H661" s="7"/>
    </row>
    <row r="662">
      <c r="B662" s="51"/>
      <c r="C662" s="51"/>
      <c r="E662" s="7"/>
      <c r="F662" s="7"/>
      <c r="G662" s="7"/>
      <c r="H662" s="7"/>
    </row>
    <row r="663">
      <c r="B663" s="51"/>
      <c r="C663" s="51"/>
      <c r="E663" s="7"/>
      <c r="F663" s="7"/>
      <c r="G663" s="7"/>
      <c r="H663" s="7"/>
    </row>
    <row r="664">
      <c r="B664" s="51"/>
      <c r="C664" s="51"/>
      <c r="E664" s="7"/>
      <c r="F664" s="7"/>
      <c r="G664" s="7"/>
      <c r="H664" s="7"/>
    </row>
    <row r="665">
      <c r="B665" s="51"/>
      <c r="C665" s="51"/>
      <c r="E665" s="7"/>
      <c r="F665" s="7"/>
      <c r="G665" s="7"/>
      <c r="H665" s="7"/>
    </row>
    <row r="666">
      <c r="B666" s="51"/>
      <c r="C666" s="51"/>
      <c r="E666" s="7"/>
      <c r="F666" s="7"/>
      <c r="G666" s="7"/>
      <c r="H666" s="7"/>
    </row>
    <row r="667">
      <c r="B667" s="51"/>
      <c r="C667" s="51"/>
      <c r="E667" s="7"/>
      <c r="F667" s="7"/>
      <c r="G667" s="7"/>
      <c r="H667" s="7"/>
    </row>
    <row r="668">
      <c r="B668" s="51"/>
      <c r="C668" s="51"/>
      <c r="E668" s="7"/>
      <c r="F668" s="7"/>
      <c r="G668" s="7"/>
      <c r="H668" s="7"/>
    </row>
    <row r="669">
      <c r="B669" s="51"/>
      <c r="C669" s="51"/>
      <c r="E669" s="7"/>
      <c r="F669" s="7"/>
      <c r="G669" s="7"/>
      <c r="H669" s="7"/>
    </row>
    <row r="670">
      <c r="B670" s="51"/>
      <c r="C670" s="51"/>
      <c r="E670" s="7"/>
      <c r="F670" s="7"/>
      <c r="G670" s="7"/>
      <c r="H670" s="7"/>
    </row>
    <row r="671">
      <c r="B671" s="51"/>
      <c r="C671" s="51"/>
      <c r="E671" s="7"/>
      <c r="F671" s="7"/>
      <c r="G671" s="7"/>
      <c r="H671" s="7"/>
    </row>
    <row r="672">
      <c r="B672" s="51"/>
      <c r="C672" s="51"/>
      <c r="E672" s="7"/>
      <c r="F672" s="7"/>
      <c r="G672" s="7"/>
      <c r="H672" s="7"/>
    </row>
    <row r="673">
      <c r="B673" s="51"/>
      <c r="C673" s="51"/>
      <c r="E673" s="7"/>
      <c r="F673" s="7"/>
      <c r="G673" s="7"/>
      <c r="H673" s="7"/>
    </row>
    <row r="674">
      <c r="B674" s="51"/>
      <c r="C674" s="51"/>
      <c r="E674" s="7"/>
      <c r="F674" s="7"/>
      <c r="G674" s="7"/>
      <c r="H674" s="7"/>
    </row>
    <row r="675">
      <c r="B675" s="51"/>
      <c r="C675" s="51"/>
      <c r="E675" s="7"/>
      <c r="F675" s="7"/>
      <c r="G675" s="7"/>
      <c r="H675" s="7"/>
    </row>
    <row r="676">
      <c r="B676" s="51"/>
      <c r="C676" s="51"/>
      <c r="E676" s="7"/>
      <c r="F676" s="7"/>
      <c r="G676" s="7"/>
      <c r="H676" s="7"/>
    </row>
    <row r="677">
      <c r="B677" s="51"/>
      <c r="C677" s="51"/>
      <c r="E677" s="7"/>
      <c r="F677" s="7"/>
      <c r="G677" s="7"/>
      <c r="H677" s="7"/>
    </row>
    <row r="678">
      <c r="B678" s="51"/>
      <c r="C678" s="51"/>
      <c r="E678" s="7"/>
      <c r="F678" s="7"/>
      <c r="G678" s="7"/>
      <c r="H678" s="7"/>
    </row>
    <row r="679">
      <c r="B679" s="51"/>
      <c r="C679" s="51"/>
      <c r="E679" s="7"/>
      <c r="F679" s="7"/>
      <c r="G679" s="7"/>
      <c r="H679" s="7"/>
    </row>
    <row r="680">
      <c r="B680" s="51"/>
      <c r="C680" s="51"/>
      <c r="E680" s="7"/>
      <c r="F680" s="7"/>
      <c r="G680" s="7"/>
      <c r="H680" s="7"/>
    </row>
    <row r="681">
      <c r="B681" s="51"/>
      <c r="C681" s="51"/>
      <c r="E681" s="7"/>
      <c r="F681" s="7"/>
      <c r="G681" s="7"/>
      <c r="H681" s="7"/>
    </row>
    <row r="682">
      <c r="B682" s="51"/>
      <c r="C682" s="51"/>
      <c r="E682" s="7"/>
      <c r="F682" s="7"/>
      <c r="G682" s="7"/>
      <c r="H682" s="7"/>
    </row>
    <row r="683">
      <c r="B683" s="51"/>
      <c r="C683" s="51"/>
      <c r="E683" s="7"/>
      <c r="F683" s="7"/>
      <c r="G683" s="7"/>
      <c r="H683" s="7"/>
    </row>
    <row r="684">
      <c r="B684" s="51"/>
      <c r="C684" s="51"/>
      <c r="E684" s="7"/>
      <c r="F684" s="7"/>
      <c r="G684" s="7"/>
      <c r="H684" s="7"/>
    </row>
    <row r="685">
      <c r="B685" s="51"/>
      <c r="C685" s="51"/>
      <c r="E685" s="7"/>
      <c r="F685" s="7"/>
      <c r="G685" s="7"/>
      <c r="H685" s="7"/>
    </row>
    <row r="686">
      <c r="B686" s="51"/>
      <c r="C686" s="51"/>
      <c r="E686" s="7"/>
      <c r="F686" s="7"/>
      <c r="G686" s="7"/>
      <c r="H686" s="7"/>
    </row>
    <row r="687">
      <c r="B687" s="51"/>
      <c r="C687" s="51"/>
      <c r="E687" s="7"/>
      <c r="F687" s="7"/>
      <c r="G687" s="7"/>
      <c r="H687" s="7"/>
    </row>
    <row r="688">
      <c r="B688" s="51"/>
      <c r="C688" s="51"/>
      <c r="E688" s="7"/>
      <c r="F688" s="7"/>
      <c r="G688" s="7"/>
      <c r="H688" s="7"/>
    </row>
    <row r="689">
      <c r="B689" s="51"/>
      <c r="C689" s="51"/>
      <c r="E689" s="7"/>
      <c r="F689" s="7"/>
      <c r="G689" s="7"/>
      <c r="H689" s="7"/>
    </row>
    <row r="690">
      <c r="B690" s="51"/>
      <c r="C690" s="51"/>
      <c r="E690" s="7"/>
      <c r="F690" s="7"/>
      <c r="G690" s="7"/>
      <c r="H690" s="7"/>
    </row>
    <row r="691">
      <c r="B691" s="51"/>
      <c r="C691" s="51"/>
      <c r="E691" s="7"/>
      <c r="F691" s="7"/>
      <c r="G691" s="7"/>
      <c r="H691" s="7"/>
    </row>
    <row r="692">
      <c r="B692" s="51"/>
      <c r="C692" s="51"/>
      <c r="E692" s="7"/>
      <c r="F692" s="7"/>
      <c r="G692" s="7"/>
      <c r="H692" s="7"/>
    </row>
    <row r="693">
      <c r="B693" s="51"/>
      <c r="C693" s="51"/>
      <c r="E693" s="7"/>
      <c r="F693" s="7"/>
      <c r="G693" s="7"/>
      <c r="H693" s="7"/>
    </row>
    <row r="694">
      <c r="B694" s="51"/>
      <c r="C694" s="51"/>
      <c r="E694" s="7"/>
      <c r="F694" s="7"/>
      <c r="G694" s="7"/>
      <c r="H694" s="7"/>
    </row>
    <row r="695">
      <c r="B695" s="51"/>
      <c r="C695" s="51"/>
      <c r="E695" s="7"/>
      <c r="F695" s="7"/>
      <c r="G695" s="7"/>
      <c r="H695" s="7"/>
    </row>
    <row r="696">
      <c r="B696" s="51"/>
      <c r="C696" s="51"/>
      <c r="E696" s="7"/>
      <c r="F696" s="7"/>
      <c r="G696" s="7"/>
      <c r="H696" s="7"/>
    </row>
    <row r="697">
      <c r="B697" s="51"/>
      <c r="C697" s="51"/>
      <c r="E697" s="7"/>
      <c r="F697" s="7"/>
      <c r="G697" s="7"/>
      <c r="H697" s="7"/>
    </row>
    <row r="698">
      <c r="B698" s="51"/>
      <c r="C698" s="51"/>
      <c r="E698" s="7"/>
      <c r="F698" s="7"/>
      <c r="G698" s="7"/>
      <c r="H698" s="7"/>
    </row>
    <row r="699">
      <c r="B699" s="51"/>
      <c r="C699" s="51"/>
      <c r="E699" s="7"/>
      <c r="F699" s="7"/>
      <c r="G699" s="7"/>
      <c r="H699" s="7"/>
    </row>
    <row r="700">
      <c r="B700" s="51"/>
      <c r="C700" s="51"/>
      <c r="E700" s="7"/>
      <c r="F700" s="7"/>
      <c r="G700" s="7"/>
      <c r="H700" s="7"/>
    </row>
    <row r="701">
      <c r="B701" s="51"/>
      <c r="C701" s="51"/>
      <c r="E701" s="7"/>
      <c r="F701" s="7"/>
      <c r="G701" s="7"/>
      <c r="H701" s="7"/>
    </row>
    <row r="702">
      <c r="B702" s="51"/>
      <c r="C702" s="51"/>
      <c r="E702" s="7"/>
      <c r="F702" s="7"/>
      <c r="G702" s="7"/>
      <c r="H702" s="7"/>
    </row>
    <row r="703">
      <c r="B703" s="51"/>
      <c r="C703" s="51"/>
      <c r="E703" s="7"/>
      <c r="F703" s="7"/>
      <c r="G703" s="7"/>
      <c r="H703" s="7"/>
    </row>
    <row r="704">
      <c r="B704" s="51"/>
      <c r="C704" s="51"/>
      <c r="E704" s="7"/>
      <c r="F704" s="7"/>
      <c r="G704" s="7"/>
      <c r="H704" s="7"/>
    </row>
    <row r="705">
      <c r="B705" s="51"/>
      <c r="C705" s="51"/>
      <c r="E705" s="7"/>
      <c r="F705" s="7"/>
      <c r="G705" s="7"/>
      <c r="H705" s="7"/>
    </row>
    <row r="706">
      <c r="B706" s="51"/>
      <c r="C706" s="51"/>
      <c r="E706" s="7"/>
      <c r="F706" s="7"/>
      <c r="G706" s="7"/>
      <c r="H706" s="7"/>
    </row>
    <row r="707">
      <c r="B707" s="51"/>
      <c r="C707" s="51"/>
      <c r="E707" s="7"/>
      <c r="F707" s="7"/>
      <c r="G707" s="7"/>
      <c r="H707" s="7"/>
    </row>
    <row r="708">
      <c r="B708" s="51"/>
      <c r="C708" s="51"/>
      <c r="E708" s="7"/>
      <c r="F708" s="7"/>
      <c r="G708" s="7"/>
      <c r="H708" s="7"/>
    </row>
    <row r="709">
      <c r="B709" s="51"/>
      <c r="C709" s="51"/>
      <c r="E709" s="7"/>
      <c r="F709" s="7"/>
      <c r="G709" s="7"/>
      <c r="H709" s="7"/>
    </row>
    <row r="710">
      <c r="B710" s="51"/>
      <c r="C710" s="51"/>
      <c r="E710" s="7"/>
      <c r="F710" s="7"/>
      <c r="G710" s="7"/>
      <c r="H710" s="7"/>
    </row>
    <row r="711">
      <c r="B711" s="51"/>
      <c r="C711" s="51"/>
      <c r="E711" s="7"/>
      <c r="F711" s="7"/>
      <c r="G711" s="7"/>
      <c r="H711" s="7"/>
    </row>
    <row r="712">
      <c r="B712" s="51"/>
      <c r="C712" s="51"/>
      <c r="E712" s="7"/>
      <c r="F712" s="7"/>
      <c r="G712" s="7"/>
      <c r="H712" s="7"/>
    </row>
    <row r="713">
      <c r="B713" s="51"/>
      <c r="C713" s="51"/>
      <c r="E713" s="7"/>
      <c r="F713" s="7"/>
      <c r="G713" s="7"/>
      <c r="H713" s="7"/>
    </row>
    <row r="714">
      <c r="B714" s="51"/>
      <c r="C714" s="51"/>
      <c r="E714" s="7"/>
      <c r="F714" s="7"/>
      <c r="G714" s="7"/>
      <c r="H714" s="7"/>
    </row>
    <row r="715">
      <c r="B715" s="51"/>
      <c r="C715" s="51"/>
      <c r="E715" s="7"/>
      <c r="F715" s="7"/>
      <c r="G715" s="7"/>
      <c r="H715" s="7"/>
    </row>
    <row r="716">
      <c r="B716" s="51"/>
      <c r="C716" s="51"/>
      <c r="E716" s="7"/>
      <c r="F716" s="7"/>
      <c r="G716" s="7"/>
      <c r="H716" s="7"/>
    </row>
    <row r="717">
      <c r="B717" s="51"/>
      <c r="C717" s="51"/>
      <c r="E717" s="7"/>
      <c r="F717" s="7"/>
      <c r="G717" s="7"/>
      <c r="H717" s="7"/>
    </row>
    <row r="718">
      <c r="B718" s="51"/>
      <c r="C718" s="51"/>
      <c r="E718" s="7"/>
      <c r="F718" s="7"/>
      <c r="G718" s="7"/>
      <c r="H718" s="7"/>
    </row>
    <row r="719">
      <c r="B719" s="51"/>
      <c r="C719" s="51"/>
      <c r="E719" s="7"/>
      <c r="F719" s="7"/>
      <c r="G719" s="7"/>
      <c r="H719" s="7"/>
    </row>
    <row r="720">
      <c r="B720" s="51"/>
      <c r="C720" s="51"/>
      <c r="E720" s="7"/>
      <c r="F720" s="7"/>
      <c r="G720" s="7"/>
      <c r="H720" s="7"/>
    </row>
    <row r="721">
      <c r="B721" s="51"/>
      <c r="C721" s="51"/>
      <c r="E721" s="7"/>
      <c r="F721" s="7"/>
      <c r="G721" s="7"/>
      <c r="H721" s="7"/>
    </row>
    <row r="722">
      <c r="B722" s="51"/>
      <c r="C722" s="51"/>
      <c r="E722" s="7"/>
      <c r="F722" s="7"/>
      <c r="G722" s="7"/>
      <c r="H722" s="7"/>
    </row>
    <row r="723">
      <c r="B723" s="51"/>
      <c r="C723" s="51"/>
      <c r="E723" s="7"/>
      <c r="F723" s="7"/>
      <c r="G723" s="7"/>
      <c r="H723" s="7"/>
    </row>
    <row r="724">
      <c r="B724" s="51"/>
      <c r="C724" s="51"/>
      <c r="E724" s="7"/>
      <c r="F724" s="7"/>
      <c r="G724" s="7"/>
      <c r="H724" s="7"/>
    </row>
    <row r="725">
      <c r="B725" s="51"/>
      <c r="C725" s="51"/>
      <c r="E725" s="7"/>
      <c r="F725" s="7"/>
      <c r="G725" s="7"/>
      <c r="H725" s="7"/>
    </row>
    <row r="726">
      <c r="B726" s="51"/>
      <c r="C726" s="51"/>
      <c r="E726" s="7"/>
      <c r="F726" s="7"/>
      <c r="G726" s="7"/>
      <c r="H726" s="7"/>
    </row>
    <row r="727">
      <c r="B727" s="51"/>
      <c r="C727" s="51"/>
      <c r="E727" s="7"/>
      <c r="F727" s="7"/>
      <c r="G727" s="7"/>
      <c r="H727" s="7"/>
    </row>
    <row r="728">
      <c r="B728" s="51"/>
      <c r="C728" s="51"/>
      <c r="E728" s="7"/>
      <c r="F728" s="7"/>
      <c r="G728" s="7"/>
      <c r="H728" s="7"/>
    </row>
    <row r="729">
      <c r="B729" s="51"/>
      <c r="C729" s="51"/>
      <c r="E729" s="7"/>
      <c r="F729" s="7"/>
      <c r="G729" s="7"/>
      <c r="H729" s="7"/>
    </row>
    <row r="730">
      <c r="B730" s="51"/>
      <c r="C730" s="51"/>
      <c r="E730" s="7"/>
      <c r="F730" s="7"/>
      <c r="G730" s="7"/>
      <c r="H730" s="7"/>
    </row>
    <row r="731">
      <c r="B731" s="51"/>
      <c r="C731" s="51"/>
      <c r="E731" s="7"/>
      <c r="F731" s="7"/>
      <c r="G731" s="7"/>
      <c r="H731" s="7"/>
    </row>
    <row r="732">
      <c r="B732" s="51"/>
      <c r="C732" s="51"/>
      <c r="E732" s="7"/>
      <c r="F732" s="7"/>
      <c r="G732" s="7"/>
      <c r="H732" s="7"/>
    </row>
    <row r="733">
      <c r="B733" s="51"/>
      <c r="C733" s="51"/>
      <c r="E733" s="7"/>
      <c r="F733" s="7"/>
      <c r="G733" s="7"/>
      <c r="H733" s="7"/>
    </row>
    <row r="734">
      <c r="B734" s="51"/>
      <c r="C734" s="51"/>
      <c r="E734" s="7"/>
      <c r="F734" s="7"/>
      <c r="G734" s="7"/>
      <c r="H734" s="7"/>
    </row>
    <row r="735">
      <c r="B735" s="51"/>
      <c r="C735" s="51"/>
      <c r="E735" s="7"/>
      <c r="F735" s="7"/>
      <c r="G735" s="7"/>
      <c r="H735" s="7"/>
    </row>
    <row r="736">
      <c r="B736" s="51"/>
      <c r="C736" s="51"/>
      <c r="E736" s="7"/>
      <c r="F736" s="7"/>
      <c r="G736" s="7"/>
      <c r="H736" s="7"/>
    </row>
    <row r="737">
      <c r="B737" s="51"/>
      <c r="C737" s="51"/>
      <c r="E737" s="7"/>
      <c r="F737" s="7"/>
      <c r="G737" s="7"/>
      <c r="H737" s="7"/>
    </row>
    <row r="738">
      <c r="B738" s="51"/>
      <c r="C738" s="51"/>
      <c r="E738" s="7"/>
      <c r="F738" s="7"/>
      <c r="G738" s="7"/>
      <c r="H738" s="7"/>
    </row>
    <row r="739">
      <c r="B739" s="51"/>
      <c r="C739" s="51"/>
      <c r="E739" s="7"/>
      <c r="F739" s="7"/>
      <c r="G739" s="7"/>
      <c r="H739" s="7"/>
    </row>
    <row r="740">
      <c r="B740" s="51"/>
      <c r="C740" s="51"/>
      <c r="E740" s="7"/>
      <c r="F740" s="7"/>
      <c r="G740" s="7"/>
      <c r="H740" s="7"/>
    </row>
    <row r="741">
      <c r="B741" s="51"/>
      <c r="C741" s="51"/>
      <c r="E741" s="7"/>
      <c r="F741" s="7"/>
      <c r="G741" s="7"/>
      <c r="H741" s="7"/>
    </row>
    <row r="742">
      <c r="B742" s="51"/>
      <c r="C742" s="51"/>
      <c r="E742" s="7"/>
      <c r="F742" s="7"/>
      <c r="G742" s="7"/>
      <c r="H742" s="7"/>
    </row>
    <row r="743">
      <c r="B743" s="51"/>
      <c r="C743" s="51"/>
      <c r="E743" s="7"/>
      <c r="F743" s="7"/>
      <c r="G743" s="7"/>
      <c r="H743" s="7"/>
    </row>
    <row r="744">
      <c r="B744" s="51"/>
      <c r="C744" s="51"/>
      <c r="E744" s="7"/>
      <c r="F744" s="7"/>
      <c r="G744" s="7"/>
      <c r="H744" s="7"/>
    </row>
    <row r="745">
      <c r="B745" s="51"/>
      <c r="C745" s="51"/>
      <c r="E745" s="7"/>
      <c r="F745" s="7"/>
      <c r="G745" s="7"/>
      <c r="H745" s="7"/>
    </row>
    <row r="746">
      <c r="B746" s="51"/>
      <c r="C746" s="51"/>
      <c r="E746" s="7"/>
      <c r="F746" s="7"/>
      <c r="G746" s="7"/>
      <c r="H746" s="7"/>
    </row>
    <row r="747">
      <c r="B747" s="51"/>
      <c r="C747" s="51"/>
      <c r="E747" s="7"/>
      <c r="F747" s="7"/>
      <c r="G747" s="7"/>
      <c r="H747" s="7"/>
    </row>
    <row r="748">
      <c r="B748" s="51"/>
      <c r="C748" s="51"/>
      <c r="E748" s="7"/>
      <c r="F748" s="7"/>
      <c r="G748" s="7"/>
      <c r="H748" s="7"/>
    </row>
    <row r="749">
      <c r="B749" s="51"/>
      <c r="C749" s="51"/>
      <c r="E749" s="7"/>
      <c r="F749" s="7"/>
      <c r="G749" s="7"/>
      <c r="H749" s="7"/>
    </row>
    <row r="750">
      <c r="B750" s="51"/>
      <c r="C750" s="51"/>
      <c r="E750" s="7"/>
      <c r="F750" s="7"/>
      <c r="G750" s="7"/>
      <c r="H750" s="7"/>
    </row>
    <row r="751">
      <c r="B751" s="51"/>
      <c r="C751" s="51"/>
      <c r="E751" s="7"/>
      <c r="F751" s="7"/>
      <c r="G751" s="7"/>
      <c r="H751" s="7"/>
    </row>
    <row r="752">
      <c r="B752" s="51"/>
      <c r="C752" s="51"/>
      <c r="E752" s="7"/>
      <c r="F752" s="7"/>
      <c r="G752" s="7"/>
      <c r="H752" s="7"/>
    </row>
    <row r="753">
      <c r="B753" s="51"/>
      <c r="C753" s="51"/>
      <c r="E753" s="7"/>
      <c r="F753" s="7"/>
      <c r="G753" s="7"/>
      <c r="H753" s="7"/>
    </row>
    <row r="754">
      <c r="B754" s="51"/>
      <c r="C754" s="51"/>
      <c r="E754" s="7"/>
      <c r="F754" s="7"/>
      <c r="G754" s="7"/>
      <c r="H754" s="7"/>
    </row>
    <row r="755">
      <c r="B755" s="51"/>
      <c r="C755" s="51"/>
      <c r="E755" s="7"/>
      <c r="F755" s="7"/>
      <c r="G755" s="7"/>
      <c r="H755" s="7"/>
    </row>
    <row r="756">
      <c r="B756" s="51"/>
      <c r="C756" s="51"/>
      <c r="E756" s="7"/>
      <c r="F756" s="7"/>
      <c r="G756" s="7"/>
      <c r="H756" s="7"/>
    </row>
    <row r="757">
      <c r="B757" s="51"/>
      <c r="C757" s="51"/>
      <c r="E757" s="7"/>
      <c r="F757" s="7"/>
      <c r="G757" s="7"/>
      <c r="H757" s="7"/>
    </row>
    <row r="758">
      <c r="B758" s="51"/>
      <c r="C758" s="51"/>
      <c r="E758" s="7"/>
      <c r="F758" s="7"/>
      <c r="G758" s="7"/>
      <c r="H758" s="7"/>
    </row>
    <row r="759">
      <c r="B759" s="51"/>
      <c r="C759" s="51"/>
      <c r="E759" s="7"/>
      <c r="F759" s="7"/>
      <c r="G759" s="7"/>
      <c r="H759" s="7"/>
    </row>
    <row r="760">
      <c r="B760" s="51"/>
      <c r="C760" s="51"/>
      <c r="E760" s="7"/>
      <c r="F760" s="7"/>
      <c r="G760" s="7"/>
      <c r="H760" s="7"/>
    </row>
    <row r="761">
      <c r="B761" s="51"/>
      <c r="C761" s="51"/>
      <c r="E761" s="7"/>
      <c r="F761" s="7"/>
      <c r="G761" s="7"/>
      <c r="H761" s="7"/>
    </row>
    <row r="762">
      <c r="B762" s="51"/>
      <c r="C762" s="51"/>
      <c r="E762" s="7"/>
      <c r="F762" s="7"/>
      <c r="G762" s="7"/>
      <c r="H762" s="7"/>
    </row>
    <row r="763">
      <c r="B763" s="51"/>
      <c r="C763" s="51"/>
      <c r="E763" s="7"/>
      <c r="F763" s="7"/>
      <c r="G763" s="7"/>
      <c r="H763" s="7"/>
    </row>
    <row r="764">
      <c r="B764" s="51"/>
      <c r="C764" s="51"/>
      <c r="E764" s="7"/>
      <c r="F764" s="7"/>
      <c r="G764" s="7"/>
      <c r="H764" s="7"/>
    </row>
    <row r="765">
      <c r="B765" s="51"/>
      <c r="C765" s="51"/>
      <c r="E765" s="7"/>
      <c r="F765" s="7"/>
      <c r="G765" s="7"/>
      <c r="H765" s="7"/>
    </row>
    <row r="766">
      <c r="B766" s="51"/>
      <c r="C766" s="51"/>
      <c r="E766" s="7"/>
      <c r="F766" s="7"/>
      <c r="G766" s="7"/>
      <c r="H766" s="7"/>
    </row>
    <row r="767">
      <c r="B767" s="51"/>
      <c r="C767" s="51"/>
      <c r="E767" s="7"/>
      <c r="F767" s="7"/>
      <c r="G767" s="7"/>
      <c r="H767" s="7"/>
    </row>
    <row r="768">
      <c r="B768" s="51"/>
      <c r="C768" s="51"/>
      <c r="E768" s="7"/>
      <c r="F768" s="7"/>
      <c r="G768" s="7"/>
      <c r="H768" s="7"/>
    </row>
    <row r="769">
      <c r="B769" s="51"/>
      <c r="C769" s="51"/>
      <c r="E769" s="7"/>
      <c r="F769" s="7"/>
      <c r="G769" s="7"/>
      <c r="H769" s="7"/>
    </row>
    <row r="770">
      <c r="B770" s="51"/>
      <c r="C770" s="51"/>
      <c r="E770" s="7"/>
      <c r="F770" s="7"/>
      <c r="G770" s="7"/>
      <c r="H770" s="7"/>
    </row>
    <row r="771">
      <c r="B771" s="51"/>
      <c r="C771" s="51"/>
      <c r="E771" s="7"/>
      <c r="F771" s="7"/>
      <c r="G771" s="7"/>
      <c r="H771" s="7"/>
    </row>
    <row r="772">
      <c r="B772" s="51"/>
      <c r="C772" s="51"/>
      <c r="E772" s="7"/>
      <c r="F772" s="7"/>
      <c r="G772" s="7"/>
      <c r="H772" s="7"/>
    </row>
    <row r="773">
      <c r="B773" s="51"/>
      <c r="C773" s="51"/>
      <c r="E773" s="7"/>
      <c r="F773" s="7"/>
      <c r="G773" s="7"/>
      <c r="H773" s="7"/>
    </row>
    <row r="774">
      <c r="B774" s="51"/>
      <c r="C774" s="51"/>
      <c r="E774" s="7"/>
      <c r="F774" s="7"/>
      <c r="G774" s="7"/>
      <c r="H774" s="7"/>
    </row>
    <row r="775">
      <c r="B775" s="51"/>
      <c r="C775" s="51"/>
      <c r="E775" s="7"/>
      <c r="F775" s="7"/>
      <c r="G775" s="7"/>
      <c r="H775" s="7"/>
    </row>
    <row r="776">
      <c r="B776" s="51"/>
      <c r="C776" s="51"/>
      <c r="E776" s="7"/>
      <c r="F776" s="7"/>
      <c r="G776" s="7"/>
      <c r="H776" s="7"/>
    </row>
    <row r="777">
      <c r="B777" s="51"/>
      <c r="C777" s="51"/>
      <c r="E777" s="7"/>
      <c r="F777" s="7"/>
      <c r="G777" s="7"/>
      <c r="H777" s="7"/>
    </row>
    <row r="778">
      <c r="B778" s="51"/>
      <c r="C778" s="51"/>
      <c r="E778" s="7"/>
      <c r="F778" s="7"/>
      <c r="G778" s="7"/>
      <c r="H778" s="7"/>
    </row>
    <row r="779">
      <c r="B779" s="51"/>
      <c r="C779" s="51"/>
      <c r="E779" s="7"/>
      <c r="F779" s="7"/>
      <c r="G779" s="7"/>
      <c r="H779" s="7"/>
    </row>
    <row r="780">
      <c r="B780" s="51"/>
      <c r="C780" s="51"/>
      <c r="E780" s="7"/>
      <c r="F780" s="7"/>
      <c r="G780" s="7"/>
      <c r="H780" s="7"/>
    </row>
    <row r="781">
      <c r="B781" s="51"/>
      <c r="C781" s="51"/>
      <c r="E781" s="7"/>
      <c r="F781" s="7"/>
      <c r="G781" s="7"/>
      <c r="H781" s="7"/>
    </row>
    <row r="782">
      <c r="B782" s="51"/>
      <c r="C782" s="51"/>
      <c r="E782" s="7"/>
      <c r="F782" s="7"/>
      <c r="G782" s="7"/>
      <c r="H782" s="7"/>
    </row>
    <row r="783">
      <c r="B783" s="51"/>
      <c r="C783" s="51"/>
      <c r="E783" s="7"/>
      <c r="F783" s="7"/>
      <c r="G783" s="7"/>
      <c r="H783" s="7"/>
    </row>
    <row r="784">
      <c r="B784" s="51"/>
      <c r="C784" s="51"/>
      <c r="E784" s="7"/>
      <c r="F784" s="7"/>
      <c r="G784" s="7"/>
      <c r="H784" s="7"/>
    </row>
    <row r="785">
      <c r="B785" s="51"/>
      <c r="C785" s="51"/>
      <c r="E785" s="7"/>
      <c r="F785" s="7"/>
      <c r="G785" s="7"/>
      <c r="H785" s="7"/>
    </row>
    <row r="786">
      <c r="B786" s="51"/>
      <c r="C786" s="51"/>
      <c r="E786" s="7"/>
      <c r="F786" s="7"/>
      <c r="G786" s="7"/>
      <c r="H786" s="7"/>
    </row>
    <row r="787">
      <c r="B787" s="51"/>
      <c r="C787" s="51"/>
      <c r="E787" s="7"/>
      <c r="F787" s="7"/>
      <c r="G787" s="7"/>
      <c r="H787" s="7"/>
    </row>
    <row r="788">
      <c r="B788" s="51"/>
      <c r="C788" s="51"/>
      <c r="E788" s="7"/>
      <c r="F788" s="7"/>
      <c r="G788" s="7"/>
      <c r="H788" s="7"/>
    </row>
    <row r="789">
      <c r="B789" s="51"/>
      <c r="C789" s="51"/>
      <c r="E789" s="7"/>
      <c r="F789" s="7"/>
      <c r="G789" s="7"/>
      <c r="H789" s="7"/>
    </row>
    <row r="790">
      <c r="B790" s="51"/>
      <c r="C790" s="51"/>
      <c r="E790" s="7"/>
      <c r="F790" s="7"/>
      <c r="G790" s="7"/>
      <c r="H790" s="7"/>
    </row>
    <row r="791">
      <c r="B791" s="51"/>
      <c r="C791" s="51"/>
      <c r="E791" s="7"/>
      <c r="F791" s="7"/>
      <c r="G791" s="7"/>
      <c r="H791" s="7"/>
    </row>
    <row r="792">
      <c r="B792" s="51"/>
      <c r="C792" s="51"/>
      <c r="E792" s="7"/>
      <c r="F792" s="7"/>
      <c r="G792" s="7"/>
      <c r="H792" s="7"/>
    </row>
    <row r="793">
      <c r="B793" s="51"/>
      <c r="C793" s="51"/>
      <c r="E793" s="7"/>
      <c r="F793" s="7"/>
      <c r="G793" s="7"/>
      <c r="H793" s="7"/>
    </row>
    <row r="794">
      <c r="B794" s="51"/>
      <c r="C794" s="51"/>
      <c r="E794" s="7"/>
      <c r="F794" s="7"/>
      <c r="G794" s="7"/>
      <c r="H794" s="7"/>
    </row>
    <row r="795">
      <c r="B795" s="51"/>
      <c r="C795" s="51"/>
      <c r="E795" s="7"/>
      <c r="F795" s="7"/>
      <c r="G795" s="7"/>
      <c r="H795" s="7"/>
    </row>
    <row r="796">
      <c r="B796" s="51"/>
      <c r="C796" s="51"/>
      <c r="E796" s="7"/>
      <c r="F796" s="7"/>
      <c r="G796" s="7"/>
      <c r="H796" s="7"/>
    </row>
    <row r="797">
      <c r="B797" s="51"/>
      <c r="C797" s="51"/>
      <c r="E797" s="7"/>
      <c r="F797" s="7"/>
      <c r="G797" s="7"/>
      <c r="H797" s="7"/>
    </row>
    <row r="798">
      <c r="B798" s="51"/>
      <c r="C798" s="51"/>
      <c r="E798" s="7"/>
      <c r="F798" s="7"/>
      <c r="G798" s="7"/>
      <c r="H798" s="7"/>
    </row>
    <row r="799">
      <c r="B799" s="51"/>
      <c r="C799" s="51"/>
      <c r="E799" s="7"/>
      <c r="F799" s="7"/>
      <c r="G799" s="7"/>
      <c r="H799" s="7"/>
    </row>
    <row r="800">
      <c r="B800" s="51"/>
      <c r="C800" s="51"/>
      <c r="E800" s="7"/>
      <c r="F800" s="7"/>
      <c r="G800" s="7"/>
      <c r="H800" s="7"/>
    </row>
    <row r="801">
      <c r="B801" s="51"/>
      <c r="C801" s="51"/>
      <c r="E801" s="7"/>
      <c r="F801" s="7"/>
      <c r="G801" s="7"/>
      <c r="H801" s="7"/>
    </row>
    <row r="802">
      <c r="B802" s="51"/>
      <c r="C802" s="51"/>
      <c r="E802" s="7"/>
      <c r="F802" s="7"/>
      <c r="G802" s="7"/>
      <c r="H802" s="7"/>
    </row>
    <row r="803">
      <c r="B803" s="51"/>
      <c r="C803" s="51"/>
      <c r="E803" s="7"/>
      <c r="F803" s="7"/>
      <c r="G803" s="7"/>
      <c r="H803" s="7"/>
    </row>
    <row r="804">
      <c r="B804" s="51"/>
      <c r="C804" s="51"/>
      <c r="E804" s="7"/>
      <c r="F804" s="7"/>
      <c r="G804" s="7"/>
      <c r="H804" s="7"/>
    </row>
    <row r="805">
      <c r="B805" s="51"/>
      <c r="C805" s="51"/>
      <c r="E805" s="7"/>
      <c r="F805" s="7"/>
      <c r="G805" s="7"/>
      <c r="H805" s="7"/>
    </row>
    <row r="806">
      <c r="B806" s="51"/>
      <c r="C806" s="51"/>
      <c r="E806" s="7"/>
      <c r="F806" s="7"/>
      <c r="G806" s="7"/>
      <c r="H806" s="7"/>
    </row>
    <row r="807">
      <c r="B807" s="51"/>
      <c r="C807" s="51"/>
      <c r="E807" s="7"/>
      <c r="F807" s="7"/>
      <c r="G807" s="7"/>
      <c r="H807" s="7"/>
    </row>
    <row r="808">
      <c r="B808" s="51"/>
      <c r="C808" s="51"/>
      <c r="E808" s="7"/>
      <c r="F808" s="7"/>
      <c r="G808" s="7"/>
      <c r="H808" s="7"/>
    </row>
    <row r="809">
      <c r="B809" s="51"/>
      <c r="C809" s="51"/>
      <c r="E809" s="7"/>
      <c r="F809" s="7"/>
      <c r="G809" s="7"/>
      <c r="H809" s="7"/>
    </row>
    <row r="810">
      <c r="B810" s="51"/>
      <c r="C810" s="51"/>
      <c r="E810" s="7"/>
      <c r="F810" s="7"/>
      <c r="G810" s="7"/>
      <c r="H810" s="7"/>
    </row>
    <row r="811">
      <c r="B811" s="51"/>
      <c r="C811" s="51"/>
      <c r="E811" s="7"/>
      <c r="F811" s="7"/>
      <c r="G811" s="7"/>
      <c r="H811" s="7"/>
    </row>
    <row r="812">
      <c r="B812" s="51"/>
      <c r="C812" s="51"/>
      <c r="E812" s="7"/>
      <c r="F812" s="7"/>
      <c r="G812" s="7"/>
      <c r="H812" s="7"/>
    </row>
    <row r="813">
      <c r="B813" s="51"/>
      <c r="C813" s="51"/>
      <c r="E813" s="7"/>
      <c r="F813" s="7"/>
      <c r="G813" s="7"/>
      <c r="H813" s="7"/>
    </row>
    <row r="814">
      <c r="B814" s="51"/>
      <c r="C814" s="51"/>
      <c r="E814" s="7"/>
      <c r="F814" s="7"/>
      <c r="G814" s="7"/>
      <c r="H814" s="7"/>
    </row>
    <row r="815">
      <c r="B815" s="51"/>
      <c r="C815" s="51"/>
      <c r="E815" s="7"/>
      <c r="F815" s="7"/>
      <c r="G815" s="7"/>
      <c r="H815" s="7"/>
    </row>
    <row r="816">
      <c r="B816" s="51"/>
      <c r="C816" s="51"/>
      <c r="E816" s="7"/>
      <c r="F816" s="7"/>
      <c r="G816" s="7"/>
      <c r="H816" s="7"/>
    </row>
    <row r="817">
      <c r="B817" s="51"/>
      <c r="C817" s="51"/>
      <c r="E817" s="7"/>
      <c r="F817" s="7"/>
      <c r="G817" s="7"/>
      <c r="H817" s="7"/>
    </row>
    <row r="818">
      <c r="B818" s="51"/>
      <c r="C818" s="51"/>
      <c r="E818" s="7"/>
      <c r="F818" s="7"/>
      <c r="G818" s="7"/>
      <c r="H818" s="7"/>
    </row>
    <row r="819">
      <c r="B819" s="51"/>
      <c r="C819" s="51"/>
      <c r="E819" s="7"/>
      <c r="F819" s="7"/>
      <c r="G819" s="7"/>
      <c r="H819" s="7"/>
    </row>
    <row r="820">
      <c r="B820" s="51"/>
      <c r="C820" s="51"/>
      <c r="E820" s="7"/>
      <c r="F820" s="7"/>
      <c r="G820" s="7"/>
      <c r="H820" s="7"/>
    </row>
    <row r="821">
      <c r="B821" s="51"/>
      <c r="C821" s="51"/>
      <c r="E821" s="7"/>
      <c r="F821" s="7"/>
      <c r="G821" s="7"/>
      <c r="H821" s="7"/>
    </row>
    <row r="822">
      <c r="B822" s="51"/>
      <c r="C822" s="51"/>
      <c r="E822" s="7"/>
      <c r="F822" s="7"/>
      <c r="G822" s="7"/>
      <c r="H822" s="7"/>
    </row>
    <row r="823">
      <c r="B823" s="51"/>
      <c r="C823" s="51"/>
      <c r="E823" s="7"/>
      <c r="F823" s="7"/>
      <c r="G823" s="7"/>
      <c r="H823" s="7"/>
    </row>
    <row r="824">
      <c r="B824" s="51"/>
      <c r="C824" s="51"/>
      <c r="E824" s="7"/>
      <c r="F824" s="7"/>
      <c r="G824" s="7"/>
      <c r="H824" s="7"/>
    </row>
    <row r="825">
      <c r="B825" s="51"/>
      <c r="C825" s="51"/>
      <c r="E825" s="7"/>
      <c r="F825" s="7"/>
      <c r="G825" s="7"/>
      <c r="H825" s="7"/>
    </row>
    <row r="826">
      <c r="B826" s="51"/>
      <c r="C826" s="51"/>
      <c r="E826" s="7"/>
      <c r="F826" s="7"/>
      <c r="G826" s="7"/>
      <c r="H826" s="7"/>
    </row>
    <row r="827">
      <c r="B827" s="51"/>
      <c r="C827" s="51"/>
      <c r="E827" s="7"/>
      <c r="F827" s="7"/>
      <c r="G827" s="7"/>
      <c r="H827" s="7"/>
    </row>
    <row r="828">
      <c r="B828" s="51"/>
      <c r="C828" s="51"/>
      <c r="E828" s="7"/>
      <c r="F828" s="7"/>
      <c r="G828" s="7"/>
      <c r="H828" s="7"/>
    </row>
    <row r="829">
      <c r="B829" s="51"/>
      <c r="C829" s="51"/>
      <c r="E829" s="7"/>
      <c r="F829" s="7"/>
      <c r="G829" s="7"/>
      <c r="H829" s="7"/>
    </row>
    <row r="830">
      <c r="B830" s="51"/>
      <c r="C830" s="51"/>
      <c r="E830" s="7"/>
      <c r="F830" s="7"/>
      <c r="G830" s="7"/>
      <c r="H830" s="7"/>
    </row>
    <row r="831">
      <c r="B831" s="51"/>
      <c r="C831" s="51"/>
      <c r="E831" s="7"/>
      <c r="F831" s="7"/>
      <c r="G831" s="7"/>
      <c r="H831" s="7"/>
    </row>
    <row r="832">
      <c r="B832" s="51"/>
      <c r="C832" s="51"/>
      <c r="E832" s="7"/>
      <c r="F832" s="7"/>
      <c r="G832" s="7"/>
      <c r="H832" s="7"/>
    </row>
    <row r="833">
      <c r="B833" s="51"/>
      <c r="C833" s="51"/>
      <c r="E833" s="7"/>
      <c r="F833" s="7"/>
      <c r="G833" s="7"/>
      <c r="H833" s="7"/>
    </row>
    <row r="834">
      <c r="B834" s="51"/>
      <c r="C834" s="51"/>
      <c r="E834" s="7"/>
      <c r="F834" s="7"/>
      <c r="G834" s="7"/>
      <c r="H834" s="7"/>
    </row>
    <row r="835">
      <c r="B835" s="51"/>
      <c r="C835" s="51"/>
      <c r="E835" s="7"/>
      <c r="F835" s="7"/>
      <c r="G835" s="7"/>
      <c r="H835" s="7"/>
    </row>
    <row r="836">
      <c r="B836" s="51"/>
      <c r="C836" s="51"/>
      <c r="E836" s="7"/>
      <c r="F836" s="7"/>
      <c r="G836" s="7"/>
      <c r="H836" s="7"/>
    </row>
    <row r="837">
      <c r="B837" s="51"/>
      <c r="C837" s="51"/>
      <c r="E837" s="7"/>
      <c r="F837" s="7"/>
      <c r="G837" s="7"/>
      <c r="H837" s="7"/>
    </row>
    <row r="838">
      <c r="B838" s="51"/>
      <c r="C838" s="51"/>
      <c r="E838" s="7"/>
      <c r="F838" s="7"/>
      <c r="G838" s="7"/>
      <c r="H838" s="7"/>
    </row>
    <row r="839">
      <c r="B839" s="51"/>
      <c r="C839" s="51"/>
      <c r="E839" s="7"/>
      <c r="F839" s="7"/>
      <c r="G839" s="7"/>
      <c r="H839" s="7"/>
    </row>
    <row r="840">
      <c r="B840" s="51"/>
      <c r="C840" s="51"/>
      <c r="E840" s="7"/>
      <c r="F840" s="7"/>
      <c r="G840" s="7"/>
      <c r="H840" s="7"/>
    </row>
    <row r="841">
      <c r="B841" s="51"/>
      <c r="C841" s="51"/>
      <c r="E841" s="7"/>
      <c r="F841" s="7"/>
      <c r="G841" s="7"/>
      <c r="H841" s="7"/>
    </row>
    <row r="842">
      <c r="B842" s="51"/>
      <c r="C842" s="51"/>
      <c r="E842" s="7"/>
      <c r="F842" s="7"/>
      <c r="G842" s="7"/>
      <c r="H842" s="7"/>
    </row>
    <row r="843">
      <c r="B843" s="51"/>
      <c r="C843" s="51"/>
      <c r="E843" s="7"/>
      <c r="F843" s="7"/>
      <c r="G843" s="7"/>
      <c r="H843" s="7"/>
    </row>
    <row r="844">
      <c r="B844" s="51"/>
      <c r="C844" s="51"/>
      <c r="E844" s="7"/>
      <c r="F844" s="7"/>
      <c r="G844" s="7"/>
      <c r="H844" s="7"/>
    </row>
    <row r="845">
      <c r="B845" s="51"/>
      <c r="C845" s="51"/>
      <c r="E845" s="7"/>
      <c r="F845" s="7"/>
      <c r="G845" s="7"/>
      <c r="H845" s="7"/>
    </row>
    <row r="846">
      <c r="B846" s="51"/>
      <c r="C846" s="51"/>
      <c r="E846" s="7"/>
      <c r="F846" s="7"/>
      <c r="G846" s="7"/>
      <c r="H846" s="7"/>
    </row>
    <row r="847">
      <c r="B847" s="51"/>
      <c r="C847" s="51"/>
      <c r="E847" s="7"/>
      <c r="F847" s="7"/>
      <c r="G847" s="7"/>
      <c r="H847" s="7"/>
    </row>
    <row r="848">
      <c r="B848" s="51"/>
      <c r="C848" s="51"/>
      <c r="E848" s="7"/>
      <c r="F848" s="7"/>
      <c r="G848" s="7"/>
      <c r="H848" s="7"/>
    </row>
    <row r="849">
      <c r="B849" s="51"/>
      <c r="C849" s="51"/>
      <c r="E849" s="7"/>
      <c r="F849" s="7"/>
      <c r="G849" s="7"/>
      <c r="H849" s="7"/>
    </row>
    <row r="850">
      <c r="B850" s="51"/>
      <c r="C850" s="51"/>
      <c r="E850" s="7"/>
      <c r="F850" s="7"/>
      <c r="G850" s="7"/>
      <c r="H850" s="7"/>
    </row>
    <row r="851">
      <c r="B851" s="51"/>
      <c r="C851" s="51"/>
      <c r="E851" s="7"/>
      <c r="F851" s="7"/>
      <c r="G851" s="7"/>
      <c r="H851" s="7"/>
    </row>
    <row r="852">
      <c r="B852" s="51"/>
      <c r="C852" s="51"/>
      <c r="E852" s="7"/>
      <c r="F852" s="7"/>
      <c r="G852" s="7"/>
      <c r="H852" s="7"/>
    </row>
    <row r="853">
      <c r="B853" s="51"/>
      <c r="C853" s="51"/>
      <c r="E853" s="7"/>
      <c r="F853" s="7"/>
      <c r="G853" s="7"/>
      <c r="H853" s="7"/>
    </row>
    <row r="854">
      <c r="B854" s="51"/>
      <c r="C854" s="51"/>
      <c r="E854" s="7"/>
      <c r="F854" s="7"/>
      <c r="G854" s="7"/>
      <c r="H854" s="7"/>
    </row>
    <row r="855">
      <c r="B855" s="51"/>
      <c r="C855" s="51"/>
      <c r="E855" s="7"/>
      <c r="F855" s="7"/>
      <c r="G855" s="7"/>
      <c r="H855" s="7"/>
    </row>
    <row r="856">
      <c r="B856" s="51"/>
      <c r="C856" s="51"/>
      <c r="E856" s="7"/>
      <c r="F856" s="7"/>
      <c r="G856" s="7"/>
      <c r="H856" s="7"/>
    </row>
    <row r="857">
      <c r="B857" s="51"/>
      <c r="C857" s="51"/>
      <c r="E857" s="7"/>
      <c r="F857" s="7"/>
      <c r="G857" s="7"/>
      <c r="H857" s="7"/>
    </row>
    <row r="858">
      <c r="B858" s="51"/>
      <c r="C858" s="51"/>
      <c r="E858" s="7"/>
      <c r="F858" s="7"/>
      <c r="G858" s="7"/>
      <c r="H858" s="7"/>
    </row>
    <row r="859">
      <c r="B859" s="51"/>
      <c r="C859" s="51"/>
      <c r="E859" s="7"/>
      <c r="F859" s="7"/>
      <c r="G859" s="7"/>
      <c r="H859" s="7"/>
    </row>
    <row r="860">
      <c r="B860" s="51"/>
      <c r="C860" s="51"/>
      <c r="E860" s="7"/>
      <c r="F860" s="7"/>
      <c r="G860" s="7"/>
      <c r="H860" s="7"/>
    </row>
    <row r="861">
      <c r="B861" s="51"/>
      <c r="C861" s="51"/>
      <c r="E861" s="7"/>
      <c r="F861" s="7"/>
      <c r="G861" s="7"/>
      <c r="H861" s="7"/>
    </row>
    <row r="862">
      <c r="B862" s="51"/>
      <c r="C862" s="51"/>
      <c r="E862" s="7"/>
      <c r="F862" s="7"/>
      <c r="G862" s="7"/>
      <c r="H862" s="7"/>
    </row>
    <row r="863">
      <c r="B863" s="51"/>
      <c r="C863" s="51"/>
      <c r="E863" s="7"/>
      <c r="F863" s="7"/>
      <c r="G863" s="7"/>
      <c r="H863" s="7"/>
    </row>
    <row r="864">
      <c r="B864" s="51"/>
      <c r="C864" s="51"/>
      <c r="E864" s="7"/>
      <c r="F864" s="7"/>
      <c r="G864" s="7"/>
      <c r="H864" s="7"/>
    </row>
    <row r="865">
      <c r="B865" s="51"/>
      <c r="C865" s="51"/>
      <c r="E865" s="7"/>
      <c r="F865" s="7"/>
      <c r="G865" s="7"/>
      <c r="H865" s="7"/>
    </row>
    <row r="866">
      <c r="B866" s="51"/>
      <c r="C866" s="51"/>
      <c r="E866" s="7"/>
      <c r="F866" s="7"/>
      <c r="G866" s="7"/>
      <c r="H866" s="7"/>
    </row>
    <row r="867">
      <c r="B867" s="51"/>
      <c r="C867" s="51"/>
      <c r="E867" s="7"/>
      <c r="F867" s="7"/>
      <c r="G867" s="7"/>
      <c r="H867" s="7"/>
    </row>
    <row r="868">
      <c r="B868" s="51"/>
      <c r="C868" s="51"/>
      <c r="E868" s="7"/>
      <c r="F868" s="7"/>
      <c r="G868" s="7"/>
      <c r="H868" s="7"/>
    </row>
    <row r="869">
      <c r="B869" s="51"/>
      <c r="C869" s="51"/>
      <c r="E869" s="7"/>
      <c r="F869" s="7"/>
      <c r="G869" s="7"/>
      <c r="H869" s="7"/>
    </row>
    <row r="870">
      <c r="B870" s="51"/>
      <c r="C870" s="51"/>
      <c r="E870" s="7"/>
      <c r="F870" s="7"/>
      <c r="G870" s="7"/>
      <c r="H870" s="7"/>
    </row>
    <row r="871">
      <c r="B871" s="51"/>
      <c r="C871" s="51"/>
      <c r="E871" s="7"/>
      <c r="F871" s="7"/>
      <c r="G871" s="7"/>
      <c r="H871" s="7"/>
    </row>
    <row r="872">
      <c r="B872" s="51"/>
      <c r="C872" s="51"/>
      <c r="E872" s="7"/>
      <c r="F872" s="7"/>
      <c r="G872" s="7"/>
      <c r="H872" s="7"/>
    </row>
    <row r="873">
      <c r="B873" s="51"/>
      <c r="C873" s="51"/>
      <c r="E873" s="7"/>
      <c r="F873" s="7"/>
      <c r="G873" s="7"/>
      <c r="H873" s="7"/>
    </row>
    <row r="874">
      <c r="B874" s="51"/>
      <c r="C874" s="51"/>
      <c r="E874" s="7"/>
      <c r="F874" s="7"/>
      <c r="G874" s="7"/>
      <c r="H874" s="7"/>
    </row>
    <row r="875">
      <c r="B875" s="51"/>
      <c r="C875" s="51"/>
      <c r="E875" s="7"/>
      <c r="F875" s="7"/>
      <c r="G875" s="7"/>
      <c r="H875" s="7"/>
    </row>
    <row r="876">
      <c r="B876" s="51"/>
      <c r="C876" s="51"/>
      <c r="E876" s="7"/>
      <c r="F876" s="7"/>
      <c r="G876" s="7"/>
      <c r="H876" s="7"/>
    </row>
    <row r="877">
      <c r="B877" s="51"/>
      <c r="C877" s="51"/>
      <c r="E877" s="7"/>
      <c r="F877" s="7"/>
      <c r="G877" s="7"/>
      <c r="H877" s="7"/>
    </row>
    <row r="878">
      <c r="B878" s="51"/>
      <c r="C878" s="51"/>
      <c r="E878" s="7"/>
      <c r="F878" s="7"/>
      <c r="G878" s="7"/>
      <c r="H878" s="7"/>
    </row>
    <row r="879">
      <c r="B879" s="51"/>
      <c r="C879" s="51"/>
      <c r="E879" s="7"/>
      <c r="F879" s="7"/>
      <c r="G879" s="7"/>
      <c r="H879" s="7"/>
    </row>
    <row r="880">
      <c r="B880" s="51"/>
      <c r="C880" s="51"/>
      <c r="E880" s="7"/>
      <c r="F880" s="7"/>
      <c r="G880" s="7"/>
      <c r="H880" s="7"/>
    </row>
    <row r="881">
      <c r="B881" s="51"/>
      <c r="C881" s="51"/>
      <c r="E881" s="7"/>
      <c r="F881" s="7"/>
      <c r="G881" s="7"/>
      <c r="H881" s="7"/>
    </row>
    <row r="882">
      <c r="B882" s="51"/>
      <c r="C882" s="51"/>
      <c r="E882" s="7"/>
      <c r="F882" s="7"/>
      <c r="G882" s="7"/>
      <c r="H882" s="7"/>
    </row>
    <row r="883">
      <c r="B883" s="51"/>
      <c r="C883" s="51"/>
      <c r="E883" s="7"/>
      <c r="F883" s="7"/>
      <c r="G883" s="7"/>
      <c r="H883" s="7"/>
    </row>
    <row r="884">
      <c r="B884" s="51"/>
      <c r="C884" s="51"/>
      <c r="E884" s="7"/>
      <c r="F884" s="7"/>
      <c r="G884" s="7"/>
      <c r="H884" s="7"/>
    </row>
    <row r="885">
      <c r="B885" s="51"/>
      <c r="C885" s="51"/>
      <c r="E885" s="7"/>
      <c r="F885" s="7"/>
      <c r="G885" s="7"/>
      <c r="H885" s="7"/>
    </row>
    <row r="886">
      <c r="B886" s="51"/>
      <c r="C886" s="51"/>
      <c r="E886" s="7"/>
      <c r="F886" s="7"/>
      <c r="G886" s="7"/>
      <c r="H886" s="7"/>
    </row>
    <row r="887">
      <c r="B887" s="51"/>
      <c r="C887" s="51"/>
      <c r="E887" s="7"/>
      <c r="F887" s="7"/>
      <c r="G887" s="7"/>
      <c r="H887" s="7"/>
    </row>
    <row r="888">
      <c r="B888" s="51"/>
      <c r="C888" s="51"/>
      <c r="E888" s="7"/>
      <c r="F888" s="7"/>
      <c r="G888" s="7"/>
      <c r="H888" s="7"/>
    </row>
    <row r="889">
      <c r="B889" s="51"/>
      <c r="C889" s="51"/>
      <c r="E889" s="7"/>
      <c r="F889" s="7"/>
      <c r="G889" s="7"/>
      <c r="H889" s="7"/>
    </row>
    <row r="890">
      <c r="B890" s="51"/>
      <c r="C890" s="51"/>
      <c r="E890" s="7"/>
      <c r="F890" s="7"/>
      <c r="G890" s="7"/>
      <c r="H890" s="7"/>
    </row>
    <row r="891">
      <c r="B891" s="51"/>
      <c r="C891" s="51"/>
      <c r="E891" s="7"/>
      <c r="F891" s="7"/>
      <c r="G891" s="7"/>
      <c r="H891" s="7"/>
    </row>
    <row r="892">
      <c r="B892" s="51"/>
      <c r="C892" s="51"/>
      <c r="E892" s="7"/>
      <c r="F892" s="7"/>
      <c r="G892" s="7"/>
      <c r="H892" s="7"/>
    </row>
    <row r="893">
      <c r="B893" s="51"/>
      <c r="C893" s="51"/>
      <c r="E893" s="7"/>
      <c r="F893" s="7"/>
      <c r="G893" s="7"/>
      <c r="H893" s="7"/>
    </row>
    <row r="894">
      <c r="B894" s="51"/>
      <c r="C894" s="51"/>
      <c r="E894" s="7"/>
      <c r="F894" s="7"/>
      <c r="G894" s="7"/>
      <c r="H894" s="7"/>
    </row>
    <row r="895">
      <c r="B895" s="51"/>
      <c r="C895" s="51"/>
      <c r="E895" s="7"/>
      <c r="F895" s="7"/>
      <c r="G895" s="7"/>
      <c r="H895" s="7"/>
    </row>
    <row r="896">
      <c r="B896" s="51"/>
      <c r="C896" s="51"/>
      <c r="E896" s="7"/>
      <c r="F896" s="7"/>
      <c r="G896" s="7"/>
      <c r="H896" s="7"/>
    </row>
    <row r="897">
      <c r="B897" s="51"/>
      <c r="C897" s="51"/>
      <c r="E897" s="7"/>
      <c r="F897" s="7"/>
      <c r="G897" s="7"/>
      <c r="H897" s="7"/>
    </row>
    <row r="898">
      <c r="B898" s="51"/>
      <c r="C898" s="51"/>
      <c r="E898" s="7"/>
      <c r="F898" s="7"/>
      <c r="G898" s="7"/>
      <c r="H898" s="7"/>
    </row>
    <row r="899">
      <c r="B899" s="51"/>
      <c r="C899" s="51"/>
      <c r="E899" s="7"/>
      <c r="F899" s="7"/>
      <c r="G899" s="7"/>
      <c r="H899" s="7"/>
    </row>
    <row r="900">
      <c r="B900" s="51"/>
      <c r="C900" s="51"/>
      <c r="E900" s="7"/>
      <c r="F900" s="7"/>
      <c r="G900" s="7"/>
      <c r="H900" s="7"/>
    </row>
    <row r="901">
      <c r="B901" s="51"/>
      <c r="C901" s="51"/>
      <c r="E901" s="7"/>
      <c r="F901" s="7"/>
      <c r="G901" s="7"/>
      <c r="H901" s="7"/>
    </row>
    <row r="902">
      <c r="B902" s="51"/>
      <c r="C902" s="51"/>
      <c r="E902" s="7"/>
      <c r="F902" s="7"/>
      <c r="G902" s="7"/>
      <c r="H902" s="7"/>
    </row>
    <row r="903">
      <c r="B903" s="51"/>
      <c r="C903" s="51"/>
      <c r="E903" s="7"/>
      <c r="F903" s="7"/>
      <c r="G903" s="7"/>
      <c r="H903" s="7"/>
    </row>
    <row r="904">
      <c r="B904" s="51"/>
      <c r="C904" s="51"/>
      <c r="E904" s="7"/>
      <c r="F904" s="7"/>
      <c r="G904" s="7"/>
      <c r="H904" s="7"/>
    </row>
    <row r="905">
      <c r="B905" s="51"/>
      <c r="C905" s="51"/>
      <c r="E905" s="7"/>
      <c r="F905" s="7"/>
      <c r="G905" s="7"/>
      <c r="H905" s="7"/>
    </row>
    <row r="906">
      <c r="B906" s="51"/>
      <c r="C906" s="51"/>
      <c r="E906" s="7"/>
      <c r="F906" s="7"/>
      <c r="G906" s="7"/>
      <c r="H906" s="7"/>
    </row>
    <row r="907">
      <c r="B907" s="51"/>
      <c r="C907" s="51"/>
      <c r="E907" s="7"/>
      <c r="F907" s="7"/>
      <c r="G907" s="7"/>
      <c r="H907" s="7"/>
    </row>
    <row r="908">
      <c r="B908" s="51"/>
      <c r="C908" s="51"/>
      <c r="E908" s="7"/>
      <c r="F908" s="7"/>
      <c r="G908" s="7"/>
      <c r="H908" s="7"/>
    </row>
    <row r="909">
      <c r="B909" s="51"/>
      <c r="C909" s="51"/>
      <c r="E909" s="7"/>
      <c r="F909" s="7"/>
      <c r="G909" s="7"/>
      <c r="H909" s="7"/>
    </row>
    <row r="910">
      <c r="B910" s="51"/>
      <c r="C910" s="51"/>
      <c r="E910" s="7"/>
      <c r="F910" s="7"/>
      <c r="G910" s="7"/>
      <c r="H910" s="7"/>
    </row>
    <row r="911">
      <c r="B911" s="51"/>
      <c r="C911" s="51"/>
      <c r="E911" s="7"/>
      <c r="F911" s="7"/>
      <c r="G911" s="7"/>
      <c r="H911" s="7"/>
    </row>
    <row r="912">
      <c r="B912" s="51"/>
      <c r="C912" s="51"/>
      <c r="E912" s="7"/>
      <c r="F912" s="7"/>
      <c r="G912" s="7"/>
      <c r="H912" s="7"/>
    </row>
    <row r="913">
      <c r="B913" s="51"/>
      <c r="C913" s="51"/>
      <c r="E913" s="7"/>
      <c r="F913" s="7"/>
      <c r="G913" s="7"/>
      <c r="H913" s="7"/>
    </row>
    <row r="914">
      <c r="B914" s="51"/>
      <c r="C914" s="51"/>
      <c r="E914" s="7"/>
      <c r="F914" s="7"/>
      <c r="G914" s="7"/>
      <c r="H914" s="7"/>
    </row>
    <row r="915">
      <c r="B915" s="51"/>
      <c r="C915" s="51"/>
      <c r="E915" s="7"/>
      <c r="F915" s="7"/>
      <c r="G915" s="7"/>
      <c r="H915" s="7"/>
    </row>
    <row r="916">
      <c r="B916" s="51"/>
      <c r="C916" s="51"/>
      <c r="E916" s="7"/>
      <c r="F916" s="7"/>
      <c r="G916" s="7"/>
      <c r="H916" s="7"/>
    </row>
    <row r="917">
      <c r="B917" s="51"/>
      <c r="C917" s="51"/>
      <c r="E917" s="7"/>
      <c r="F917" s="7"/>
      <c r="G917" s="7"/>
      <c r="H917" s="7"/>
    </row>
    <row r="918">
      <c r="B918" s="51"/>
      <c r="C918" s="51"/>
      <c r="E918" s="7"/>
      <c r="F918" s="7"/>
      <c r="G918" s="7"/>
      <c r="H918" s="7"/>
    </row>
    <row r="919">
      <c r="B919" s="51"/>
      <c r="C919" s="51"/>
      <c r="E919" s="7"/>
      <c r="F919" s="7"/>
      <c r="G919" s="7"/>
      <c r="H919" s="7"/>
    </row>
    <row r="920">
      <c r="B920" s="51"/>
      <c r="C920" s="51"/>
      <c r="E920" s="7"/>
      <c r="F920" s="7"/>
      <c r="G920" s="7"/>
      <c r="H920" s="7"/>
    </row>
    <row r="921">
      <c r="B921" s="51"/>
      <c r="C921" s="51"/>
      <c r="E921" s="7"/>
      <c r="F921" s="7"/>
      <c r="G921" s="7"/>
      <c r="H921" s="7"/>
    </row>
    <row r="922">
      <c r="B922" s="51"/>
      <c r="C922" s="51"/>
      <c r="E922" s="7"/>
      <c r="F922" s="7"/>
      <c r="G922" s="7"/>
      <c r="H922" s="7"/>
    </row>
    <row r="923">
      <c r="B923" s="51"/>
      <c r="C923" s="51"/>
      <c r="E923" s="7"/>
      <c r="F923" s="7"/>
      <c r="G923" s="7"/>
      <c r="H923" s="7"/>
    </row>
    <row r="924">
      <c r="B924" s="51"/>
      <c r="C924" s="51"/>
      <c r="E924" s="7"/>
      <c r="F924" s="7"/>
      <c r="G924" s="7"/>
      <c r="H924" s="7"/>
    </row>
    <row r="925">
      <c r="B925" s="51"/>
      <c r="C925" s="51"/>
      <c r="E925" s="7"/>
      <c r="F925" s="7"/>
      <c r="G925" s="7"/>
      <c r="H925" s="7"/>
    </row>
    <row r="926">
      <c r="B926" s="51"/>
      <c r="C926" s="51"/>
      <c r="E926" s="7"/>
      <c r="F926" s="7"/>
      <c r="G926" s="7"/>
      <c r="H926" s="7"/>
    </row>
    <row r="927">
      <c r="B927" s="51"/>
      <c r="C927" s="51"/>
      <c r="E927" s="7"/>
      <c r="F927" s="7"/>
      <c r="G927" s="7"/>
      <c r="H927" s="7"/>
    </row>
    <row r="928">
      <c r="B928" s="51"/>
      <c r="C928" s="51"/>
      <c r="E928" s="7"/>
      <c r="F928" s="7"/>
      <c r="G928" s="7"/>
      <c r="H928" s="7"/>
    </row>
    <row r="929">
      <c r="B929" s="51"/>
      <c r="C929" s="51"/>
      <c r="E929" s="7"/>
      <c r="F929" s="7"/>
      <c r="G929" s="7"/>
      <c r="H929" s="7"/>
    </row>
    <row r="930">
      <c r="B930" s="51"/>
      <c r="C930" s="51"/>
      <c r="E930" s="7"/>
      <c r="F930" s="7"/>
      <c r="G930" s="7"/>
      <c r="H930" s="7"/>
    </row>
    <row r="931">
      <c r="B931" s="51"/>
      <c r="C931" s="51"/>
      <c r="E931" s="7"/>
      <c r="F931" s="7"/>
      <c r="G931" s="7"/>
      <c r="H931" s="7"/>
    </row>
    <row r="932">
      <c r="B932" s="51"/>
      <c r="C932" s="51"/>
      <c r="E932" s="7"/>
      <c r="F932" s="7"/>
      <c r="G932" s="7"/>
      <c r="H932" s="7"/>
    </row>
    <row r="933">
      <c r="B933" s="51"/>
      <c r="C933" s="51"/>
      <c r="E933" s="7"/>
      <c r="F933" s="7"/>
      <c r="G933" s="7"/>
      <c r="H933" s="7"/>
    </row>
    <row r="934">
      <c r="B934" s="51"/>
      <c r="C934" s="51"/>
      <c r="E934" s="7"/>
      <c r="F934" s="7"/>
      <c r="G934" s="7"/>
      <c r="H934" s="7"/>
    </row>
    <row r="935">
      <c r="B935" s="51"/>
      <c r="C935" s="51"/>
      <c r="E935" s="7"/>
      <c r="F935" s="7"/>
      <c r="G935" s="7"/>
      <c r="H935" s="7"/>
    </row>
    <row r="936">
      <c r="B936" s="51"/>
      <c r="C936" s="51"/>
      <c r="E936" s="7"/>
      <c r="F936" s="7"/>
      <c r="G936" s="7"/>
      <c r="H936" s="7"/>
    </row>
    <row r="937">
      <c r="B937" s="51"/>
      <c r="C937" s="51"/>
      <c r="E937" s="7"/>
      <c r="F937" s="7"/>
      <c r="G937" s="7"/>
      <c r="H937" s="7"/>
    </row>
    <row r="938">
      <c r="B938" s="51"/>
      <c r="C938" s="51"/>
      <c r="E938" s="7"/>
      <c r="F938" s="7"/>
      <c r="G938" s="7"/>
      <c r="H938" s="7"/>
    </row>
    <row r="939">
      <c r="B939" s="51"/>
      <c r="C939" s="51"/>
      <c r="E939" s="7"/>
      <c r="F939" s="7"/>
      <c r="G939" s="7"/>
      <c r="H939" s="7"/>
    </row>
    <row r="940">
      <c r="B940" s="51"/>
      <c r="C940" s="51"/>
      <c r="E940" s="7"/>
      <c r="F940" s="7"/>
      <c r="G940" s="7"/>
      <c r="H940" s="7"/>
    </row>
    <row r="941">
      <c r="B941" s="51"/>
      <c r="C941" s="51"/>
      <c r="E941" s="7"/>
      <c r="F941" s="7"/>
      <c r="G941" s="7"/>
      <c r="H941" s="7"/>
    </row>
    <row r="942">
      <c r="B942" s="51"/>
      <c r="C942" s="51"/>
      <c r="E942" s="7"/>
      <c r="F942" s="7"/>
      <c r="G942" s="7"/>
      <c r="H942" s="7"/>
    </row>
    <row r="943">
      <c r="B943" s="51"/>
      <c r="C943" s="51"/>
      <c r="E943" s="7"/>
      <c r="F943" s="7"/>
      <c r="G943" s="7"/>
      <c r="H943" s="7"/>
    </row>
    <row r="944">
      <c r="B944" s="51"/>
      <c r="C944" s="51"/>
      <c r="E944" s="7"/>
      <c r="F944" s="7"/>
      <c r="G944" s="7"/>
      <c r="H944" s="7"/>
    </row>
    <row r="945">
      <c r="B945" s="51"/>
      <c r="C945" s="51"/>
      <c r="E945" s="7"/>
      <c r="F945" s="7"/>
      <c r="G945" s="7"/>
      <c r="H945" s="7"/>
    </row>
    <row r="946">
      <c r="B946" s="51"/>
      <c r="C946" s="51"/>
      <c r="E946" s="7"/>
      <c r="F946" s="7"/>
      <c r="G946" s="7"/>
      <c r="H946" s="7"/>
    </row>
    <row r="947">
      <c r="B947" s="51"/>
      <c r="C947" s="51"/>
      <c r="E947" s="7"/>
      <c r="F947" s="7"/>
      <c r="G947" s="7"/>
      <c r="H947" s="7"/>
    </row>
    <row r="948">
      <c r="B948" s="51"/>
      <c r="C948" s="51"/>
      <c r="E948" s="7"/>
      <c r="F948" s="7"/>
      <c r="G948" s="7"/>
      <c r="H948" s="7"/>
    </row>
    <row r="949">
      <c r="B949" s="51"/>
      <c r="C949" s="51"/>
      <c r="E949" s="7"/>
      <c r="F949" s="7"/>
      <c r="G949" s="7"/>
      <c r="H949" s="7"/>
    </row>
    <row r="950">
      <c r="B950" s="51"/>
      <c r="C950" s="51"/>
      <c r="E950" s="7"/>
      <c r="F950" s="7"/>
      <c r="G950" s="7"/>
      <c r="H950" s="7"/>
    </row>
    <row r="951">
      <c r="B951" s="51"/>
      <c r="C951" s="51"/>
      <c r="E951" s="7"/>
      <c r="F951" s="7"/>
      <c r="G951" s="7"/>
      <c r="H951" s="7"/>
    </row>
    <row r="952">
      <c r="B952" s="51"/>
      <c r="C952" s="51"/>
      <c r="E952" s="7"/>
      <c r="F952" s="7"/>
      <c r="G952" s="7"/>
      <c r="H952" s="7"/>
    </row>
    <row r="953">
      <c r="B953" s="51"/>
      <c r="C953" s="51"/>
      <c r="E953" s="7"/>
      <c r="F953" s="7"/>
      <c r="G953" s="7"/>
      <c r="H953" s="7"/>
    </row>
    <row r="954">
      <c r="B954" s="51"/>
      <c r="C954" s="51"/>
      <c r="E954" s="7"/>
      <c r="F954" s="7"/>
      <c r="G954" s="7"/>
      <c r="H954" s="7"/>
    </row>
    <row r="955">
      <c r="B955" s="51"/>
      <c r="C955" s="51"/>
      <c r="E955" s="7"/>
      <c r="F955" s="7"/>
      <c r="G955" s="7"/>
      <c r="H955" s="7"/>
    </row>
    <row r="956">
      <c r="B956" s="51"/>
      <c r="C956" s="51"/>
      <c r="E956" s="7"/>
      <c r="F956" s="7"/>
      <c r="G956" s="7"/>
      <c r="H956" s="7"/>
    </row>
    <row r="957">
      <c r="B957" s="51"/>
      <c r="C957" s="51"/>
      <c r="E957" s="7"/>
      <c r="F957" s="7"/>
      <c r="G957" s="7"/>
      <c r="H957" s="7"/>
    </row>
    <row r="958">
      <c r="B958" s="51"/>
      <c r="C958" s="51"/>
      <c r="E958" s="7"/>
      <c r="F958" s="7"/>
      <c r="G958" s="7"/>
      <c r="H958" s="7"/>
    </row>
    <row r="959">
      <c r="B959" s="51"/>
      <c r="C959" s="51"/>
      <c r="E959" s="7"/>
      <c r="F959" s="7"/>
      <c r="G959" s="7"/>
      <c r="H959" s="7"/>
    </row>
    <row r="960">
      <c r="B960" s="51"/>
      <c r="C960" s="51"/>
      <c r="E960" s="7"/>
      <c r="F960" s="7"/>
      <c r="G960" s="7"/>
      <c r="H960" s="7"/>
    </row>
    <row r="961">
      <c r="B961" s="51"/>
      <c r="C961" s="51"/>
      <c r="E961" s="7"/>
      <c r="F961" s="7"/>
      <c r="G961" s="7"/>
      <c r="H961" s="7"/>
    </row>
    <row r="962">
      <c r="B962" s="51"/>
      <c r="C962" s="51"/>
      <c r="E962" s="7"/>
      <c r="F962" s="7"/>
      <c r="G962" s="7"/>
      <c r="H962" s="7"/>
    </row>
    <row r="963">
      <c r="B963" s="51"/>
      <c r="C963" s="51"/>
      <c r="E963" s="7"/>
      <c r="F963" s="7"/>
      <c r="G963" s="7"/>
      <c r="H963" s="7"/>
    </row>
    <row r="964">
      <c r="B964" s="51"/>
      <c r="C964" s="51"/>
      <c r="E964" s="7"/>
      <c r="F964" s="7"/>
      <c r="G964" s="7"/>
      <c r="H964" s="7"/>
    </row>
    <row r="965">
      <c r="B965" s="51"/>
      <c r="C965" s="51"/>
      <c r="E965" s="7"/>
      <c r="F965" s="7"/>
      <c r="G965" s="7"/>
      <c r="H965" s="7"/>
    </row>
    <row r="966">
      <c r="B966" s="51"/>
      <c r="C966" s="51"/>
      <c r="E966" s="7"/>
      <c r="F966" s="7"/>
      <c r="G966" s="7"/>
      <c r="H966" s="7"/>
    </row>
    <row r="967">
      <c r="B967" s="51"/>
      <c r="C967" s="51"/>
      <c r="E967" s="7"/>
      <c r="F967" s="7"/>
      <c r="G967" s="7"/>
      <c r="H967" s="7"/>
    </row>
    <row r="968">
      <c r="B968" s="51"/>
      <c r="C968" s="51"/>
      <c r="E968" s="7"/>
      <c r="F968" s="7"/>
      <c r="G968" s="7"/>
      <c r="H968" s="7"/>
    </row>
    <row r="969">
      <c r="B969" s="51"/>
      <c r="C969" s="51"/>
      <c r="E969" s="7"/>
      <c r="F969" s="7"/>
      <c r="G969" s="7"/>
      <c r="H969" s="7"/>
    </row>
    <row r="970">
      <c r="B970" s="51"/>
      <c r="C970" s="51"/>
      <c r="E970" s="7"/>
      <c r="F970" s="7"/>
      <c r="G970" s="7"/>
      <c r="H970" s="7"/>
    </row>
    <row r="971">
      <c r="B971" s="51"/>
      <c r="C971" s="51"/>
      <c r="E971" s="7"/>
      <c r="F971" s="7"/>
      <c r="G971" s="7"/>
      <c r="H971" s="7"/>
    </row>
    <row r="972">
      <c r="B972" s="51"/>
      <c r="C972" s="51"/>
      <c r="E972" s="7"/>
      <c r="F972" s="7"/>
      <c r="G972" s="7"/>
      <c r="H972" s="7"/>
    </row>
    <row r="973">
      <c r="B973" s="51"/>
      <c r="C973" s="51"/>
      <c r="E973" s="7"/>
      <c r="F973" s="7"/>
      <c r="G973" s="7"/>
      <c r="H973" s="7"/>
    </row>
    <row r="974">
      <c r="B974" s="51"/>
      <c r="C974" s="51"/>
      <c r="E974" s="7"/>
      <c r="F974" s="7"/>
      <c r="G974" s="7"/>
      <c r="H974" s="7"/>
    </row>
    <row r="975">
      <c r="B975" s="51"/>
      <c r="C975" s="51"/>
      <c r="E975" s="7"/>
      <c r="F975" s="7"/>
      <c r="G975" s="7"/>
      <c r="H975" s="7"/>
    </row>
    <row r="976">
      <c r="B976" s="51"/>
      <c r="C976" s="51"/>
      <c r="E976" s="7"/>
      <c r="F976" s="7"/>
      <c r="G976" s="7"/>
      <c r="H976" s="7"/>
    </row>
    <row r="977">
      <c r="B977" s="51"/>
      <c r="C977" s="51"/>
      <c r="E977" s="7"/>
      <c r="F977" s="7"/>
      <c r="G977" s="7"/>
      <c r="H977" s="7"/>
    </row>
    <row r="978">
      <c r="B978" s="51"/>
      <c r="C978" s="51"/>
      <c r="E978" s="7"/>
      <c r="F978" s="7"/>
      <c r="G978" s="7"/>
      <c r="H978" s="7"/>
    </row>
    <row r="979">
      <c r="B979" s="51"/>
      <c r="C979" s="51"/>
      <c r="E979" s="7"/>
      <c r="F979" s="7"/>
      <c r="G979" s="7"/>
      <c r="H979" s="7"/>
    </row>
    <row r="980">
      <c r="B980" s="51"/>
      <c r="C980" s="51"/>
      <c r="E980" s="7"/>
      <c r="F980" s="7"/>
      <c r="G980" s="7"/>
      <c r="H980" s="7"/>
    </row>
    <row r="981">
      <c r="B981" s="51"/>
      <c r="C981" s="51"/>
      <c r="E981" s="7"/>
      <c r="F981" s="7"/>
      <c r="G981" s="7"/>
      <c r="H981" s="7"/>
    </row>
    <row r="982">
      <c r="B982" s="51"/>
      <c r="C982" s="51"/>
      <c r="E982" s="7"/>
      <c r="F982" s="7"/>
      <c r="G982" s="7"/>
      <c r="H982" s="7"/>
    </row>
    <row r="983">
      <c r="B983" s="51"/>
      <c r="C983" s="51"/>
      <c r="E983" s="7"/>
      <c r="F983" s="7"/>
      <c r="G983" s="7"/>
      <c r="H983" s="7"/>
    </row>
    <row r="984">
      <c r="B984" s="51"/>
      <c r="C984" s="51"/>
      <c r="E984" s="7"/>
      <c r="F984" s="7"/>
      <c r="G984" s="7"/>
      <c r="H984" s="7"/>
    </row>
    <row r="985">
      <c r="B985" s="51"/>
      <c r="C985" s="51"/>
      <c r="E985" s="7"/>
      <c r="F985" s="7"/>
      <c r="G985" s="7"/>
      <c r="H985" s="7"/>
    </row>
    <row r="986">
      <c r="B986" s="51"/>
      <c r="C986" s="51"/>
      <c r="E986" s="7"/>
      <c r="F986" s="7"/>
      <c r="G986" s="7"/>
      <c r="H986" s="7"/>
    </row>
    <row r="987">
      <c r="B987" s="51"/>
      <c r="C987" s="51"/>
      <c r="E987" s="7"/>
      <c r="F987" s="7"/>
      <c r="G987" s="7"/>
      <c r="H987" s="7"/>
    </row>
    <row r="988">
      <c r="B988" s="51"/>
      <c r="C988" s="51"/>
      <c r="E988" s="7"/>
      <c r="F988" s="7"/>
      <c r="G988" s="7"/>
      <c r="H988" s="7"/>
    </row>
    <row r="989">
      <c r="B989" s="51"/>
      <c r="C989" s="51"/>
      <c r="E989" s="7"/>
      <c r="F989" s="7"/>
      <c r="G989" s="7"/>
      <c r="H989" s="7"/>
    </row>
    <row r="990">
      <c r="B990" s="51"/>
      <c r="C990" s="51"/>
      <c r="E990" s="7"/>
      <c r="F990" s="7"/>
      <c r="G990" s="7"/>
      <c r="H990" s="7"/>
    </row>
    <row r="991">
      <c r="B991" s="51"/>
      <c r="C991" s="51"/>
      <c r="E991" s="7"/>
      <c r="F991" s="7"/>
      <c r="G991" s="7"/>
      <c r="H991" s="7"/>
    </row>
    <row r="992">
      <c r="B992" s="51"/>
      <c r="C992" s="51"/>
      <c r="E992" s="7"/>
      <c r="F992" s="7"/>
      <c r="G992" s="7"/>
      <c r="H992" s="7"/>
    </row>
    <row r="993">
      <c r="B993" s="51"/>
      <c r="C993" s="51"/>
      <c r="E993" s="7"/>
      <c r="F993" s="7"/>
      <c r="G993" s="7"/>
      <c r="H993" s="7"/>
    </row>
    <row r="994">
      <c r="B994" s="51"/>
      <c r="C994" s="51"/>
      <c r="E994" s="7"/>
      <c r="F994" s="7"/>
      <c r="G994" s="7"/>
      <c r="H994" s="7"/>
    </row>
    <row r="995">
      <c r="B995" s="51"/>
      <c r="C995" s="51"/>
      <c r="E995" s="7"/>
      <c r="F995" s="7"/>
      <c r="G995" s="7"/>
      <c r="H995" s="7"/>
    </row>
    <row r="996">
      <c r="B996" s="51"/>
      <c r="C996" s="51"/>
      <c r="E996" s="7"/>
      <c r="F996" s="7"/>
      <c r="G996" s="7"/>
      <c r="H996" s="7"/>
    </row>
    <row r="997">
      <c r="B997" s="51"/>
      <c r="C997" s="51"/>
      <c r="E997" s="7"/>
      <c r="F997" s="7"/>
      <c r="G997" s="7"/>
      <c r="H997" s="7"/>
    </row>
    <row r="998">
      <c r="B998" s="51"/>
      <c r="C998" s="51"/>
      <c r="E998" s="7"/>
      <c r="F998" s="7"/>
      <c r="G998" s="7"/>
      <c r="H998" s="7"/>
    </row>
    <row r="999">
      <c r="B999" s="51"/>
      <c r="C999" s="51"/>
      <c r="E999" s="7"/>
      <c r="F999" s="7"/>
      <c r="G999" s="7"/>
      <c r="H999" s="7"/>
    </row>
    <row r="1000">
      <c r="B1000" s="51"/>
      <c r="C1000" s="51"/>
      <c r="E1000" s="7"/>
      <c r="F1000" s="7"/>
      <c r="G1000" s="7"/>
      <c r="H1000" s="7"/>
    </row>
  </sheetData>
  <autoFilter ref="$A$1:$J$81"/>
  <dataValidations>
    <dataValidation type="list" allowBlank="1" showErrorMessage="1" sqref="J2:J81">
      <formula1>"Trend Analysis ,Gap Detection,Evidence-based QA,Comparative Synthesis"</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2.63"/>
    <col customWidth="1" min="3" max="3" width="78.88"/>
    <col customWidth="1" min="4" max="4" width="26.88"/>
    <col customWidth="1" min="6" max="6" width="24.88"/>
    <col customWidth="1" min="7" max="7" width="27.63"/>
    <col customWidth="1" min="8" max="8" width="25.13"/>
    <col customWidth="1" min="9" max="9" width="115.0"/>
    <col customWidth="1" min="10" max="10" width="78.88"/>
  </cols>
  <sheetData>
    <row r="1">
      <c r="A1" s="41" t="s">
        <v>41</v>
      </c>
      <c r="B1" s="41" t="s">
        <v>42</v>
      </c>
      <c r="C1" s="41" t="s">
        <v>43</v>
      </c>
      <c r="D1" s="41" t="s">
        <v>44</v>
      </c>
      <c r="E1" s="32" t="s">
        <v>3</v>
      </c>
      <c r="F1" s="32" t="s">
        <v>4</v>
      </c>
      <c r="G1" s="32" t="s">
        <v>5</v>
      </c>
      <c r="H1" s="32" t="s">
        <v>6</v>
      </c>
      <c r="I1" s="41" t="s">
        <v>45</v>
      </c>
      <c r="J1" s="19" t="s">
        <v>1406</v>
      </c>
    </row>
    <row r="2">
      <c r="A2" s="48">
        <v>1.0</v>
      </c>
      <c r="B2" s="47" t="s">
        <v>46</v>
      </c>
      <c r="C2" s="47" t="s">
        <v>286</v>
      </c>
      <c r="D2" s="47" t="s">
        <v>287</v>
      </c>
      <c r="E2" s="48">
        <v>1.0</v>
      </c>
      <c r="F2" s="48">
        <v>0.954</v>
      </c>
      <c r="G2" s="48">
        <v>0.867</v>
      </c>
      <c r="H2" s="48">
        <v>0.8</v>
      </c>
      <c r="I2" s="44" t="str">
        <f>IMAGE("https://drive.google.com/uc?export=view&amp;id=1j6ewjKPyPocMxblWBWp86gwEs8IXq-aC")</f>
        <v/>
      </c>
      <c r="J2" s="19" t="s">
        <v>14</v>
      </c>
    </row>
    <row r="3">
      <c r="A3" s="48">
        <v>2.0</v>
      </c>
      <c r="B3" s="47" t="s">
        <v>49</v>
      </c>
      <c r="C3" s="47" t="s">
        <v>288</v>
      </c>
      <c r="D3" s="47" t="s">
        <v>289</v>
      </c>
      <c r="E3" s="48">
        <v>1.0</v>
      </c>
      <c r="F3" s="48">
        <v>0.0</v>
      </c>
      <c r="G3" s="48">
        <v>0.333</v>
      </c>
      <c r="H3" s="48">
        <v>0.8</v>
      </c>
      <c r="I3" s="44" t="str">
        <f>IMAGE("https://drive.google.com/uc?export=view&amp;id=1hUTwgIpVD0-2KBRwGUSeaAhE6SdJ8Ttr")</f>
        <v/>
      </c>
      <c r="J3" s="19" t="s">
        <v>14</v>
      </c>
    </row>
    <row r="4">
      <c r="A4" s="48">
        <v>3.0</v>
      </c>
      <c r="B4" s="47" t="s">
        <v>52</v>
      </c>
      <c r="C4" s="47" t="s">
        <v>290</v>
      </c>
      <c r="D4" s="47" t="s">
        <v>291</v>
      </c>
      <c r="E4" s="48">
        <v>0.6</v>
      </c>
      <c r="F4" s="48">
        <v>0.827</v>
      </c>
      <c r="G4" s="48">
        <v>1.0</v>
      </c>
      <c r="H4" s="48">
        <v>0.333</v>
      </c>
      <c r="I4" s="44" t="str">
        <f>IMAGE("https://drive.google.com/uc?export=view&amp;id=1mVN06XS0gH2KSLWKzOr2NC3Xz5UFWRv6")</f>
        <v/>
      </c>
      <c r="J4" s="19" t="s">
        <v>14</v>
      </c>
    </row>
    <row r="5">
      <c r="A5" s="48">
        <v>4.0</v>
      </c>
      <c r="B5" s="47" t="s">
        <v>55</v>
      </c>
      <c r="C5" s="47" t="s">
        <v>292</v>
      </c>
      <c r="D5" s="47" t="s">
        <v>293</v>
      </c>
      <c r="E5" s="48">
        <v>0.375</v>
      </c>
      <c r="F5" s="48">
        <v>1.0</v>
      </c>
      <c r="G5" s="48">
        <v>0.679</v>
      </c>
      <c r="H5" s="48">
        <v>1.0</v>
      </c>
      <c r="I5" s="44" t="str">
        <f>IMAGE("https://drive.google.com/uc?export=view&amp;id=1TXpAcLy1s8cHNzWBoSgmE516g8uKTJVG")</f>
        <v/>
      </c>
      <c r="J5" s="19" t="s">
        <v>14</v>
      </c>
    </row>
    <row r="6">
      <c r="A6" s="48">
        <v>5.0</v>
      </c>
      <c r="B6" s="47" t="s">
        <v>58</v>
      </c>
      <c r="C6" s="47" t="s">
        <v>294</v>
      </c>
      <c r="D6" s="47" t="s">
        <v>295</v>
      </c>
      <c r="E6" s="48">
        <v>0.5</v>
      </c>
      <c r="F6" s="48">
        <v>0.913</v>
      </c>
      <c r="G6" s="48">
        <v>1.0</v>
      </c>
      <c r="H6" s="48">
        <v>0.333</v>
      </c>
      <c r="I6" s="44" t="str">
        <f>IMAGE("https://drive.google.com/uc?export=view&amp;id=1uoCiM5UF8F7-RPE1WZxiSKV7UbJkMtmV")</f>
        <v/>
      </c>
      <c r="J6" s="19" t="s">
        <v>14</v>
      </c>
    </row>
    <row r="7">
      <c r="A7" s="48">
        <v>6.0</v>
      </c>
      <c r="B7" s="47" t="s">
        <v>61</v>
      </c>
      <c r="C7" s="47" t="s">
        <v>296</v>
      </c>
      <c r="D7" s="47" t="s">
        <v>297</v>
      </c>
      <c r="E7" s="48">
        <v>1.0</v>
      </c>
      <c r="F7" s="48">
        <v>0.976</v>
      </c>
      <c r="G7" s="48">
        <v>0.95</v>
      </c>
      <c r="H7" s="48">
        <v>1.0</v>
      </c>
      <c r="I7" s="44" t="str">
        <f>IMAGE("https://drive.google.com/uc?export=view&amp;id=1Ww49cSyXRwB9s0lVTdmCbrH8Vij0C6s8")</f>
        <v/>
      </c>
      <c r="J7" s="19" t="s">
        <v>14</v>
      </c>
    </row>
    <row r="8">
      <c r="A8" s="48">
        <v>7.0</v>
      </c>
      <c r="B8" s="47" t="s">
        <v>64</v>
      </c>
      <c r="C8" s="47" t="s">
        <v>298</v>
      </c>
      <c r="D8" s="47" t="s">
        <v>299</v>
      </c>
      <c r="E8" s="48">
        <v>0.5</v>
      </c>
      <c r="F8" s="48">
        <v>0.471</v>
      </c>
      <c r="G8" s="48">
        <v>0.0</v>
      </c>
      <c r="H8" s="48">
        <v>0.833</v>
      </c>
      <c r="I8" s="44" t="str">
        <f>IMAGE("https://drive.google.com/uc?export=view&amp;id=10b3bm5d9HKLWIItwCfa1wgj-fYC0RaVY")</f>
        <v/>
      </c>
      <c r="J8" s="19" t="s">
        <v>14</v>
      </c>
    </row>
    <row r="9">
      <c r="A9" s="48">
        <v>8.0</v>
      </c>
      <c r="B9" s="47" t="s">
        <v>67</v>
      </c>
      <c r="C9" s="47" t="s">
        <v>300</v>
      </c>
      <c r="D9" s="47" t="s">
        <v>301</v>
      </c>
      <c r="E9" s="48">
        <v>0.533</v>
      </c>
      <c r="F9" s="48">
        <v>0.83</v>
      </c>
      <c r="G9" s="48">
        <v>0.917</v>
      </c>
      <c r="H9" s="48">
        <v>0.667</v>
      </c>
      <c r="I9" s="44" t="str">
        <f>IMAGE("https://drive.google.com/uc?export=view&amp;id=1nSWd6okiNX-salxqTJBCunAh7oeAHIlf")</f>
        <v/>
      </c>
      <c r="J9" s="19" t="s">
        <v>14</v>
      </c>
    </row>
    <row r="10">
      <c r="A10" s="48">
        <v>9.0</v>
      </c>
      <c r="B10" s="47" t="s">
        <v>70</v>
      </c>
      <c r="C10" s="47" t="s">
        <v>302</v>
      </c>
      <c r="D10" s="47" t="s">
        <v>303</v>
      </c>
      <c r="E10" s="48">
        <v>0.444</v>
      </c>
      <c r="F10" s="48">
        <v>0.812</v>
      </c>
      <c r="G10" s="48">
        <v>0.2</v>
      </c>
      <c r="H10" s="48">
        <v>1.0</v>
      </c>
      <c r="I10" s="44" t="str">
        <f>IMAGE("https://drive.google.com/uc?export=view&amp;id=1XzeKHIoV5VZ9LcUBPRKmEUyV2O3eawy2")</f>
        <v/>
      </c>
      <c r="J10" s="19" t="s">
        <v>14</v>
      </c>
    </row>
    <row r="11">
      <c r="A11" s="48">
        <v>10.0</v>
      </c>
      <c r="B11" s="47" t="s">
        <v>73</v>
      </c>
      <c r="C11" s="47" t="s">
        <v>304</v>
      </c>
      <c r="D11" s="47" t="s">
        <v>305</v>
      </c>
      <c r="E11" s="48">
        <v>0.778</v>
      </c>
      <c r="F11" s="48">
        <v>0.849</v>
      </c>
      <c r="G11" s="48">
        <v>0.417</v>
      </c>
      <c r="H11" s="48">
        <v>0.833</v>
      </c>
      <c r="I11" s="44" t="str">
        <f>IMAGE("https://drive.google.com/uc?export=view&amp;id=1eeQYVVD_msm7F-4pHYF3UE4JZXSuyhsf")</f>
        <v/>
      </c>
      <c r="J11" s="19" t="s">
        <v>14</v>
      </c>
    </row>
    <row r="12">
      <c r="A12" s="48">
        <v>11.0</v>
      </c>
      <c r="B12" s="47" t="s">
        <v>76</v>
      </c>
      <c r="C12" s="47" t="s">
        <v>306</v>
      </c>
      <c r="D12" s="47" t="s">
        <v>307</v>
      </c>
      <c r="E12" s="48">
        <v>1.0</v>
      </c>
      <c r="F12" s="48">
        <v>0.852</v>
      </c>
      <c r="G12" s="48">
        <v>1.0</v>
      </c>
      <c r="H12" s="48">
        <v>1.0</v>
      </c>
      <c r="I12" s="44" t="str">
        <f>IMAGE("https://drive.google.com/uc?export=view&amp;id=1-0jym0jQpsOW0MmGGpuHtv_YiY4xyJ3a")</f>
        <v/>
      </c>
      <c r="J12" s="19" t="s">
        <v>14</v>
      </c>
    </row>
    <row r="13">
      <c r="A13" s="48">
        <v>12.0</v>
      </c>
      <c r="B13" s="47" t="s">
        <v>79</v>
      </c>
      <c r="C13" s="47" t="s">
        <v>308</v>
      </c>
      <c r="D13" s="47" t="s">
        <v>309</v>
      </c>
      <c r="E13" s="48">
        <v>0.571</v>
      </c>
      <c r="F13" s="48">
        <v>0.0</v>
      </c>
      <c r="G13" s="48">
        <v>0.0</v>
      </c>
      <c r="H13" s="48">
        <v>1.0</v>
      </c>
      <c r="I13" s="44" t="str">
        <f>IMAGE("https://drive.google.com/uc?export=view&amp;id=18jsZy_NC7eyaajHCfVWrj1HO1hVtHBwE")</f>
        <v/>
      </c>
      <c r="J13" s="19" t="s">
        <v>14</v>
      </c>
    </row>
    <row r="14">
      <c r="A14" s="48">
        <v>13.0</v>
      </c>
      <c r="B14" s="47" t="s">
        <v>82</v>
      </c>
      <c r="C14" s="47" t="s">
        <v>310</v>
      </c>
      <c r="D14" s="47" t="s">
        <v>311</v>
      </c>
      <c r="E14" s="48">
        <v>1.0</v>
      </c>
      <c r="F14" s="48">
        <v>0.634</v>
      </c>
      <c r="G14" s="48">
        <v>0.417</v>
      </c>
      <c r="H14" s="48">
        <v>1.0</v>
      </c>
      <c r="I14" s="44" t="str">
        <f>IMAGE("https://drive.google.com/uc?export=view&amp;id=1h5Et1JPyrrEvHQrUZ5E1NvyXg6TfrOfW")</f>
        <v/>
      </c>
      <c r="J14" s="19" t="s">
        <v>14</v>
      </c>
    </row>
    <row r="15">
      <c r="A15" s="48">
        <v>14.0</v>
      </c>
      <c r="B15" s="47" t="s">
        <v>85</v>
      </c>
      <c r="C15" s="47" t="s">
        <v>312</v>
      </c>
      <c r="D15" s="47" t="s">
        <v>313</v>
      </c>
      <c r="E15" s="48">
        <v>0.75</v>
      </c>
      <c r="F15" s="48">
        <v>0.982</v>
      </c>
      <c r="G15" s="48">
        <v>0.5</v>
      </c>
      <c r="H15" s="48">
        <v>0.0</v>
      </c>
      <c r="I15" s="44" t="str">
        <f>IMAGE("https://drive.google.com/uc?export=view&amp;id=10zh8wIP8cd-ExtNEBSI1xV2MfgyQ-p2X")</f>
        <v/>
      </c>
      <c r="J15" s="19" t="s">
        <v>14</v>
      </c>
    </row>
    <row r="16">
      <c r="A16" s="48">
        <v>15.0</v>
      </c>
      <c r="B16" s="47" t="s">
        <v>88</v>
      </c>
      <c r="C16" s="47" t="s">
        <v>314</v>
      </c>
      <c r="D16" s="47" t="s">
        <v>315</v>
      </c>
      <c r="E16" s="48">
        <v>0.875</v>
      </c>
      <c r="F16" s="48">
        <v>0.0</v>
      </c>
      <c r="G16" s="48">
        <v>0.0</v>
      </c>
      <c r="H16" s="48">
        <v>1.0</v>
      </c>
      <c r="I16" s="44" t="str">
        <f>IMAGE("https://drive.google.com/uc?export=view&amp;id=1rkawDHH9onpP4ySOoYnaCAULtzHs6gIT")</f>
        <v/>
      </c>
      <c r="J16" s="19" t="s">
        <v>14</v>
      </c>
    </row>
    <row r="17">
      <c r="A17" s="48">
        <v>16.0</v>
      </c>
      <c r="B17" s="47" t="s">
        <v>94</v>
      </c>
      <c r="C17" s="47" t="s">
        <v>316</v>
      </c>
      <c r="D17" s="47" t="s">
        <v>317</v>
      </c>
      <c r="E17" s="48">
        <v>0.875</v>
      </c>
      <c r="F17" s="48">
        <v>0.575</v>
      </c>
      <c r="G17" s="48">
        <v>0.333</v>
      </c>
      <c r="H17" s="48">
        <v>0.3</v>
      </c>
      <c r="I17" s="44" t="str">
        <f>IMAGE("https://drive.google.com/uc?export=view&amp;id=1HUdaj3LodGs8x_bd9AQezQNCD0TcPcSm")</f>
        <v/>
      </c>
      <c r="J17" s="19" t="s">
        <v>14</v>
      </c>
    </row>
    <row r="18">
      <c r="A18" s="48">
        <v>17.0</v>
      </c>
      <c r="B18" s="47" t="s">
        <v>100</v>
      </c>
      <c r="C18" s="47" t="s">
        <v>318</v>
      </c>
      <c r="D18" s="47" t="s">
        <v>319</v>
      </c>
      <c r="E18" s="48">
        <v>0.636</v>
      </c>
      <c r="F18" s="48">
        <v>0.965</v>
      </c>
      <c r="G18" s="48">
        <v>0.0</v>
      </c>
      <c r="H18" s="48">
        <v>1.0</v>
      </c>
      <c r="I18" s="44" t="str">
        <f>IMAGE("https://drive.google.com/uc?export=view&amp;id=115_uXqSfodQ7vWGGrWiUZ4-nnEge1DWJ")</f>
        <v/>
      </c>
      <c r="J18" s="19" t="s">
        <v>14</v>
      </c>
    </row>
    <row r="19">
      <c r="A19" s="48">
        <v>18.0</v>
      </c>
      <c r="B19" s="47" t="s">
        <v>115</v>
      </c>
      <c r="C19" s="47" t="s">
        <v>320</v>
      </c>
      <c r="D19" s="47" t="s">
        <v>321</v>
      </c>
      <c r="E19" s="48">
        <v>0.467</v>
      </c>
      <c r="F19" s="48">
        <v>0.994</v>
      </c>
      <c r="G19" s="48">
        <v>1.0</v>
      </c>
      <c r="H19" s="48">
        <v>0.8</v>
      </c>
      <c r="I19" s="44" t="str">
        <f>IMAGE("https://drive.google.com/uc?export=view&amp;id=10STbj-1vVs85re8FqT9jqaUJ_YU3Iz7t")</f>
        <v/>
      </c>
      <c r="J19" s="19" t="s">
        <v>14</v>
      </c>
    </row>
    <row r="20">
      <c r="A20" s="48">
        <v>19.0</v>
      </c>
      <c r="B20" s="47" t="s">
        <v>91</v>
      </c>
      <c r="C20" s="47" t="s">
        <v>322</v>
      </c>
      <c r="D20" s="47" t="s">
        <v>323</v>
      </c>
      <c r="E20" s="48">
        <v>0.5</v>
      </c>
      <c r="F20" s="48">
        <v>0.99</v>
      </c>
      <c r="G20" s="48">
        <v>0.833</v>
      </c>
      <c r="H20" s="48">
        <v>1.0</v>
      </c>
      <c r="I20" s="44" t="str">
        <f>IMAGE("https://drive.google.com/uc?export=view&amp;id=1uEI3HCdqUAGqH4Z8scngdgfI05sqpP6U")</f>
        <v/>
      </c>
      <c r="J20" s="19" t="s">
        <v>14</v>
      </c>
    </row>
    <row r="21">
      <c r="A21" s="48">
        <v>20.0</v>
      </c>
      <c r="B21" s="47" t="s">
        <v>97</v>
      </c>
      <c r="C21" s="47" t="s">
        <v>324</v>
      </c>
      <c r="D21" s="47" t="s">
        <v>325</v>
      </c>
      <c r="E21" s="48">
        <v>1.0</v>
      </c>
      <c r="F21" s="48">
        <v>0.963</v>
      </c>
      <c r="G21" s="48">
        <v>0.5</v>
      </c>
      <c r="H21" s="48">
        <v>1.0</v>
      </c>
      <c r="I21" s="44" t="str">
        <f>IMAGE("https://drive.google.com/uc?export=view&amp;id=19ig3muR3EXCJO2d9SU4coFKLamjJ-lpw")</f>
        <v/>
      </c>
      <c r="J21" s="19" t="s">
        <v>14</v>
      </c>
    </row>
    <row r="22">
      <c r="A22" s="48">
        <v>21.0</v>
      </c>
      <c r="B22" s="47" t="s">
        <v>103</v>
      </c>
      <c r="C22" s="47" t="s">
        <v>326</v>
      </c>
      <c r="D22" s="47" t="s">
        <v>327</v>
      </c>
      <c r="E22" s="48">
        <v>0.429</v>
      </c>
      <c r="F22" s="48">
        <v>0.987</v>
      </c>
      <c r="G22" s="48">
        <v>1.0</v>
      </c>
      <c r="H22" s="48">
        <v>0.8</v>
      </c>
      <c r="I22" s="44" t="str">
        <f>IMAGE("https://drive.google.com/uc?export=view&amp;id=1HbpvASnSDgu0XtlxV3i74e1dqgsUlOeb")</f>
        <v/>
      </c>
      <c r="J22" s="19" t="s">
        <v>15</v>
      </c>
    </row>
    <row r="23">
      <c r="A23" s="48">
        <v>22.0</v>
      </c>
      <c r="B23" s="47" t="s">
        <v>106</v>
      </c>
      <c r="C23" s="47" t="s">
        <v>328</v>
      </c>
      <c r="D23" s="47" t="s">
        <v>329</v>
      </c>
      <c r="E23" s="48">
        <v>0.786</v>
      </c>
      <c r="F23" s="48">
        <v>0.0</v>
      </c>
      <c r="G23" s="48">
        <v>0.0</v>
      </c>
      <c r="H23" s="48">
        <v>0.667</v>
      </c>
      <c r="I23" s="44" t="str">
        <f>IMAGE("https://drive.google.com/uc?export=view&amp;id=1DU30dOWBRyw_clYB6wYejdkWTAETfJaN")</f>
        <v/>
      </c>
      <c r="J23" s="19" t="s">
        <v>15</v>
      </c>
    </row>
    <row r="24">
      <c r="A24" s="48">
        <v>23.0</v>
      </c>
      <c r="B24" s="47" t="s">
        <v>109</v>
      </c>
      <c r="C24" s="47" t="s">
        <v>330</v>
      </c>
      <c r="D24" s="47" t="s">
        <v>331</v>
      </c>
      <c r="E24" s="48">
        <v>0.733</v>
      </c>
      <c r="F24" s="48">
        <v>0.58</v>
      </c>
      <c r="G24" s="48">
        <v>0.756</v>
      </c>
      <c r="H24" s="48">
        <v>0.833</v>
      </c>
      <c r="I24" s="44" t="str">
        <f>IMAGE("https://drive.google.com/uc?export=view&amp;id=1vUwUKmlJA4iJYWzHC-u5IR_msQaAmyJK")</f>
        <v/>
      </c>
      <c r="J24" s="19" t="s">
        <v>15</v>
      </c>
    </row>
    <row r="25">
      <c r="A25" s="48">
        <v>24.0</v>
      </c>
      <c r="B25" s="47" t="s">
        <v>112</v>
      </c>
      <c r="C25" s="47" t="s">
        <v>332</v>
      </c>
      <c r="D25" s="47" t="s">
        <v>333</v>
      </c>
      <c r="E25" s="48">
        <v>0.467</v>
      </c>
      <c r="F25" s="48">
        <v>0.947</v>
      </c>
      <c r="G25" s="48">
        <v>1.0</v>
      </c>
      <c r="H25" s="48">
        <v>0.556</v>
      </c>
      <c r="I25" s="44" t="str">
        <f>IMAGE("https://drive.google.com/uc?export=view&amp;id=1y-UZkwZpUsw9nsaCvnXJ7P6nBje_ANCo")</f>
        <v/>
      </c>
      <c r="J25" s="19" t="s">
        <v>15</v>
      </c>
    </row>
    <row r="26">
      <c r="A26" s="48">
        <v>25.0</v>
      </c>
      <c r="B26" s="47" t="s">
        <v>118</v>
      </c>
      <c r="C26" s="47" t="s">
        <v>334</v>
      </c>
      <c r="D26" s="47" t="s">
        <v>335</v>
      </c>
      <c r="E26" s="48">
        <v>0.444</v>
      </c>
      <c r="F26" s="48">
        <v>0.728</v>
      </c>
      <c r="G26" s="48">
        <v>0.589</v>
      </c>
      <c r="H26" s="48">
        <v>1.0</v>
      </c>
      <c r="I26" s="44" t="str">
        <f>IMAGE("https://drive.google.com/uc?export=view&amp;id=1STkKJRMCRLNzhVTtfdA5voiK8wR8B76W")</f>
        <v/>
      </c>
      <c r="J26" s="19" t="s">
        <v>15</v>
      </c>
    </row>
    <row r="27">
      <c r="A27" s="48">
        <v>26.0</v>
      </c>
      <c r="B27" s="47" t="s">
        <v>121</v>
      </c>
      <c r="C27" s="47" t="s">
        <v>336</v>
      </c>
      <c r="D27" s="47" t="s">
        <v>337</v>
      </c>
      <c r="E27" s="48">
        <v>0.909</v>
      </c>
      <c r="F27" s="48">
        <v>0.997</v>
      </c>
      <c r="G27" s="48">
        <v>0.45</v>
      </c>
      <c r="H27" s="48">
        <v>0.2</v>
      </c>
      <c r="I27" s="44" t="str">
        <f>IMAGE("https://drive.google.com/uc?export=view&amp;id=1rq-FabmxPxq2Xq1h_mbIKB09E4Utx8cf")</f>
        <v/>
      </c>
      <c r="J27" s="19" t="s">
        <v>15</v>
      </c>
    </row>
    <row r="28">
      <c r="A28" s="48">
        <v>27.0</v>
      </c>
      <c r="B28" s="47" t="s">
        <v>124</v>
      </c>
      <c r="C28" s="47" t="s">
        <v>338</v>
      </c>
      <c r="D28" s="47" t="s">
        <v>339</v>
      </c>
      <c r="E28" s="48">
        <v>0.0</v>
      </c>
      <c r="F28" s="48">
        <v>0.908</v>
      </c>
      <c r="G28" s="48">
        <v>0.0</v>
      </c>
      <c r="H28" s="48">
        <v>0.333</v>
      </c>
      <c r="I28" s="44" t="str">
        <f>IMAGE("https://drive.google.com/uc?export=view&amp;id=1FBNlDPS2W-UqdDayyzPuH68ohvi6zesR")</f>
        <v/>
      </c>
      <c r="J28" s="19" t="s">
        <v>15</v>
      </c>
    </row>
    <row r="29">
      <c r="A29" s="48">
        <v>28.0</v>
      </c>
      <c r="B29" s="47" t="s">
        <v>127</v>
      </c>
      <c r="C29" s="47" t="s">
        <v>340</v>
      </c>
      <c r="D29" s="47" t="s">
        <v>341</v>
      </c>
      <c r="E29" s="48">
        <v>0.818</v>
      </c>
      <c r="F29" s="48">
        <v>0.997</v>
      </c>
      <c r="G29" s="48">
        <v>1.0</v>
      </c>
      <c r="H29" s="48">
        <v>1.0</v>
      </c>
      <c r="I29" s="44" t="str">
        <f>IMAGE("https://drive.google.com/uc?export=view&amp;id=1V5xTFZQy9PJa7GeC2PB_p284A6WJCx1_")</f>
        <v/>
      </c>
      <c r="J29" s="19" t="s">
        <v>15</v>
      </c>
    </row>
    <row r="30">
      <c r="A30" s="48">
        <v>29.0</v>
      </c>
      <c r="B30" s="47" t="s">
        <v>130</v>
      </c>
      <c r="C30" s="47" t="s">
        <v>342</v>
      </c>
      <c r="D30" s="47" t="s">
        <v>343</v>
      </c>
      <c r="E30" s="48">
        <v>0.667</v>
      </c>
      <c r="F30" s="48">
        <v>0.788</v>
      </c>
      <c r="G30" s="48">
        <v>1.0</v>
      </c>
      <c r="H30" s="48">
        <v>1.0</v>
      </c>
      <c r="I30" s="44" t="str">
        <f>IMAGE("https://drive.google.com/uc?export=view&amp;id=1IjICGBEGVeMYtHgVx9kV0soSdODvDfS-")</f>
        <v/>
      </c>
      <c r="J30" s="19" t="s">
        <v>15</v>
      </c>
    </row>
    <row r="31">
      <c r="A31" s="48">
        <v>30.0</v>
      </c>
      <c r="B31" s="47" t="s">
        <v>133</v>
      </c>
      <c r="C31" s="47" t="s">
        <v>344</v>
      </c>
      <c r="D31" s="47" t="s">
        <v>345</v>
      </c>
      <c r="E31" s="48">
        <v>0.05</v>
      </c>
      <c r="F31" s="48">
        <v>0.993</v>
      </c>
      <c r="G31" s="48">
        <v>0.0</v>
      </c>
      <c r="H31" s="48">
        <v>0.583</v>
      </c>
      <c r="I31" s="44" t="str">
        <f>IMAGE("https://drive.google.com/uc?export=view&amp;id=19t7htM7HKok6D4MNOrYXeGCxv8JZRQTA")</f>
        <v/>
      </c>
      <c r="J31" s="19" t="s">
        <v>15</v>
      </c>
    </row>
    <row r="32">
      <c r="A32" s="48">
        <v>31.0</v>
      </c>
      <c r="B32" s="47" t="s">
        <v>136</v>
      </c>
      <c r="C32" s="47" t="s">
        <v>346</v>
      </c>
      <c r="D32" s="47" t="s">
        <v>347</v>
      </c>
      <c r="E32" s="48">
        <v>0.909</v>
      </c>
      <c r="F32" s="48">
        <v>0.61</v>
      </c>
      <c r="G32" s="48">
        <v>1.0</v>
      </c>
      <c r="H32" s="48">
        <v>1.0</v>
      </c>
      <c r="I32" s="44" t="str">
        <f>IMAGE("https://drive.google.com/uc?export=view&amp;id=1I4jU3mz_opYuSyULo-NJWSO5NTcItIOM")</f>
        <v/>
      </c>
      <c r="J32" s="19" t="s">
        <v>15</v>
      </c>
    </row>
    <row r="33">
      <c r="A33" s="48">
        <v>32.0</v>
      </c>
      <c r="B33" s="47" t="s">
        <v>139</v>
      </c>
      <c r="C33" s="47" t="s">
        <v>348</v>
      </c>
      <c r="D33" s="47" t="s">
        <v>349</v>
      </c>
      <c r="E33" s="48">
        <v>0.667</v>
      </c>
      <c r="F33" s="48">
        <v>0.703</v>
      </c>
      <c r="G33" s="48">
        <v>1.0</v>
      </c>
      <c r="H33" s="48">
        <v>1.0</v>
      </c>
      <c r="I33" s="44" t="str">
        <f>IMAGE("https://drive.google.com/uc?export=view&amp;id=1PxmOAzjIMw1M2Ugj7sypQNDlXWcYXSp-")</f>
        <v/>
      </c>
      <c r="J33" s="19" t="s">
        <v>15</v>
      </c>
    </row>
    <row r="34">
      <c r="A34" s="48">
        <v>33.0</v>
      </c>
      <c r="B34" s="47" t="s">
        <v>142</v>
      </c>
      <c r="C34" s="47" t="s">
        <v>350</v>
      </c>
      <c r="D34" s="47" t="s">
        <v>351</v>
      </c>
      <c r="E34" s="48">
        <v>0.722</v>
      </c>
      <c r="F34" s="48">
        <v>0.486</v>
      </c>
      <c r="G34" s="48">
        <v>1.0</v>
      </c>
      <c r="H34" s="48">
        <v>1.0</v>
      </c>
      <c r="I34" s="44" t="str">
        <f>IMAGE("https://drive.google.com/uc?export=view&amp;id=1mBOxhTQHCRuG_6hCjOQFYuC5yWQHml5V")</f>
        <v/>
      </c>
      <c r="J34" s="19" t="s">
        <v>15</v>
      </c>
    </row>
    <row r="35">
      <c r="A35" s="48">
        <v>34.0</v>
      </c>
      <c r="B35" s="47" t="s">
        <v>145</v>
      </c>
      <c r="C35" s="47" t="s">
        <v>352</v>
      </c>
      <c r="D35" s="47" t="s">
        <v>353</v>
      </c>
      <c r="E35" s="48">
        <v>0.583</v>
      </c>
      <c r="F35" s="48">
        <v>0.0</v>
      </c>
      <c r="G35" s="48">
        <v>0.0</v>
      </c>
      <c r="H35" s="48">
        <v>0.8</v>
      </c>
      <c r="I35" s="44" t="str">
        <f>IMAGE("https://drive.google.com/uc?export=view&amp;id=1pLXNdcwhpBRiDitC4vhw3B2CBkGuD4Ej")</f>
        <v/>
      </c>
      <c r="J35" s="19" t="s">
        <v>15</v>
      </c>
    </row>
    <row r="36">
      <c r="A36" s="48">
        <v>35.0</v>
      </c>
      <c r="B36" s="47" t="s">
        <v>148</v>
      </c>
      <c r="C36" s="47" t="s">
        <v>354</v>
      </c>
      <c r="D36" s="47" t="s">
        <v>355</v>
      </c>
      <c r="E36" s="48">
        <v>0.778</v>
      </c>
      <c r="F36" s="48">
        <v>0.604</v>
      </c>
      <c r="G36" s="48">
        <v>1.0</v>
      </c>
      <c r="H36" s="48">
        <v>1.0</v>
      </c>
      <c r="I36" s="44" t="str">
        <f>IMAGE("https://drive.google.com/uc?export=view&amp;id=1mPD7k07usj6yQnG7Ks-Xu8k6eYsNw5Ie")</f>
        <v/>
      </c>
      <c r="J36" s="19" t="s">
        <v>15</v>
      </c>
    </row>
    <row r="37">
      <c r="A37" s="48">
        <v>36.0</v>
      </c>
      <c r="B37" s="47" t="s">
        <v>151</v>
      </c>
      <c r="C37" s="47" t="s">
        <v>356</v>
      </c>
      <c r="D37" s="47" t="s">
        <v>357</v>
      </c>
      <c r="E37" s="48">
        <v>0.818</v>
      </c>
      <c r="F37" s="48">
        <v>0.888</v>
      </c>
      <c r="G37" s="48">
        <v>1.0</v>
      </c>
      <c r="H37" s="48">
        <v>0.286</v>
      </c>
      <c r="I37" s="44" t="str">
        <f>IMAGE("https://drive.google.com/uc?export=view&amp;id=1DoXIrLCvmLV9Hgm9sZ3V2us7PXdIx18U")</f>
        <v/>
      </c>
      <c r="J37" s="19" t="s">
        <v>15</v>
      </c>
    </row>
    <row r="38">
      <c r="A38" s="48">
        <v>37.0</v>
      </c>
      <c r="B38" s="47" t="s">
        <v>154</v>
      </c>
      <c r="C38" s="47" t="s">
        <v>358</v>
      </c>
      <c r="D38" s="47" t="s">
        <v>359</v>
      </c>
      <c r="E38" s="48">
        <v>1.0</v>
      </c>
      <c r="F38" s="48">
        <v>0.85</v>
      </c>
      <c r="G38" s="48">
        <v>1.0</v>
      </c>
      <c r="H38" s="48">
        <v>0.778</v>
      </c>
      <c r="I38" s="44" t="str">
        <f>IMAGE("https://drive.google.com/uc?export=view&amp;id=1Q1I-UZxDxXVOBcLEPKq6du5xD_RrlndI")</f>
        <v/>
      </c>
      <c r="J38" s="19" t="s">
        <v>15</v>
      </c>
    </row>
    <row r="39">
      <c r="A39" s="48">
        <v>38.0</v>
      </c>
      <c r="B39" s="47" t="s">
        <v>157</v>
      </c>
      <c r="C39" s="47" t="s">
        <v>360</v>
      </c>
      <c r="D39" s="47" t="s">
        <v>361</v>
      </c>
      <c r="E39" s="48">
        <v>0.692</v>
      </c>
      <c r="F39" s="48">
        <v>0.545</v>
      </c>
      <c r="G39" s="48">
        <v>0.417</v>
      </c>
      <c r="H39" s="48">
        <v>0.6</v>
      </c>
      <c r="I39" s="44" t="str">
        <f>IMAGE("https://drive.google.com/uc?export=view&amp;id=124t5vdn3DgTg8Z7XCyM_yV909SyrKZOX")</f>
        <v/>
      </c>
      <c r="J39" s="19" t="s">
        <v>15</v>
      </c>
    </row>
    <row r="40">
      <c r="A40" s="48">
        <v>39.0</v>
      </c>
      <c r="B40" s="47" t="s">
        <v>160</v>
      </c>
      <c r="C40" s="47" t="s">
        <v>362</v>
      </c>
      <c r="D40" s="47" t="s">
        <v>363</v>
      </c>
      <c r="E40" s="48">
        <v>0.857</v>
      </c>
      <c r="F40" s="48">
        <v>0.622</v>
      </c>
      <c r="G40" s="48">
        <v>1.0</v>
      </c>
      <c r="H40" s="48">
        <v>0.833</v>
      </c>
      <c r="I40" s="44" t="str">
        <f>IMAGE("https://drive.google.com/uc?export=view&amp;id=1cC79FVyvXJFSgHmuPaMOXtNmYjLENZQ2")</f>
        <v/>
      </c>
      <c r="J40" s="19" t="s">
        <v>15</v>
      </c>
    </row>
    <row r="41">
      <c r="A41" s="48">
        <v>40.0</v>
      </c>
      <c r="B41" s="47" t="s">
        <v>163</v>
      </c>
      <c r="C41" s="47" t="s">
        <v>364</v>
      </c>
      <c r="D41" s="47" t="s">
        <v>365</v>
      </c>
      <c r="E41" s="48">
        <v>0.273</v>
      </c>
      <c r="F41" s="48">
        <v>0.0</v>
      </c>
      <c r="G41" s="48">
        <v>1.0</v>
      </c>
      <c r="H41" s="48">
        <v>0.615</v>
      </c>
      <c r="I41" s="44" t="str">
        <f>IMAGE("https://drive.google.com/uc?export=view&amp;id=1mItI59gVOLOgtLGxMD11cWZA_j0piUYB")</f>
        <v/>
      </c>
      <c r="J41" s="19" t="s">
        <v>15</v>
      </c>
    </row>
    <row r="42">
      <c r="A42" s="48">
        <v>41.0</v>
      </c>
      <c r="B42" s="47" t="s">
        <v>166</v>
      </c>
      <c r="C42" s="47" t="s">
        <v>366</v>
      </c>
      <c r="D42" s="47" t="s">
        <v>367</v>
      </c>
      <c r="E42" s="48">
        <v>0.0</v>
      </c>
      <c r="F42" s="48">
        <v>1.0</v>
      </c>
      <c r="G42" s="48">
        <v>0.804</v>
      </c>
      <c r="H42" s="48">
        <v>0.286</v>
      </c>
      <c r="I42" s="44" t="str">
        <f>IMAGE("https://drive.google.com/uc?export=view&amp;id=14lsk2KNg73_3GkKw39eoe7HfNrk43v2g")</f>
        <v/>
      </c>
      <c r="J42" s="19" t="s">
        <v>16</v>
      </c>
    </row>
    <row r="43">
      <c r="A43" s="48">
        <v>42.0</v>
      </c>
      <c r="B43" s="47" t="s">
        <v>368</v>
      </c>
      <c r="C43" s="47" t="s">
        <v>369</v>
      </c>
      <c r="D43" s="47" t="s">
        <v>370</v>
      </c>
      <c r="E43" s="48">
        <v>0.63</v>
      </c>
      <c r="F43" s="48">
        <v>0.726</v>
      </c>
      <c r="G43" s="48">
        <v>1.0</v>
      </c>
      <c r="H43" s="48">
        <v>1.0</v>
      </c>
      <c r="I43" s="44" t="str">
        <f>IMAGE("https://drive.google.com/uc?export=view&amp;id=1cBGz8B2chaBWft2hCRX-HZcXUeTUHQmV")</f>
        <v/>
      </c>
      <c r="J43" s="19" t="s">
        <v>16</v>
      </c>
    </row>
    <row r="44">
      <c r="A44" s="48">
        <v>43.0</v>
      </c>
      <c r="B44" s="47" t="s">
        <v>172</v>
      </c>
      <c r="C44" s="47" t="s">
        <v>371</v>
      </c>
      <c r="D44" s="47" t="s">
        <v>372</v>
      </c>
      <c r="E44" s="48">
        <v>0.4</v>
      </c>
      <c r="F44" s="48">
        <v>0.916</v>
      </c>
      <c r="G44" s="48">
        <v>0.417</v>
      </c>
      <c r="H44" s="48">
        <v>0.0</v>
      </c>
      <c r="I44" s="44" t="str">
        <f>IMAGE("https://drive.google.com/uc?export=view&amp;id=1z0NAJ-4h1SX_jlFYG9monzn7MY7Lz1Kh")</f>
        <v/>
      </c>
      <c r="J44" s="19" t="s">
        <v>16</v>
      </c>
    </row>
    <row r="45">
      <c r="A45" s="48">
        <v>44.0</v>
      </c>
      <c r="B45" s="47" t="s">
        <v>175</v>
      </c>
      <c r="C45" s="47" t="s">
        <v>373</v>
      </c>
      <c r="D45" s="47" t="s">
        <v>374</v>
      </c>
      <c r="E45" s="48">
        <v>0.636</v>
      </c>
      <c r="F45" s="48">
        <v>0.879</v>
      </c>
      <c r="G45" s="48">
        <v>0.0</v>
      </c>
      <c r="H45" s="48">
        <v>0.167</v>
      </c>
      <c r="I45" s="44" t="str">
        <f>IMAGE("https://drive.google.com/uc?export=view&amp;id=1jtLRr0XZiUfQQfmZLUX6VRKTVQ4I1QAO")</f>
        <v/>
      </c>
      <c r="J45" s="19" t="s">
        <v>16</v>
      </c>
    </row>
    <row r="46">
      <c r="A46" s="48">
        <v>45.0</v>
      </c>
      <c r="B46" s="47" t="s">
        <v>178</v>
      </c>
      <c r="C46" s="47" t="s">
        <v>375</v>
      </c>
      <c r="D46" s="47" t="s">
        <v>376</v>
      </c>
      <c r="E46" s="48">
        <v>0.875</v>
      </c>
      <c r="F46" s="48">
        <v>0.863</v>
      </c>
      <c r="G46" s="48">
        <v>0.0</v>
      </c>
      <c r="H46" s="48">
        <v>0.167</v>
      </c>
      <c r="I46" s="44" t="str">
        <f>IMAGE("https://drive.google.com/uc?export=view&amp;id=1RUvtDj1VrKCUZKxGOX4DCQlMy3zbzt7W")</f>
        <v/>
      </c>
      <c r="J46" s="19" t="s">
        <v>16</v>
      </c>
    </row>
    <row r="47">
      <c r="A47" s="48">
        <v>46.0</v>
      </c>
      <c r="B47" s="47" t="s">
        <v>181</v>
      </c>
      <c r="C47" s="47" t="s">
        <v>377</v>
      </c>
      <c r="D47" s="47" t="s">
        <v>378</v>
      </c>
      <c r="E47" s="48">
        <v>0.0</v>
      </c>
      <c r="F47" s="48">
        <v>0.78</v>
      </c>
      <c r="G47" s="48">
        <v>0.887</v>
      </c>
      <c r="H47" s="48">
        <v>0.667</v>
      </c>
      <c r="I47" s="44" t="str">
        <f>IMAGE("https://drive.google.com/uc?export=view&amp;id=1m5tI_Rx_x_VeJa5QkzFXwtjlIbBmN_u6")</f>
        <v/>
      </c>
      <c r="J47" s="19" t="s">
        <v>16</v>
      </c>
    </row>
    <row r="48">
      <c r="A48" s="48">
        <v>47.0</v>
      </c>
      <c r="B48" s="47" t="s">
        <v>184</v>
      </c>
      <c r="C48" s="47" t="s">
        <v>379</v>
      </c>
      <c r="D48" s="47" t="s">
        <v>380</v>
      </c>
      <c r="E48" s="48">
        <v>0.0</v>
      </c>
      <c r="F48" s="48">
        <v>0.858</v>
      </c>
      <c r="G48" s="48">
        <v>1.0</v>
      </c>
      <c r="H48" s="48">
        <v>1.0</v>
      </c>
      <c r="I48" s="44" t="str">
        <f>IMAGE("https://drive.google.com/uc?export=view&amp;id=1w-yW5M7tTFt_d6YPCaKeDax99RmzIOBp")</f>
        <v/>
      </c>
      <c r="J48" s="19" t="s">
        <v>16</v>
      </c>
    </row>
    <row r="49">
      <c r="A49" s="48">
        <v>48.0</v>
      </c>
      <c r="B49" s="47" t="s">
        <v>187</v>
      </c>
      <c r="C49" s="47" t="s">
        <v>381</v>
      </c>
      <c r="D49" s="47" t="s">
        <v>382</v>
      </c>
      <c r="E49" s="48">
        <v>0.583</v>
      </c>
      <c r="F49" s="48">
        <v>0.995</v>
      </c>
      <c r="G49" s="48">
        <v>0.25</v>
      </c>
      <c r="H49" s="48">
        <v>1.0</v>
      </c>
      <c r="I49" s="44" t="str">
        <f>IMAGE("https://drive.google.com/uc?export=view&amp;id=1zNAFKZfyo-7kidiOls0hxzRFIxyYxXWX")</f>
        <v/>
      </c>
      <c r="J49" s="19" t="s">
        <v>16</v>
      </c>
    </row>
    <row r="50">
      <c r="A50" s="48">
        <v>49.0</v>
      </c>
      <c r="B50" s="47" t="s">
        <v>190</v>
      </c>
      <c r="C50" s="47" t="s">
        <v>383</v>
      </c>
      <c r="D50" s="47" t="s">
        <v>384</v>
      </c>
      <c r="E50" s="48">
        <v>1.0</v>
      </c>
      <c r="F50" s="48">
        <v>0.801</v>
      </c>
      <c r="G50" s="48">
        <v>1.0</v>
      </c>
      <c r="H50" s="48">
        <v>1.0</v>
      </c>
      <c r="I50" s="44" t="str">
        <f>IMAGE("https://drive.google.com/uc?export=view&amp;id=1Gmhfcfy3Uk8cRx8v28BFdSvnPFlwMW2s")</f>
        <v/>
      </c>
      <c r="J50" s="19" t="s">
        <v>16</v>
      </c>
    </row>
    <row r="51">
      <c r="A51" s="48">
        <v>50.0</v>
      </c>
      <c r="B51" s="47" t="s">
        <v>193</v>
      </c>
      <c r="C51" s="47" t="s">
        <v>385</v>
      </c>
      <c r="D51" s="47" t="s">
        <v>386</v>
      </c>
      <c r="E51" s="48">
        <v>0.75</v>
      </c>
      <c r="F51" s="48">
        <v>0.355</v>
      </c>
      <c r="G51" s="48">
        <v>0.756</v>
      </c>
      <c r="H51" s="48">
        <v>0.0</v>
      </c>
      <c r="I51" s="44" t="str">
        <f>IMAGE("https://drive.google.com/uc?export=view&amp;id=1KHhGJIgz4MS8uevIFowMbewMtXbvQinw")</f>
        <v/>
      </c>
      <c r="J51" s="19" t="s">
        <v>16</v>
      </c>
    </row>
    <row r="52">
      <c r="A52" s="48">
        <v>51.0</v>
      </c>
      <c r="B52" s="47" t="s">
        <v>196</v>
      </c>
      <c r="C52" s="47" t="s">
        <v>387</v>
      </c>
      <c r="D52" s="47" t="s">
        <v>388</v>
      </c>
      <c r="E52" s="48">
        <v>0.875</v>
      </c>
      <c r="F52" s="48">
        <v>0.858</v>
      </c>
      <c r="G52" s="48">
        <v>0.804</v>
      </c>
      <c r="H52" s="48">
        <v>0.833</v>
      </c>
      <c r="I52" s="44" t="str">
        <f>IMAGE("https://drive.google.com/uc?export=view&amp;id=1tUSQ9fS6cfPRrTJ67umaulAnytxdyrz9")</f>
        <v/>
      </c>
      <c r="J52" s="19" t="s">
        <v>16</v>
      </c>
    </row>
    <row r="53">
      <c r="A53" s="48">
        <v>52.0</v>
      </c>
      <c r="B53" s="47" t="s">
        <v>199</v>
      </c>
      <c r="C53" s="47" t="s">
        <v>389</v>
      </c>
      <c r="D53" s="47" t="s">
        <v>390</v>
      </c>
      <c r="E53" s="48">
        <v>0.9</v>
      </c>
      <c r="F53" s="48">
        <v>0.818</v>
      </c>
      <c r="G53" s="48">
        <v>0.5</v>
      </c>
      <c r="H53" s="48">
        <v>1.0</v>
      </c>
      <c r="I53" s="44" t="str">
        <f>IMAGE("https://drive.google.com/uc?export=view&amp;id=1ieaqgOJVRprcUtT1JmjZDZXwY124-WSz")</f>
        <v/>
      </c>
      <c r="J53" s="19" t="s">
        <v>16</v>
      </c>
    </row>
    <row r="54">
      <c r="A54" s="48">
        <v>53.0</v>
      </c>
      <c r="B54" s="47" t="s">
        <v>202</v>
      </c>
      <c r="C54" s="47" t="s">
        <v>391</v>
      </c>
      <c r="D54" s="47" t="s">
        <v>392</v>
      </c>
      <c r="E54" s="48">
        <v>0.0</v>
      </c>
      <c r="F54" s="48">
        <v>0.605</v>
      </c>
      <c r="G54" s="48">
        <v>0.2</v>
      </c>
      <c r="H54" s="48">
        <v>0.0</v>
      </c>
      <c r="I54" s="44" t="str">
        <f>IMAGE("https://drive.google.com/uc?export=view&amp;id=1etAbNDMXiD2umpgDt9PNtoaJRNU0wx0M")</f>
        <v/>
      </c>
      <c r="J54" s="19" t="s">
        <v>16</v>
      </c>
    </row>
    <row r="55">
      <c r="A55" s="48">
        <v>54.0</v>
      </c>
      <c r="B55" s="47" t="s">
        <v>205</v>
      </c>
      <c r="C55" s="47" t="s">
        <v>393</v>
      </c>
      <c r="D55" s="47" t="s">
        <v>394</v>
      </c>
      <c r="E55" s="48">
        <v>0.185</v>
      </c>
      <c r="F55" s="48">
        <v>1.0</v>
      </c>
      <c r="G55" s="48">
        <v>0.589</v>
      </c>
      <c r="H55" s="48">
        <v>1.0</v>
      </c>
      <c r="I55" s="44" t="str">
        <f>IMAGE("https://drive.google.com/uc?export=view&amp;id=110hcnzDfnAlNZLnktHoPK6_ntO7qTmwR")</f>
        <v/>
      </c>
      <c r="J55" s="19" t="s">
        <v>16</v>
      </c>
    </row>
    <row r="56">
      <c r="A56" s="48">
        <v>55.0</v>
      </c>
      <c r="B56" s="47" t="s">
        <v>208</v>
      </c>
      <c r="C56" s="47" t="s">
        <v>395</v>
      </c>
      <c r="D56" s="47" t="s">
        <v>396</v>
      </c>
      <c r="E56" s="48">
        <v>0.818</v>
      </c>
      <c r="F56" s="48">
        <v>0.776</v>
      </c>
      <c r="G56" s="48">
        <v>1.0</v>
      </c>
      <c r="H56" s="48">
        <v>1.0</v>
      </c>
      <c r="I56" s="44" t="str">
        <f>IMAGE("https://drive.google.com/uc?export=view&amp;id=1taTcD9qbrIZRHjNwE6yp6txqX9haRY3y")</f>
        <v/>
      </c>
      <c r="J56" s="19" t="s">
        <v>16</v>
      </c>
    </row>
    <row r="57">
      <c r="A57" s="48">
        <v>56.0</v>
      </c>
      <c r="B57" s="47" t="s">
        <v>211</v>
      </c>
      <c r="C57" s="47" t="s">
        <v>397</v>
      </c>
      <c r="D57" s="47" t="s">
        <v>398</v>
      </c>
      <c r="E57" s="48">
        <v>0.75</v>
      </c>
      <c r="F57" s="48">
        <v>0.926</v>
      </c>
      <c r="G57" s="48">
        <v>0.806</v>
      </c>
      <c r="H57" s="48">
        <v>0.0</v>
      </c>
      <c r="I57" s="44" t="str">
        <f>IMAGE("https://drive.google.com/uc?export=view&amp;id=1CU12nEIpQJR0FWT6Mtix9AdHGeO6d9cj")</f>
        <v/>
      </c>
      <c r="J57" s="19" t="s">
        <v>16</v>
      </c>
    </row>
    <row r="58">
      <c r="A58" s="48">
        <v>57.0</v>
      </c>
      <c r="B58" s="47" t="s">
        <v>214</v>
      </c>
      <c r="C58" s="47" t="s">
        <v>399</v>
      </c>
      <c r="D58" s="47" t="s">
        <v>400</v>
      </c>
      <c r="E58" s="48">
        <v>0.125</v>
      </c>
      <c r="F58" s="48">
        <v>0.759</v>
      </c>
      <c r="G58" s="48">
        <v>0.75</v>
      </c>
      <c r="H58" s="48">
        <v>0.8</v>
      </c>
      <c r="I58" s="44" t="str">
        <f>IMAGE("https://drive.google.com/uc?export=view&amp;id=1czIGWA1-gGTImEZcbyPIjR9NwnSB8hYl")</f>
        <v/>
      </c>
      <c r="J58" s="19" t="s">
        <v>16</v>
      </c>
    </row>
    <row r="59">
      <c r="A59" s="48">
        <v>58.0</v>
      </c>
      <c r="B59" s="47" t="s">
        <v>217</v>
      </c>
      <c r="C59" s="47" t="s">
        <v>401</v>
      </c>
      <c r="D59" s="47" t="s">
        <v>402</v>
      </c>
      <c r="E59" s="48">
        <v>0.6</v>
      </c>
      <c r="F59" s="48">
        <v>0.803</v>
      </c>
      <c r="G59" s="48">
        <v>0.25</v>
      </c>
      <c r="H59" s="48">
        <v>0.0</v>
      </c>
      <c r="I59" s="44" t="str">
        <f>IMAGE("https://drive.google.com/uc?export=view&amp;id=1nPdoHIwqAgt0Dkyh5Pdufi-Tlu7vWX9M")</f>
        <v/>
      </c>
      <c r="J59" s="19" t="s">
        <v>16</v>
      </c>
    </row>
    <row r="60">
      <c r="A60" s="48">
        <v>59.0</v>
      </c>
      <c r="B60" s="47" t="s">
        <v>220</v>
      </c>
      <c r="C60" s="47" t="s">
        <v>403</v>
      </c>
      <c r="D60" s="47" t="s">
        <v>404</v>
      </c>
      <c r="E60" s="48">
        <v>0.25</v>
      </c>
      <c r="F60" s="48">
        <v>0.739</v>
      </c>
      <c r="G60" s="48">
        <v>0.917</v>
      </c>
      <c r="H60" s="48">
        <v>1.0</v>
      </c>
      <c r="I60" s="44" t="str">
        <f>IMAGE("https://drive.google.com/uc?export=view&amp;id=1OOJe90rWW5O-HPgQDQ_2e1qGZ4lf16Ag")</f>
        <v/>
      </c>
      <c r="J60" s="19" t="s">
        <v>16</v>
      </c>
    </row>
    <row r="61">
      <c r="A61" s="48">
        <v>60.0</v>
      </c>
      <c r="B61" s="47" t="s">
        <v>223</v>
      </c>
      <c r="C61" s="47" t="s">
        <v>405</v>
      </c>
      <c r="D61" s="47" t="s">
        <v>406</v>
      </c>
      <c r="E61" s="48">
        <v>0.929</v>
      </c>
      <c r="F61" s="48">
        <v>0.687</v>
      </c>
      <c r="G61" s="48">
        <v>0.95</v>
      </c>
      <c r="H61" s="48">
        <v>1.0</v>
      </c>
      <c r="I61" s="44" t="str">
        <f>IMAGE("https://drive.google.com/uc?export=view&amp;id=1chgEYHz3habrp3V5cS6YCgKuy8LFVrB8")</f>
        <v/>
      </c>
      <c r="J61" s="19" t="s">
        <v>16</v>
      </c>
    </row>
    <row r="62">
      <c r="A62" s="48">
        <v>61.0</v>
      </c>
      <c r="B62" s="47" t="s">
        <v>226</v>
      </c>
      <c r="C62" s="47" t="s">
        <v>407</v>
      </c>
      <c r="D62" s="47" t="s">
        <v>408</v>
      </c>
      <c r="E62" s="48">
        <v>0.688</v>
      </c>
      <c r="F62" s="48">
        <v>0.0</v>
      </c>
      <c r="G62" s="48">
        <v>0.0</v>
      </c>
      <c r="H62" s="48">
        <v>0.857</v>
      </c>
      <c r="I62" s="44" t="str">
        <f>IMAGE("https://drive.google.com/uc?export=view&amp;id=1NVGwi4LcH-kUYM6bO5eN77prLRNj-bkb")</f>
        <v/>
      </c>
      <c r="J62" s="19" t="s">
        <v>17</v>
      </c>
    </row>
    <row r="63">
      <c r="A63" s="48">
        <v>62.0</v>
      </c>
      <c r="B63" s="47" t="s">
        <v>229</v>
      </c>
      <c r="C63" s="47" t="s">
        <v>409</v>
      </c>
      <c r="D63" s="47" t="s">
        <v>410</v>
      </c>
      <c r="E63" s="48">
        <v>0.429</v>
      </c>
      <c r="F63" s="48">
        <v>0.993</v>
      </c>
      <c r="G63" s="48">
        <v>0.679</v>
      </c>
      <c r="H63" s="48">
        <v>1.0</v>
      </c>
      <c r="I63" s="44" t="str">
        <f>IMAGE("https://drive.google.com/uc?export=view&amp;id=1nJnjDXslP2iokBKFIZ9lEa5QRAuIIAu2")</f>
        <v/>
      </c>
      <c r="J63" s="19" t="s">
        <v>17</v>
      </c>
    </row>
    <row r="64">
      <c r="A64" s="48">
        <v>63.0</v>
      </c>
      <c r="B64" s="47" t="s">
        <v>232</v>
      </c>
      <c r="C64" s="47" t="s">
        <v>411</v>
      </c>
      <c r="D64" s="47" t="s">
        <v>412</v>
      </c>
      <c r="E64" s="48">
        <v>0.333</v>
      </c>
      <c r="F64" s="48">
        <v>0.797</v>
      </c>
      <c r="G64" s="48">
        <v>0.639</v>
      </c>
      <c r="H64" s="48">
        <v>0.857</v>
      </c>
      <c r="I64" s="44" t="str">
        <f>IMAGE("https://drive.google.com/uc?export=view&amp;id=1wOYTn87JYUUFUKaNzT3bauycnFWwhdam")</f>
        <v/>
      </c>
      <c r="J64" s="19" t="s">
        <v>17</v>
      </c>
    </row>
    <row r="65">
      <c r="A65" s="48">
        <v>64.0</v>
      </c>
      <c r="B65" s="47" t="s">
        <v>235</v>
      </c>
      <c r="C65" s="47" t="s">
        <v>413</v>
      </c>
      <c r="D65" s="47" t="s">
        <v>414</v>
      </c>
      <c r="E65" s="48">
        <v>0.455</v>
      </c>
      <c r="F65" s="48">
        <v>0.979</v>
      </c>
      <c r="G65" s="48">
        <v>1.0</v>
      </c>
      <c r="H65" s="48">
        <v>1.0</v>
      </c>
      <c r="I65" s="44" t="str">
        <f>IMAGE("https://drive.google.com/uc?export=view&amp;id=1jutMsTAqzpNoo-eEZ-ze8NCgrS3vNeic")</f>
        <v/>
      </c>
      <c r="J65" s="19" t="s">
        <v>17</v>
      </c>
    </row>
    <row r="66">
      <c r="A66" s="48">
        <v>65.0</v>
      </c>
      <c r="B66" s="47" t="s">
        <v>238</v>
      </c>
      <c r="C66" s="47" t="s">
        <v>415</v>
      </c>
      <c r="D66" s="47" t="s">
        <v>416</v>
      </c>
      <c r="E66" s="48">
        <v>0.7</v>
      </c>
      <c r="F66" s="48">
        <v>0.423</v>
      </c>
      <c r="G66" s="48">
        <v>0.45</v>
      </c>
      <c r="H66" s="48">
        <v>0.75</v>
      </c>
      <c r="I66" s="44" t="str">
        <f>IMAGE("https://drive.google.com/uc?export=view&amp;id=16wf5d5BtxU6rL-l-0l_koQjfeitSVVSU")</f>
        <v/>
      </c>
      <c r="J66" s="19" t="s">
        <v>17</v>
      </c>
    </row>
    <row r="67">
      <c r="A67" s="48">
        <v>66.0</v>
      </c>
      <c r="B67" s="47" t="s">
        <v>241</v>
      </c>
      <c r="C67" s="47" t="s">
        <v>417</v>
      </c>
      <c r="D67" s="47" t="s">
        <v>418</v>
      </c>
      <c r="E67" s="48">
        <v>0.429</v>
      </c>
      <c r="F67" s="48">
        <v>0.979</v>
      </c>
      <c r="G67" s="48">
        <v>0.25</v>
      </c>
      <c r="H67" s="48">
        <v>1.0</v>
      </c>
      <c r="I67" s="44" t="str">
        <f>IMAGE("https://drive.google.com/uc?export=view&amp;id=1MgXllcL1Rlw0ToqHx5R9prTRBlLhT_wm")</f>
        <v/>
      </c>
      <c r="J67" s="19" t="s">
        <v>17</v>
      </c>
    </row>
    <row r="68">
      <c r="A68" s="48">
        <v>67.0</v>
      </c>
      <c r="B68" s="47" t="s">
        <v>244</v>
      </c>
      <c r="C68" s="47" t="s">
        <v>419</v>
      </c>
      <c r="D68" s="47" t="s">
        <v>420</v>
      </c>
      <c r="E68" s="48">
        <v>0.769</v>
      </c>
      <c r="F68" s="48">
        <v>0.856</v>
      </c>
      <c r="G68" s="48">
        <v>0.2</v>
      </c>
      <c r="H68" s="48">
        <v>0.8</v>
      </c>
      <c r="I68" s="44" t="str">
        <f>IMAGE("https://drive.google.com/uc?export=view&amp;id=1-BhZxCVE4djdk_KDR3mAjfgagA82ShVx")</f>
        <v/>
      </c>
      <c r="J68" s="19" t="s">
        <v>17</v>
      </c>
    </row>
    <row r="69">
      <c r="A69" s="48">
        <v>68.0</v>
      </c>
      <c r="B69" s="47" t="s">
        <v>247</v>
      </c>
      <c r="C69" s="47" t="s">
        <v>421</v>
      </c>
      <c r="D69" s="47" t="s">
        <v>422</v>
      </c>
      <c r="E69" s="48">
        <v>0.778</v>
      </c>
      <c r="F69" s="48">
        <v>0.0</v>
      </c>
      <c r="G69" s="48">
        <v>0.2</v>
      </c>
      <c r="H69" s="48">
        <v>0.4</v>
      </c>
      <c r="I69" s="44" t="str">
        <f>IMAGE("https://drive.google.com/uc?export=view&amp;id=1IRqwZCZlJsCGG-MuowdYPDHXw_dxGrk1")</f>
        <v/>
      </c>
      <c r="J69" s="19" t="s">
        <v>17</v>
      </c>
    </row>
    <row r="70">
      <c r="A70" s="48">
        <v>69.0</v>
      </c>
      <c r="B70" s="47" t="s">
        <v>250</v>
      </c>
      <c r="C70" s="47" t="s">
        <v>423</v>
      </c>
      <c r="D70" s="47" t="s">
        <v>424</v>
      </c>
      <c r="E70" s="48">
        <v>0.81</v>
      </c>
      <c r="F70" s="48">
        <v>0.893</v>
      </c>
      <c r="G70" s="48">
        <v>0.333</v>
      </c>
      <c r="H70" s="48">
        <v>0.286</v>
      </c>
      <c r="I70" s="44" t="str">
        <f>IMAGE("https://drive.google.com/uc?export=view&amp;id=1pFGj-VUAJ8Mld6_xBKpDf7tS0rIppVk1")</f>
        <v/>
      </c>
      <c r="J70" s="19" t="s">
        <v>17</v>
      </c>
    </row>
    <row r="71">
      <c r="A71" s="48">
        <v>70.0</v>
      </c>
      <c r="B71" s="47" t="s">
        <v>253</v>
      </c>
      <c r="C71" s="47" t="s">
        <v>425</v>
      </c>
      <c r="D71" s="47" t="s">
        <v>426</v>
      </c>
      <c r="E71" s="48">
        <v>0.7</v>
      </c>
      <c r="F71" s="48">
        <v>0.94</v>
      </c>
      <c r="G71" s="48">
        <v>1.0</v>
      </c>
      <c r="H71" s="48">
        <v>0.75</v>
      </c>
      <c r="I71" s="44" t="str">
        <f>IMAGE("https://drive.google.com/uc?export=view&amp;id=1-dnMMseIr_u7PTtwM49mU2yVqCTmqFXc")</f>
        <v/>
      </c>
      <c r="J71" s="19" t="s">
        <v>17</v>
      </c>
    </row>
    <row r="72">
      <c r="A72" s="48">
        <v>71.0</v>
      </c>
      <c r="B72" s="47" t="s">
        <v>256</v>
      </c>
      <c r="C72" s="47" t="s">
        <v>427</v>
      </c>
      <c r="D72" s="47" t="s">
        <v>428</v>
      </c>
      <c r="E72" s="48">
        <v>0.75</v>
      </c>
      <c r="F72" s="48">
        <v>0.814</v>
      </c>
      <c r="G72" s="48">
        <v>0.333</v>
      </c>
      <c r="H72" s="48">
        <v>0.6</v>
      </c>
      <c r="I72" s="44" t="str">
        <f>IMAGE("https://drive.google.com/uc?export=view&amp;id=1A9p8dTF-4HRqa2ELr6vTmd3uEjYhCs5W")</f>
        <v/>
      </c>
      <c r="J72" s="19" t="s">
        <v>17</v>
      </c>
    </row>
    <row r="73">
      <c r="A73" s="48">
        <v>72.0</v>
      </c>
      <c r="B73" s="47" t="s">
        <v>259</v>
      </c>
      <c r="C73" s="47" t="s">
        <v>429</v>
      </c>
      <c r="D73" s="47" t="s">
        <v>430</v>
      </c>
      <c r="E73" s="48">
        <v>0.857</v>
      </c>
      <c r="F73" s="48">
        <v>0.972</v>
      </c>
      <c r="G73" s="48">
        <v>0.478</v>
      </c>
      <c r="H73" s="48">
        <v>1.0</v>
      </c>
      <c r="I73" s="44" t="str">
        <f>IMAGE("https://drive.google.com/uc?export=view&amp;id=1IMUMKO6FXST5AlMc7r88iDbauaiCOtym")</f>
        <v/>
      </c>
      <c r="J73" s="19" t="s">
        <v>17</v>
      </c>
    </row>
    <row r="74">
      <c r="A74" s="48">
        <v>73.0</v>
      </c>
      <c r="B74" s="47" t="s">
        <v>262</v>
      </c>
      <c r="C74" s="47" t="s">
        <v>431</v>
      </c>
      <c r="D74" s="47" t="s">
        <v>432</v>
      </c>
      <c r="E74" s="48">
        <v>0.556</v>
      </c>
      <c r="F74" s="48">
        <v>1.0</v>
      </c>
      <c r="G74" s="48">
        <v>0.833</v>
      </c>
      <c r="H74" s="48">
        <v>0.2</v>
      </c>
      <c r="I74" s="44" t="str">
        <f>IMAGE("https://drive.google.com/uc?export=view&amp;id=1VzRs9h_xxQ_XLizWkrtlgTCwttdo_p-j")</f>
        <v/>
      </c>
      <c r="J74" s="19" t="s">
        <v>17</v>
      </c>
    </row>
    <row r="75">
      <c r="A75" s="48">
        <v>74.0</v>
      </c>
      <c r="B75" s="47" t="s">
        <v>265</v>
      </c>
      <c r="C75" s="47" t="s">
        <v>433</v>
      </c>
      <c r="D75" s="47" t="s">
        <v>434</v>
      </c>
      <c r="E75" s="48">
        <v>0.273</v>
      </c>
      <c r="F75" s="48">
        <v>0.978</v>
      </c>
      <c r="G75" s="48">
        <v>0.333</v>
      </c>
      <c r="H75" s="48">
        <v>1.0</v>
      </c>
      <c r="I75" s="44" t="str">
        <f>IMAGE("https://drive.google.com/uc?export=view&amp;id=1LGXtdooJvRMT0IPBtwMYB-bcZcMgEZkS")</f>
        <v/>
      </c>
      <c r="J75" s="19" t="s">
        <v>17</v>
      </c>
    </row>
    <row r="76">
      <c r="A76" s="48">
        <v>75.0</v>
      </c>
      <c r="B76" s="47" t="s">
        <v>268</v>
      </c>
      <c r="C76" s="47" t="s">
        <v>435</v>
      </c>
      <c r="D76" s="47" t="s">
        <v>436</v>
      </c>
      <c r="E76" s="48">
        <v>1.0</v>
      </c>
      <c r="F76" s="48">
        <v>0.656</v>
      </c>
      <c r="G76" s="48">
        <v>1.0</v>
      </c>
      <c r="H76" s="48">
        <v>1.0</v>
      </c>
      <c r="I76" s="44" t="str">
        <f>IMAGE("https://drive.google.com/uc?export=view&amp;id=1PnEU0krN8U-fa_Fl3bX7UVdbhuYCv6Gu")</f>
        <v/>
      </c>
      <c r="J76" s="19" t="s">
        <v>17</v>
      </c>
    </row>
    <row r="77">
      <c r="A77" s="48">
        <v>76.0</v>
      </c>
      <c r="B77" s="47" t="s">
        <v>271</v>
      </c>
      <c r="C77" s="47" t="s">
        <v>437</v>
      </c>
      <c r="D77" s="47" t="s">
        <v>438</v>
      </c>
      <c r="E77" s="48">
        <v>0.375</v>
      </c>
      <c r="F77" s="48">
        <v>0.634</v>
      </c>
      <c r="G77" s="48">
        <v>0.867</v>
      </c>
      <c r="H77" s="48">
        <v>1.0</v>
      </c>
      <c r="I77" s="44" t="str">
        <f>IMAGE("https://drive.google.com/uc?export=view&amp;id=1T2zR5pmZsxe1RZLmyrkfEB3aBcawy3oI")</f>
        <v/>
      </c>
      <c r="J77" s="19" t="s">
        <v>17</v>
      </c>
    </row>
    <row r="78">
      <c r="A78" s="48">
        <v>77.0</v>
      </c>
      <c r="B78" s="47" t="s">
        <v>274</v>
      </c>
      <c r="C78" s="47" t="s">
        <v>439</v>
      </c>
      <c r="D78" s="47" t="s">
        <v>440</v>
      </c>
      <c r="E78" s="48">
        <v>0.5</v>
      </c>
      <c r="F78" s="48">
        <v>0.624</v>
      </c>
      <c r="G78" s="48">
        <v>0.0</v>
      </c>
      <c r="H78" s="48">
        <v>1.0</v>
      </c>
      <c r="I78" s="44" t="str">
        <f>IMAGE("https://drive.google.com/uc?export=view&amp;id=11-88rHfUHJjNQ8du6ECMXim2__IiwFhx")</f>
        <v/>
      </c>
      <c r="J78" s="19" t="s">
        <v>17</v>
      </c>
    </row>
    <row r="79">
      <c r="A79" s="48">
        <v>78.0</v>
      </c>
      <c r="B79" s="47" t="s">
        <v>277</v>
      </c>
      <c r="C79" s="47" t="s">
        <v>441</v>
      </c>
      <c r="D79" s="47" t="s">
        <v>442</v>
      </c>
      <c r="E79" s="48">
        <v>0.529</v>
      </c>
      <c r="F79" s="48">
        <v>0.0</v>
      </c>
      <c r="G79" s="48">
        <v>0.0</v>
      </c>
      <c r="H79" s="48">
        <v>0.857</v>
      </c>
      <c r="I79" s="44" t="str">
        <f>IMAGE("https://drive.google.com/uc?export=view&amp;id=1MSEp3uPSvU3_W_ZDN-2TxBdgddTbjAvT")</f>
        <v/>
      </c>
      <c r="J79" s="19" t="s">
        <v>17</v>
      </c>
    </row>
    <row r="80">
      <c r="A80" s="48">
        <v>79.0</v>
      </c>
      <c r="B80" s="47" t="s">
        <v>280</v>
      </c>
      <c r="C80" s="47" t="s">
        <v>443</v>
      </c>
      <c r="D80" s="47" t="s">
        <v>444</v>
      </c>
      <c r="E80" s="48">
        <v>0.2</v>
      </c>
      <c r="F80" s="48">
        <v>0.413</v>
      </c>
      <c r="G80" s="48">
        <v>0.75</v>
      </c>
      <c r="H80" s="48">
        <v>1.0</v>
      </c>
      <c r="I80" s="44" t="str">
        <f>IMAGE("https://drive.google.com/uc?export=view&amp;id=1PCF8Qf_qMKH-lY_ZoYNXIBhEymiP7hlZ")</f>
        <v/>
      </c>
      <c r="J80" s="19" t="s">
        <v>17</v>
      </c>
    </row>
    <row r="81">
      <c r="A81" s="48">
        <v>80.0</v>
      </c>
      <c r="B81" s="47" t="s">
        <v>445</v>
      </c>
      <c r="C81" s="47" t="s">
        <v>446</v>
      </c>
      <c r="D81" s="47" t="s">
        <v>447</v>
      </c>
      <c r="E81" s="48">
        <v>0.556</v>
      </c>
      <c r="F81" s="48">
        <v>0.933</v>
      </c>
      <c r="G81" s="48">
        <v>0.2</v>
      </c>
      <c r="H81" s="48">
        <v>0.75</v>
      </c>
      <c r="I81" s="44" t="str">
        <f>IMAGE("https://drive.google.com/uc?export=view&amp;id=1i_Kl8a2oLDBBOrqNww-Ug_PjmzSURChp")</f>
        <v/>
      </c>
      <c r="J81" s="19" t="s">
        <v>17</v>
      </c>
    </row>
  </sheetData>
  <autoFilter ref="$A$1:$J$81"/>
  <dataValidations>
    <dataValidation type="list" allowBlank="1" showErrorMessage="1" sqref="J2:J81">
      <formula1>"Trend Analysis ,Gap Detection,Evidence-based QA,Comparative Synthesis"</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5" width="41.25"/>
    <col customWidth="1" min="6" max="6" width="54.13"/>
    <col customWidth="1" min="7" max="7" width="21.88"/>
    <col customWidth="1" min="8" max="8" width="18.88"/>
    <col customWidth="1" min="9" max="9" width="37.0"/>
    <col customWidth="1" min="10" max="10" width="48.13"/>
  </cols>
  <sheetData>
    <row r="1">
      <c r="A1" s="41" t="s">
        <v>41</v>
      </c>
      <c r="B1" s="41" t="s">
        <v>42</v>
      </c>
      <c r="C1" s="41" t="s">
        <v>43</v>
      </c>
      <c r="D1" s="41" t="s">
        <v>44</v>
      </c>
      <c r="E1" s="32" t="s">
        <v>3</v>
      </c>
      <c r="F1" s="32" t="s">
        <v>4</v>
      </c>
      <c r="G1" s="32" t="s">
        <v>5</v>
      </c>
      <c r="H1" s="32" t="s">
        <v>6</v>
      </c>
      <c r="I1" s="41" t="s">
        <v>45</v>
      </c>
      <c r="J1" s="19" t="s">
        <v>1406</v>
      </c>
    </row>
    <row r="2">
      <c r="A2" s="43">
        <v>1.0</v>
      </c>
      <c r="B2" s="19" t="s">
        <v>46</v>
      </c>
      <c r="C2" s="19" t="s">
        <v>448</v>
      </c>
      <c r="D2" s="19" t="s">
        <v>449</v>
      </c>
      <c r="E2" s="43">
        <v>0.1</v>
      </c>
      <c r="F2" s="43">
        <v>0.954</v>
      </c>
      <c r="G2" s="43">
        <v>0.5</v>
      </c>
      <c r="H2" s="43">
        <v>0.4</v>
      </c>
      <c r="I2" s="44" t="str">
        <f>IMAGE("https://drive.google.com/uc?export=view&amp;id=1DEfDbG4XVJYkxlBJNjtYN7otOpWd0iyq")</f>
        <v/>
      </c>
      <c r="J2" s="19" t="s">
        <v>14</v>
      </c>
    </row>
    <row r="3">
      <c r="A3" s="43">
        <v>2.0</v>
      </c>
      <c r="B3" s="19" t="s">
        <v>49</v>
      </c>
      <c r="C3" s="19" t="s">
        <v>450</v>
      </c>
      <c r="D3" s="19" t="s">
        <v>451</v>
      </c>
      <c r="E3" s="43">
        <v>0.417</v>
      </c>
      <c r="F3" s="43">
        <v>0.0</v>
      </c>
      <c r="G3" s="43">
        <v>0.0</v>
      </c>
      <c r="H3" s="43">
        <v>0.833</v>
      </c>
      <c r="I3" s="44" t="str">
        <f>IMAGE("https://drive.google.com/uc?export=view&amp;id=1tch9f8FvuaYTDBlSzTNxLWQjdMhNfIkR")</f>
        <v/>
      </c>
      <c r="J3" s="19" t="s">
        <v>14</v>
      </c>
    </row>
    <row r="4">
      <c r="A4" s="43">
        <v>3.0</v>
      </c>
      <c r="B4" s="19" t="s">
        <v>52</v>
      </c>
      <c r="C4" s="19" t="s">
        <v>452</v>
      </c>
      <c r="D4" s="19" t="s">
        <v>453</v>
      </c>
      <c r="E4" s="43">
        <v>0.667</v>
      </c>
      <c r="F4" s="43">
        <v>0.827</v>
      </c>
      <c r="G4" s="43">
        <v>1.0</v>
      </c>
      <c r="H4" s="43">
        <v>1.0</v>
      </c>
      <c r="I4" s="44" t="str">
        <f>IMAGE("https://drive.google.com/uc?export=view&amp;id=1aHJd0JvroHgkBXqzLDdj2gxrlBomuxAQ")</f>
        <v/>
      </c>
      <c r="J4" s="19" t="s">
        <v>14</v>
      </c>
    </row>
    <row r="5">
      <c r="A5" s="43">
        <v>4.0</v>
      </c>
      <c r="B5" s="19" t="s">
        <v>55</v>
      </c>
      <c r="C5" s="19" t="s">
        <v>454</v>
      </c>
      <c r="D5" s="19" t="s">
        <v>455</v>
      </c>
      <c r="E5" s="43">
        <v>0.0</v>
      </c>
      <c r="F5" s="43">
        <v>1.0</v>
      </c>
      <c r="G5" s="43">
        <v>1.0</v>
      </c>
      <c r="H5" s="43">
        <v>1.0</v>
      </c>
      <c r="I5" s="44" t="str">
        <f>IMAGE("https://drive.google.com/uc?export=view&amp;id=1atKWhFaRGGHJ3YcZ0wZ4tfFQULbhVM9W")</f>
        <v/>
      </c>
      <c r="J5" s="19" t="s">
        <v>14</v>
      </c>
    </row>
    <row r="6">
      <c r="A6" s="43">
        <v>5.0</v>
      </c>
      <c r="B6" s="19" t="s">
        <v>58</v>
      </c>
      <c r="C6" s="19" t="s">
        <v>456</v>
      </c>
      <c r="D6" s="19" t="s">
        <v>457</v>
      </c>
      <c r="E6" s="43">
        <v>0.619</v>
      </c>
      <c r="F6" s="43">
        <v>0.913</v>
      </c>
      <c r="G6" s="43">
        <v>0.833</v>
      </c>
      <c r="H6" s="43">
        <v>1.0</v>
      </c>
      <c r="I6" s="44" t="str">
        <f>IMAGE("https://drive.google.com/uc?export=view&amp;id=1RpJJF75bKT3tiI0CWm9n2c0b1K7hk9No")</f>
        <v/>
      </c>
      <c r="J6" s="19" t="s">
        <v>14</v>
      </c>
    </row>
    <row r="7">
      <c r="A7" s="43">
        <v>6.0</v>
      </c>
      <c r="B7" s="19" t="s">
        <v>61</v>
      </c>
      <c r="C7" s="19" t="s">
        <v>458</v>
      </c>
      <c r="D7" s="19" t="s">
        <v>459</v>
      </c>
      <c r="E7" s="43">
        <v>0.25</v>
      </c>
      <c r="F7" s="43">
        <v>0.976</v>
      </c>
      <c r="G7" s="43">
        <v>0.583</v>
      </c>
      <c r="H7" s="43">
        <v>1.0</v>
      </c>
      <c r="I7" s="44" t="str">
        <f>IMAGE("https://drive.google.com/uc?export=view&amp;id=1vMXfUsLADeGblANglfRJ7FrtIK95K6yv")</f>
        <v/>
      </c>
      <c r="J7" s="19" t="s">
        <v>14</v>
      </c>
    </row>
    <row r="8">
      <c r="A8" s="43">
        <v>7.0</v>
      </c>
      <c r="B8" s="19" t="s">
        <v>64</v>
      </c>
      <c r="C8" s="19" t="s">
        <v>460</v>
      </c>
      <c r="D8" s="19" t="s">
        <v>461</v>
      </c>
      <c r="E8" s="43">
        <v>0.692</v>
      </c>
      <c r="F8" s="43">
        <v>0.894</v>
      </c>
      <c r="G8" s="43">
        <v>0.833</v>
      </c>
      <c r="H8" s="43">
        <v>1.0</v>
      </c>
      <c r="I8" s="44" t="str">
        <f>IMAGE("https://drive.google.com/uc?export=view&amp;id=1t4xHd3g1acsKf7Jz4gnaI8Z9zl4yrLYt")</f>
        <v/>
      </c>
      <c r="J8" s="19" t="s">
        <v>14</v>
      </c>
    </row>
    <row r="9">
      <c r="A9" s="43">
        <v>8.0</v>
      </c>
      <c r="B9" s="19" t="s">
        <v>67</v>
      </c>
      <c r="C9" s="19" t="s">
        <v>462</v>
      </c>
      <c r="D9" s="19" t="s">
        <v>463</v>
      </c>
      <c r="E9" s="43">
        <v>0.643</v>
      </c>
      <c r="F9" s="43">
        <v>0.883</v>
      </c>
      <c r="G9" s="43">
        <v>0.583</v>
      </c>
      <c r="H9" s="43">
        <v>1.0</v>
      </c>
      <c r="I9" s="44" t="str">
        <f>IMAGE("https://drive.google.com/uc?export=view&amp;id=1GkkadjVIhkreCGKawJhYzaOJw70iB_IO")</f>
        <v/>
      </c>
      <c r="J9" s="19" t="s">
        <v>14</v>
      </c>
    </row>
    <row r="10">
      <c r="A10" s="43">
        <v>9.0</v>
      </c>
      <c r="B10" s="19" t="s">
        <v>70</v>
      </c>
      <c r="C10" s="19" t="s">
        <v>464</v>
      </c>
      <c r="D10" s="19" t="s">
        <v>465</v>
      </c>
      <c r="E10" s="43">
        <v>1.0</v>
      </c>
      <c r="F10" s="43">
        <v>0.771</v>
      </c>
      <c r="G10" s="43">
        <v>0.333</v>
      </c>
      <c r="H10" s="43">
        <v>1.0</v>
      </c>
      <c r="I10" s="44" t="str">
        <f>IMAGE("https://drive.google.com/uc?export=view&amp;id=1W2YbFf_nLqiKalWtouv-zgqpAzfk4fRp")</f>
        <v/>
      </c>
      <c r="J10" s="19" t="s">
        <v>14</v>
      </c>
    </row>
    <row r="11">
      <c r="A11" s="43">
        <v>10.0</v>
      </c>
      <c r="B11" s="19" t="s">
        <v>73</v>
      </c>
      <c r="C11" s="19" t="s">
        <v>466</v>
      </c>
      <c r="D11" s="19" t="s">
        <v>467</v>
      </c>
      <c r="E11" s="43">
        <v>0.938</v>
      </c>
      <c r="F11" s="43">
        <v>0.0</v>
      </c>
      <c r="G11" s="43">
        <v>0.0</v>
      </c>
      <c r="H11" s="43">
        <v>1.0</v>
      </c>
      <c r="I11" s="44" t="str">
        <f>IMAGE("https://drive.google.com/uc?export=view&amp;id=1XjLPuKuL3S5cTGECPPpHso7Wi3TeeUt_")</f>
        <v/>
      </c>
      <c r="J11" s="19" t="s">
        <v>14</v>
      </c>
    </row>
    <row r="12">
      <c r="A12" s="43">
        <v>11.0</v>
      </c>
      <c r="B12" s="19" t="s">
        <v>76</v>
      </c>
      <c r="C12" s="19" t="s">
        <v>468</v>
      </c>
      <c r="D12" s="19" t="s">
        <v>469</v>
      </c>
      <c r="E12" s="43">
        <v>0.0</v>
      </c>
      <c r="F12" s="43">
        <v>0.637</v>
      </c>
      <c r="G12" s="43">
        <v>1.0</v>
      </c>
      <c r="H12" s="43">
        <v>0.429</v>
      </c>
      <c r="I12" s="44" t="str">
        <f>IMAGE("https://drive.google.com/uc?export=view&amp;id=11i3k-lCEwRMYBFc7FLPG06fI30ubTQtp")</f>
        <v/>
      </c>
      <c r="J12" s="19" t="s">
        <v>14</v>
      </c>
    </row>
    <row r="13">
      <c r="A13" s="43">
        <v>12.0</v>
      </c>
      <c r="B13" s="19" t="s">
        <v>79</v>
      </c>
      <c r="C13" s="19" t="s">
        <v>470</v>
      </c>
      <c r="D13" s="19" t="s">
        <v>471</v>
      </c>
      <c r="E13" s="43">
        <v>0.778</v>
      </c>
      <c r="F13" s="43">
        <v>1.0</v>
      </c>
      <c r="G13" s="43">
        <v>0.583</v>
      </c>
      <c r="H13" s="43">
        <v>0.0</v>
      </c>
      <c r="I13" s="44" t="str">
        <f>IMAGE("https://drive.google.com/uc?export=view&amp;id=1oBFjaWrs7MtUTyI-l1B7r0ynZcGln8D1")</f>
        <v/>
      </c>
      <c r="J13" s="19" t="s">
        <v>14</v>
      </c>
    </row>
    <row r="14">
      <c r="A14" s="43">
        <v>13.0</v>
      </c>
      <c r="B14" s="19" t="s">
        <v>82</v>
      </c>
      <c r="C14" s="19" t="s">
        <v>472</v>
      </c>
      <c r="D14" s="19" t="s">
        <v>473</v>
      </c>
      <c r="E14" s="43">
        <v>0.286</v>
      </c>
      <c r="F14" s="43">
        <v>0.433</v>
      </c>
      <c r="G14" s="43">
        <v>0.0</v>
      </c>
      <c r="H14" s="43">
        <v>1.0</v>
      </c>
      <c r="I14" s="44" t="str">
        <f>IMAGE("https://drive.google.com/uc?export=view&amp;id=1j--DCe-h-swVJDtRWqzvS-BO1-RRMQaB")</f>
        <v/>
      </c>
      <c r="J14" s="19" t="s">
        <v>14</v>
      </c>
    </row>
    <row r="15">
      <c r="A15" s="43">
        <v>14.0</v>
      </c>
      <c r="B15" s="19" t="s">
        <v>85</v>
      </c>
      <c r="C15" s="19" t="s">
        <v>474</v>
      </c>
      <c r="D15" s="19" t="s">
        <v>475</v>
      </c>
      <c r="E15" s="43">
        <v>0.333</v>
      </c>
      <c r="F15" s="43">
        <v>0.0</v>
      </c>
      <c r="G15" s="43">
        <v>0.0</v>
      </c>
      <c r="H15" s="43">
        <v>0.8</v>
      </c>
      <c r="I15" s="44" t="str">
        <f>IMAGE("https://drive.google.com/uc?export=view&amp;id=1WsWTvGPIDuoTv3JsZ3Oe-_Ml_Nfebc0S")</f>
        <v/>
      </c>
      <c r="J15" s="19" t="s">
        <v>14</v>
      </c>
    </row>
    <row r="16">
      <c r="A16" s="43">
        <v>15.0</v>
      </c>
      <c r="B16" s="19" t="s">
        <v>88</v>
      </c>
      <c r="C16" s="19" t="s">
        <v>476</v>
      </c>
      <c r="D16" s="19" t="s">
        <v>477</v>
      </c>
      <c r="E16" s="43">
        <v>0.917</v>
      </c>
      <c r="F16" s="43">
        <v>0.0</v>
      </c>
      <c r="G16" s="43">
        <v>0.0</v>
      </c>
      <c r="H16" s="43">
        <v>1.0</v>
      </c>
      <c r="I16" s="44" t="str">
        <f>IMAGE("https://drive.google.com/uc?export=view&amp;id=1bj5UGemI-tJOVzGAvNTd03oonKu-Y6cf")</f>
        <v/>
      </c>
      <c r="J16" s="19" t="s">
        <v>14</v>
      </c>
    </row>
    <row r="17">
      <c r="A17" s="43">
        <v>16.0</v>
      </c>
      <c r="B17" s="19" t="s">
        <v>91</v>
      </c>
      <c r="C17" s="19" t="s">
        <v>478</v>
      </c>
      <c r="D17" s="19" t="s">
        <v>479</v>
      </c>
      <c r="E17" s="43">
        <v>1.0</v>
      </c>
      <c r="F17" s="43">
        <v>0.99</v>
      </c>
      <c r="G17" s="43">
        <v>1.0</v>
      </c>
      <c r="H17" s="43">
        <v>0.8</v>
      </c>
      <c r="I17" s="44" t="str">
        <f>IMAGE("https://drive.google.com/uc?export=view&amp;id=1RjR4FCZcKu2eadkOPAriPAt8nBGsGXJt")</f>
        <v/>
      </c>
      <c r="J17" s="19" t="s">
        <v>14</v>
      </c>
    </row>
    <row r="18">
      <c r="A18" s="43">
        <v>17.0</v>
      </c>
      <c r="B18" s="19" t="s">
        <v>94</v>
      </c>
      <c r="C18" s="19" t="s">
        <v>480</v>
      </c>
      <c r="D18" s="19" t="s">
        <v>481</v>
      </c>
      <c r="E18" s="43">
        <v>0.778</v>
      </c>
      <c r="F18" s="43">
        <v>0.574</v>
      </c>
      <c r="G18" s="43">
        <v>0.333</v>
      </c>
      <c r="H18" s="43">
        <v>0.429</v>
      </c>
      <c r="I18" s="44" t="str">
        <f>IMAGE("https://drive.google.com/uc?export=view&amp;id=10hmBcAdT0u1oljul6UPghHqt1xRXXD2R")</f>
        <v/>
      </c>
      <c r="J18" s="19" t="s">
        <v>14</v>
      </c>
    </row>
    <row r="19">
      <c r="A19" s="43">
        <v>18.0</v>
      </c>
      <c r="B19" s="19" t="s">
        <v>97</v>
      </c>
      <c r="C19" s="19" t="s">
        <v>482</v>
      </c>
      <c r="D19" s="19" t="s">
        <v>483</v>
      </c>
      <c r="E19" s="43">
        <v>0.583</v>
      </c>
      <c r="F19" s="43">
        <v>0.78</v>
      </c>
      <c r="G19" s="43">
        <v>0.5</v>
      </c>
      <c r="H19" s="43">
        <v>1.0</v>
      </c>
      <c r="I19" s="44" t="str">
        <f>IMAGE("https://drive.google.com/uc?export=view&amp;id=1FVLLFDUcjiyJeO_ikE3ieAARUAzMdRpl")</f>
        <v/>
      </c>
      <c r="J19" s="19" t="s">
        <v>14</v>
      </c>
    </row>
    <row r="20">
      <c r="A20" s="43">
        <v>19.0</v>
      </c>
      <c r="B20" s="19" t="s">
        <v>100</v>
      </c>
      <c r="C20" s="19" t="s">
        <v>484</v>
      </c>
      <c r="D20" s="19" t="s">
        <v>485</v>
      </c>
      <c r="E20" s="43">
        <v>0.706</v>
      </c>
      <c r="F20" s="43">
        <v>0.788</v>
      </c>
      <c r="G20" s="43">
        <v>0.0</v>
      </c>
      <c r="H20" s="43">
        <v>0.0</v>
      </c>
      <c r="I20" s="44" t="str">
        <f>IMAGE("https://drive.google.com/uc?export=view&amp;id=1WynGiQzbhmS0XlO4G5MVxGZCWopWyQKR")</f>
        <v/>
      </c>
      <c r="J20" s="19" t="s">
        <v>14</v>
      </c>
    </row>
    <row r="21">
      <c r="A21" s="43">
        <v>20.0</v>
      </c>
      <c r="B21" s="19" t="s">
        <v>115</v>
      </c>
      <c r="C21" s="19" t="s">
        <v>486</v>
      </c>
      <c r="D21" s="19" t="s">
        <v>487</v>
      </c>
      <c r="E21" s="43">
        <v>0.5</v>
      </c>
      <c r="F21" s="43">
        <v>0.994</v>
      </c>
      <c r="G21" s="43">
        <v>0.833</v>
      </c>
      <c r="H21" s="43">
        <v>1.0</v>
      </c>
      <c r="I21" s="44" t="str">
        <f>IMAGE("https://drive.google.com/uc?export=view&amp;id=1mwuz9XqEudAwFjLZzzhVjQOZiPt5Szm-")</f>
        <v/>
      </c>
      <c r="J21" s="19" t="s">
        <v>14</v>
      </c>
    </row>
    <row r="22">
      <c r="A22" s="43">
        <v>21.0</v>
      </c>
      <c r="B22" s="19" t="s">
        <v>103</v>
      </c>
      <c r="C22" s="19" t="s">
        <v>488</v>
      </c>
      <c r="D22" s="19" t="s">
        <v>489</v>
      </c>
      <c r="E22" s="43">
        <v>0.833</v>
      </c>
      <c r="F22" s="43">
        <v>0.987</v>
      </c>
      <c r="G22" s="43">
        <v>1.0</v>
      </c>
      <c r="H22" s="43">
        <v>1.0</v>
      </c>
      <c r="I22" s="44" t="str">
        <f>IMAGE("https://drive.google.com/uc?export=view&amp;id=1Xw6tQiBHp9oI3aFe7C6F3BP4pTSRF9oP")</f>
        <v/>
      </c>
      <c r="J22" s="19" t="s">
        <v>15</v>
      </c>
    </row>
    <row r="23">
      <c r="A23" s="43">
        <v>22.0</v>
      </c>
      <c r="B23" s="19" t="s">
        <v>106</v>
      </c>
      <c r="C23" s="19" t="s">
        <v>490</v>
      </c>
      <c r="D23" s="19" t="s">
        <v>491</v>
      </c>
      <c r="E23" s="43">
        <v>0.5</v>
      </c>
      <c r="F23" s="43">
        <v>0.0</v>
      </c>
      <c r="G23" s="43">
        <v>0.0</v>
      </c>
      <c r="H23" s="43">
        <v>0.8</v>
      </c>
      <c r="I23" s="44" t="str">
        <f>IMAGE("https://drive.google.com/uc?export=view&amp;id=1hxS87Nvjd4DyqiSIZjsS17Dh78PdXEiP")</f>
        <v/>
      </c>
      <c r="J23" s="19" t="s">
        <v>15</v>
      </c>
    </row>
    <row r="24">
      <c r="A24" s="43">
        <v>23.0</v>
      </c>
      <c r="B24" s="19" t="s">
        <v>109</v>
      </c>
      <c r="C24" s="19" t="s">
        <v>492</v>
      </c>
      <c r="D24" s="19" t="s">
        <v>493</v>
      </c>
      <c r="E24" s="43">
        <v>0.727</v>
      </c>
      <c r="F24" s="43">
        <v>0.589</v>
      </c>
      <c r="G24" s="43">
        <v>1.0</v>
      </c>
      <c r="H24" s="43">
        <v>1.0</v>
      </c>
      <c r="I24" s="44" t="str">
        <f>IMAGE("https://drive.google.com/uc?export=view&amp;id=1WDwf-JowXIO-_UT-W7kxp6_X20_W0FMs")</f>
        <v/>
      </c>
      <c r="J24" s="19" t="s">
        <v>15</v>
      </c>
    </row>
    <row r="25">
      <c r="A25" s="43">
        <v>24.0</v>
      </c>
      <c r="B25" s="19" t="s">
        <v>112</v>
      </c>
      <c r="C25" s="19" t="s">
        <v>494</v>
      </c>
      <c r="D25" s="19" t="s">
        <v>495</v>
      </c>
      <c r="E25" s="43">
        <v>0.273</v>
      </c>
      <c r="F25" s="43">
        <v>0.947</v>
      </c>
      <c r="G25" s="43">
        <v>1.0</v>
      </c>
      <c r="H25" s="43">
        <v>0.8</v>
      </c>
      <c r="I25" s="44" t="str">
        <f>IMAGE("https://drive.google.com/uc?export=view&amp;id=1P6hWtVBv7waQe6dP9q67ES_fXzPbFBoI")</f>
        <v/>
      </c>
      <c r="J25" s="19" t="s">
        <v>15</v>
      </c>
    </row>
    <row r="26">
      <c r="A26" s="43">
        <v>25.0</v>
      </c>
      <c r="B26" s="19" t="s">
        <v>118</v>
      </c>
      <c r="C26" s="19" t="s">
        <v>496</v>
      </c>
      <c r="D26" s="19" t="s">
        <v>497</v>
      </c>
      <c r="E26" s="43">
        <v>0.333</v>
      </c>
      <c r="F26" s="43">
        <v>0.744</v>
      </c>
      <c r="G26" s="43">
        <v>0.833</v>
      </c>
      <c r="H26" s="43">
        <v>0.75</v>
      </c>
      <c r="I26" s="44" t="str">
        <f>IMAGE("https://drive.google.com/uc?export=view&amp;id=1Kzy1ONISgZzLiAEztBDPmCjVVEsQRExa")</f>
        <v/>
      </c>
      <c r="J26" s="19" t="s">
        <v>15</v>
      </c>
    </row>
    <row r="27">
      <c r="A27" s="43">
        <v>26.0</v>
      </c>
      <c r="B27" s="19" t="s">
        <v>121</v>
      </c>
      <c r="C27" s="19" t="s">
        <v>498</v>
      </c>
      <c r="D27" s="19" t="s">
        <v>499</v>
      </c>
      <c r="E27" s="43">
        <v>0.667</v>
      </c>
      <c r="F27" s="43">
        <v>0.0</v>
      </c>
      <c r="G27" s="43">
        <v>0.0</v>
      </c>
      <c r="H27" s="43">
        <v>1.0</v>
      </c>
      <c r="I27" s="44" t="str">
        <f>IMAGE("https://drive.google.com/uc?export=view&amp;id=1SPm0-DgPdLm7xOukZzXwwbV3BmuKA2_0")</f>
        <v/>
      </c>
      <c r="J27" s="19" t="s">
        <v>15</v>
      </c>
    </row>
    <row r="28">
      <c r="A28" s="43">
        <v>27.0</v>
      </c>
      <c r="B28" s="19" t="s">
        <v>124</v>
      </c>
      <c r="C28" s="19" t="s">
        <v>500</v>
      </c>
      <c r="D28" s="19" t="s">
        <v>501</v>
      </c>
      <c r="E28" s="43">
        <v>0.643</v>
      </c>
      <c r="F28" s="43">
        <v>0.908</v>
      </c>
      <c r="G28" s="43">
        <v>1.0</v>
      </c>
      <c r="H28" s="43">
        <v>1.0</v>
      </c>
      <c r="I28" s="44" t="str">
        <f>IMAGE("https://drive.google.com/uc?export=view&amp;id=1Nzz8Cp7f2YRTQTI6T-ZhiRpp17w9WqNn")</f>
        <v/>
      </c>
      <c r="J28" s="19" t="s">
        <v>15</v>
      </c>
    </row>
    <row r="29">
      <c r="A29" s="43">
        <v>28.0</v>
      </c>
      <c r="B29" s="19" t="s">
        <v>127</v>
      </c>
      <c r="C29" s="19" t="s">
        <v>502</v>
      </c>
      <c r="D29" s="19" t="s">
        <v>503</v>
      </c>
      <c r="E29" s="43">
        <v>0.692</v>
      </c>
      <c r="F29" s="43">
        <v>0.979</v>
      </c>
      <c r="G29" s="43">
        <v>0.833</v>
      </c>
      <c r="H29" s="43">
        <v>0.75</v>
      </c>
      <c r="I29" s="44" t="str">
        <f>IMAGE("https://drive.google.com/uc?export=view&amp;id=124PnU1DFNugisjpgkhlAHMBqwPXxQsTs")</f>
        <v/>
      </c>
      <c r="J29" s="19" t="s">
        <v>15</v>
      </c>
    </row>
    <row r="30">
      <c r="A30" s="43">
        <v>29.0</v>
      </c>
      <c r="B30" s="19" t="s">
        <v>130</v>
      </c>
      <c r="C30" s="19" t="s">
        <v>504</v>
      </c>
      <c r="D30" s="19" t="s">
        <v>505</v>
      </c>
      <c r="E30" s="43">
        <v>0.143</v>
      </c>
      <c r="F30" s="43">
        <v>0.788</v>
      </c>
      <c r="G30" s="43">
        <v>1.0</v>
      </c>
      <c r="H30" s="43">
        <v>0.429</v>
      </c>
      <c r="I30" s="44" t="str">
        <f>IMAGE("https://drive.google.com/uc?export=view&amp;id=1Rtt77OCKOwgsXxkb4Ig8fiEXNEkQ0Z8v")</f>
        <v/>
      </c>
      <c r="J30" s="19" t="s">
        <v>15</v>
      </c>
    </row>
    <row r="31">
      <c r="A31" s="43">
        <v>30.0</v>
      </c>
      <c r="B31" s="19" t="s">
        <v>133</v>
      </c>
      <c r="C31" s="19" t="s">
        <v>506</v>
      </c>
      <c r="D31" s="19" t="s">
        <v>507</v>
      </c>
      <c r="E31" s="43">
        <v>1.0</v>
      </c>
      <c r="F31" s="43">
        <v>0.0</v>
      </c>
      <c r="G31" s="43">
        <v>0.0</v>
      </c>
      <c r="H31" s="43">
        <v>0.7</v>
      </c>
      <c r="I31" s="44" t="str">
        <f>IMAGE("https://drive.google.com/uc?export=view&amp;id=1FDvfQAovl6ZDBLnvzBBZ3b9Pih9IV-0G")</f>
        <v/>
      </c>
      <c r="J31" s="19" t="s">
        <v>15</v>
      </c>
    </row>
    <row r="32">
      <c r="A32" s="43">
        <v>31.0</v>
      </c>
      <c r="B32" s="19" t="s">
        <v>136</v>
      </c>
      <c r="C32" s="19" t="s">
        <v>508</v>
      </c>
      <c r="D32" s="19" t="s">
        <v>509</v>
      </c>
      <c r="E32" s="43">
        <v>1.0</v>
      </c>
      <c r="F32" s="43">
        <v>0.976</v>
      </c>
      <c r="G32" s="43">
        <v>1.0</v>
      </c>
      <c r="H32" s="43">
        <v>1.0</v>
      </c>
      <c r="I32" s="44" t="str">
        <f>IMAGE("https://drive.google.com/uc?export=view&amp;id=1Og23Mz7qW8gMx2657bUmqMbfM3J5-Kb-")</f>
        <v/>
      </c>
      <c r="J32" s="19" t="s">
        <v>15</v>
      </c>
    </row>
    <row r="33">
      <c r="A33" s="43">
        <v>32.0</v>
      </c>
      <c r="B33" s="19" t="s">
        <v>139</v>
      </c>
      <c r="C33" s="19" t="s">
        <v>510</v>
      </c>
      <c r="D33" s="19" t="s">
        <v>511</v>
      </c>
      <c r="E33" s="43">
        <v>0.583</v>
      </c>
      <c r="F33" s="43">
        <v>1.0</v>
      </c>
      <c r="G33" s="43">
        <v>0.583</v>
      </c>
      <c r="H33" s="43">
        <v>0.0</v>
      </c>
      <c r="I33" s="44" t="str">
        <f>IMAGE("https://drive.google.com/uc?export=view&amp;id=14MMaobSBL0UDVsTQX0Uf9E-poZUdr81m")</f>
        <v/>
      </c>
      <c r="J33" s="19" t="s">
        <v>15</v>
      </c>
    </row>
    <row r="34">
      <c r="A34" s="43">
        <v>33.0</v>
      </c>
      <c r="B34" s="19" t="s">
        <v>142</v>
      </c>
      <c r="C34" s="19" t="s">
        <v>512</v>
      </c>
      <c r="D34" s="19" t="s">
        <v>513</v>
      </c>
      <c r="E34" s="43">
        <v>0.6</v>
      </c>
      <c r="F34" s="43">
        <v>0.0</v>
      </c>
      <c r="G34" s="43">
        <v>0.0</v>
      </c>
      <c r="H34" s="43">
        <v>0.0</v>
      </c>
      <c r="I34" s="44" t="str">
        <f>IMAGE("https://drive.google.com/uc?export=view&amp;id=1mSvyRqpx_CA1Ln_qixFP4dQgNmnDrxC9")</f>
        <v/>
      </c>
      <c r="J34" s="19" t="s">
        <v>15</v>
      </c>
    </row>
    <row r="35">
      <c r="A35" s="43">
        <v>34.0</v>
      </c>
      <c r="B35" s="19" t="s">
        <v>145</v>
      </c>
      <c r="C35" s="19" t="s">
        <v>514</v>
      </c>
      <c r="D35" s="19" t="s">
        <v>515</v>
      </c>
      <c r="E35" s="43">
        <v>1.0</v>
      </c>
      <c r="F35" s="43">
        <v>0.0</v>
      </c>
      <c r="G35" s="43">
        <v>0.0</v>
      </c>
      <c r="H35" s="43">
        <v>0.0</v>
      </c>
      <c r="I35" s="44" t="str">
        <f>IMAGE("https://drive.google.com/uc?export=view&amp;id=1XBtKEsfg4v8VS3m9a0EC2DhYJg_J5rxN")</f>
        <v/>
      </c>
      <c r="J35" s="19" t="s">
        <v>15</v>
      </c>
    </row>
    <row r="36">
      <c r="A36" s="43">
        <v>35.0</v>
      </c>
      <c r="B36" s="19" t="s">
        <v>148</v>
      </c>
      <c r="C36" s="19" t="s">
        <v>516</v>
      </c>
      <c r="D36" s="19" t="s">
        <v>517</v>
      </c>
      <c r="E36" s="43">
        <v>0.625</v>
      </c>
      <c r="F36" s="43">
        <v>0.774</v>
      </c>
      <c r="G36" s="43">
        <v>1.0</v>
      </c>
      <c r="H36" s="43">
        <v>0.429</v>
      </c>
      <c r="I36" s="44" t="str">
        <f>IMAGE("https://drive.google.com/uc?export=view&amp;id=1sxm8T3MCh1Gy231lUQ3Wkzl6ljhxvkqh")</f>
        <v/>
      </c>
      <c r="J36" s="19" t="s">
        <v>15</v>
      </c>
    </row>
    <row r="37">
      <c r="A37" s="43">
        <v>36.0</v>
      </c>
      <c r="B37" s="19" t="s">
        <v>151</v>
      </c>
      <c r="C37" s="19" t="s">
        <v>518</v>
      </c>
      <c r="D37" s="19" t="s">
        <v>519</v>
      </c>
      <c r="E37" s="43">
        <v>0.857</v>
      </c>
      <c r="F37" s="43">
        <v>0.888</v>
      </c>
      <c r="G37" s="43">
        <v>1.0</v>
      </c>
      <c r="H37" s="43">
        <v>0.857</v>
      </c>
      <c r="I37" s="44" t="str">
        <f>IMAGE("https://drive.google.com/uc?export=view&amp;id=1fDrcPiTOrQJSsMhOAzzEOFJp2ETtJ8HQ")</f>
        <v/>
      </c>
      <c r="J37" s="19" t="s">
        <v>15</v>
      </c>
    </row>
    <row r="38">
      <c r="A38" s="43">
        <v>37.0</v>
      </c>
      <c r="B38" s="19" t="s">
        <v>154</v>
      </c>
      <c r="C38" s="19" t="s">
        <v>520</v>
      </c>
      <c r="D38" s="19" t="s">
        <v>521</v>
      </c>
      <c r="E38" s="43">
        <v>0.364</v>
      </c>
      <c r="F38" s="43">
        <v>0.729</v>
      </c>
      <c r="G38" s="43">
        <v>0.583</v>
      </c>
      <c r="H38" s="43">
        <v>0.75</v>
      </c>
      <c r="I38" s="44" t="str">
        <f>IMAGE("https://drive.google.com/uc?export=view&amp;id=1nkA5yveaG1PvyDq7kfmusYdaKKQkaYc6")</f>
        <v/>
      </c>
      <c r="J38" s="19" t="s">
        <v>15</v>
      </c>
    </row>
    <row r="39">
      <c r="A39" s="43">
        <v>38.0</v>
      </c>
      <c r="B39" s="19" t="s">
        <v>157</v>
      </c>
      <c r="C39" s="19" t="s">
        <v>522</v>
      </c>
      <c r="D39" s="19" t="s">
        <v>523</v>
      </c>
      <c r="E39" s="43">
        <v>0.714</v>
      </c>
      <c r="F39" s="43">
        <v>0.0</v>
      </c>
      <c r="G39" s="43">
        <v>1.0</v>
      </c>
      <c r="H39" s="43">
        <v>0.25</v>
      </c>
      <c r="I39" s="44" t="str">
        <f>IMAGE("https://drive.google.com/uc?export=view&amp;id=11FC6iCAtwlus1uiNuhnNizgxBltp4yFb")</f>
        <v/>
      </c>
      <c r="J39" s="19" t="s">
        <v>15</v>
      </c>
    </row>
    <row r="40">
      <c r="A40" s="43">
        <v>39.0</v>
      </c>
      <c r="B40" s="19" t="s">
        <v>160</v>
      </c>
      <c r="C40" s="19" t="s">
        <v>524</v>
      </c>
      <c r="D40" s="19" t="s">
        <v>525</v>
      </c>
      <c r="E40" s="43">
        <v>0.636</v>
      </c>
      <c r="F40" s="43">
        <v>0.727</v>
      </c>
      <c r="G40" s="43">
        <v>1.0</v>
      </c>
      <c r="H40" s="43">
        <v>1.0</v>
      </c>
      <c r="I40" s="44" t="str">
        <f>IMAGE("https://drive.google.com/uc?export=view&amp;id=17UIQHfOwpRfxHC6fJTLGkGqb6bIugDc5")</f>
        <v/>
      </c>
      <c r="J40" s="19" t="s">
        <v>15</v>
      </c>
    </row>
    <row r="41">
      <c r="A41" s="43">
        <v>40.0</v>
      </c>
      <c r="B41" s="19" t="s">
        <v>163</v>
      </c>
      <c r="C41" s="19" t="s">
        <v>526</v>
      </c>
      <c r="D41" s="19" t="s">
        <v>527</v>
      </c>
      <c r="E41" s="43">
        <v>0.571</v>
      </c>
      <c r="F41" s="43">
        <v>0.535</v>
      </c>
      <c r="G41" s="43">
        <v>1.0</v>
      </c>
      <c r="H41" s="43">
        <v>0.857</v>
      </c>
      <c r="I41" s="44" t="str">
        <f>IMAGE("https://drive.google.com/uc?export=view&amp;id=1gkli_4K3ehCTfh5mn3fZIW6Cp3v-8AvC")</f>
        <v/>
      </c>
      <c r="J41" s="19" t="s">
        <v>15</v>
      </c>
    </row>
    <row r="42">
      <c r="A42" s="43">
        <v>41.0</v>
      </c>
      <c r="B42" s="19" t="s">
        <v>166</v>
      </c>
      <c r="C42" s="19" t="s">
        <v>528</v>
      </c>
      <c r="D42" s="19" t="s">
        <v>529</v>
      </c>
      <c r="E42" s="43">
        <v>0.273</v>
      </c>
      <c r="F42" s="43">
        <v>0.935</v>
      </c>
      <c r="G42" s="43">
        <v>0.5</v>
      </c>
      <c r="H42" s="43">
        <v>0.4</v>
      </c>
      <c r="I42" s="44" t="str">
        <f>IMAGE("https://drive.google.com/uc?export=view&amp;id=1lxQfehr7dtP_0GiFboWcfDi_Ca-tEYRy")</f>
        <v/>
      </c>
      <c r="J42" s="19" t="s">
        <v>16</v>
      </c>
    </row>
    <row r="43">
      <c r="A43" s="43">
        <v>42.0</v>
      </c>
      <c r="B43" s="19" t="s">
        <v>169</v>
      </c>
      <c r="C43" s="19" t="s">
        <v>530</v>
      </c>
      <c r="D43" s="19" t="s">
        <v>531</v>
      </c>
      <c r="E43" s="43">
        <v>0.667</v>
      </c>
      <c r="F43" s="43">
        <v>0.693</v>
      </c>
      <c r="G43" s="43">
        <v>0.583</v>
      </c>
      <c r="H43" s="43">
        <v>1.0</v>
      </c>
      <c r="I43" s="44" t="str">
        <f>IMAGE("https://drive.google.com/uc?export=view&amp;id=1MdFSSuRdFNyb9mvIecD0jzNjbuqj5wXH")</f>
        <v/>
      </c>
      <c r="J43" s="19" t="s">
        <v>16</v>
      </c>
    </row>
    <row r="44">
      <c r="A44" s="43">
        <v>43.0</v>
      </c>
      <c r="B44" s="19" t="s">
        <v>172</v>
      </c>
      <c r="C44" s="19" t="s">
        <v>532</v>
      </c>
      <c r="D44" s="19" t="s">
        <v>533</v>
      </c>
      <c r="E44" s="43">
        <v>0.909</v>
      </c>
      <c r="F44" s="43">
        <v>0.911</v>
      </c>
      <c r="G44" s="43">
        <v>0.0</v>
      </c>
      <c r="H44" s="43">
        <v>0.125</v>
      </c>
      <c r="I44" s="44" t="str">
        <f>IMAGE("https://drive.google.com/uc?export=view&amp;id=1s9ayxxQTncVx5teuPv0LxWb8HVk83Ccy")</f>
        <v/>
      </c>
      <c r="J44" s="19" t="s">
        <v>16</v>
      </c>
    </row>
    <row r="45">
      <c r="A45" s="43">
        <v>44.0</v>
      </c>
      <c r="B45" s="19" t="s">
        <v>175</v>
      </c>
      <c r="C45" s="19" t="s">
        <v>534</v>
      </c>
      <c r="D45" s="19" t="s">
        <v>535</v>
      </c>
      <c r="E45" s="43">
        <v>0.091</v>
      </c>
      <c r="F45" s="43">
        <v>0.865</v>
      </c>
      <c r="G45" s="43">
        <v>0.5</v>
      </c>
      <c r="H45" s="43">
        <v>0.286</v>
      </c>
      <c r="I45" s="44" t="str">
        <f>IMAGE("https://drive.google.com/uc?export=view&amp;id=1hYSM3b8MRF9Dnzs_fJGsqipLsD4g2XlN")</f>
        <v/>
      </c>
      <c r="J45" s="19" t="s">
        <v>16</v>
      </c>
    </row>
    <row r="46">
      <c r="A46" s="43">
        <v>45.0</v>
      </c>
      <c r="B46" s="19" t="s">
        <v>178</v>
      </c>
      <c r="C46" s="19" t="s">
        <v>536</v>
      </c>
      <c r="D46" s="19" t="s">
        <v>537</v>
      </c>
      <c r="E46" s="43">
        <v>0.571</v>
      </c>
      <c r="F46" s="43">
        <v>0.863</v>
      </c>
      <c r="G46" s="43">
        <v>0.0</v>
      </c>
      <c r="H46" s="43">
        <v>0.0</v>
      </c>
      <c r="I46" s="44" t="str">
        <f>IMAGE("https://drive.google.com/uc?export=view&amp;id=1KxNL6Q_akQBtuTp0txdq8FIbdVmI9Y6s")</f>
        <v/>
      </c>
      <c r="J46" s="19" t="s">
        <v>16</v>
      </c>
    </row>
    <row r="47">
      <c r="A47" s="43">
        <v>46.0</v>
      </c>
      <c r="B47" s="19" t="s">
        <v>181</v>
      </c>
      <c r="C47" s="19" t="s">
        <v>538</v>
      </c>
      <c r="D47" s="19" t="s">
        <v>539</v>
      </c>
      <c r="E47" s="43">
        <v>0.533</v>
      </c>
      <c r="F47" s="43">
        <v>0.859</v>
      </c>
      <c r="G47" s="43">
        <v>1.0</v>
      </c>
      <c r="H47" s="43">
        <v>0.571</v>
      </c>
      <c r="I47" s="44" t="str">
        <f>IMAGE("https://drive.google.com/uc?export=view&amp;id=1-hGNNQYtD0zCxdroS6JQ78DHDGAgVBmw")</f>
        <v/>
      </c>
      <c r="J47" s="19" t="s">
        <v>16</v>
      </c>
    </row>
    <row r="48">
      <c r="A48" s="43">
        <v>47.0</v>
      </c>
      <c r="B48" s="19" t="s">
        <v>184</v>
      </c>
      <c r="C48" s="19" t="s">
        <v>540</v>
      </c>
      <c r="D48" s="19" t="s">
        <v>541</v>
      </c>
      <c r="E48" s="43">
        <v>0.75</v>
      </c>
      <c r="F48" s="43">
        <v>0.872</v>
      </c>
      <c r="G48" s="43">
        <v>1.0</v>
      </c>
      <c r="H48" s="43">
        <v>0.889</v>
      </c>
      <c r="I48" s="44" t="str">
        <f>IMAGE("https://drive.google.com/uc?export=view&amp;id=1qo2581WyRu89dKDii-6dYDHbCXJWPuGo")</f>
        <v/>
      </c>
      <c r="J48" s="19" t="s">
        <v>16</v>
      </c>
    </row>
    <row r="49">
      <c r="A49" s="43">
        <v>48.0</v>
      </c>
      <c r="B49" s="19" t="s">
        <v>187</v>
      </c>
      <c r="C49" s="19" t="s">
        <v>542</v>
      </c>
      <c r="D49" s="19" t="s">
        <v>543</v>
      </c>
      <c r="E49" s="43">
        <v>0.364</v>
      </c>
      <c r="F49" s="43">
        <v>0.754</v>
      </c>
      <c r="G49" s="43">
        <v>1.0</v>
      </c>
      <c r="H49" s="43">
        <v>1.0</v>
      </c>
      <c r="I49" s="44" t="str">
        <f>IMAGE("https://drive.google.com/uc?export=view&amp;id=1V9VTa9sEqALJ-EBUoAPlTIwxfwrzW6RR")</f>
        <v/>
      </c>
      <c r="J49" s="19" t="s">
        <v>16</v>
      </c>
    </row>
    <row r="50">
      <c r="A50" s="43">
        <v>49.0</v>
      </c>
      <c r="B50" s="19" t="s">
        <v>190</v>
      </c>
      <c r="C50" s="19" t="s">
        <v>544</v>
      </c>
      <c r="D50" s="19" t="s">
        <v>545</v>
      </c>
      <c r="E50" s="43">
        <v>0.571</v>
      </c>
      <c r="F50" s="43">
        <v>0.801</v>
      </c>
      <c r="G50" s="43">
        <v>1.0</v>
      </c>
      <c r="H50" s="43">
        <v>0.667</v>
      </c>
      <c r="I50" s="44" t="str">
        <f>IMAGE("https://drive.google.com/uc?export=view&amp;id=1ZOtpNeGzEp6cafOmiqJxaDduSIydni13")</f>
        <v/>
      </c>
      <c r="J50" s="19" t="s">
        <v>16</v>
      </c>
    </row>
    <row r="51">
      <c r="A51" s="43">
        <v>50.0</v>
      </c>
      <c r="B51" s="19" t="s">
        <v>193</v>
      </c>
      <c r="C51" s="19" t="s">
        <v>546</v>
      </c>
      <c r="D51" s="19" t="s">
        <v>547</v>
      </c>
      <c r="E51" s="43">
        <v>0.0</v>
      </c>
      <c r="F51" s="43">
        <v>0.772</v>
      </c>
      <c r="G51" s="43">
        <v>0.833</v>
      </c>
      <c r="H51" s="43">
        <v>0.222</v>
      </c>
      <c r="I51" s="44" t="str">
        <f>IMAGE("https://drive.google.com/uc?export=view&amp;id=15mlZR0mCwFPIf99PmKL318W_NMKDLkE9")</f>
        <v/>
      </c>
      <c r="J51" s="19" t="s">
        <v>16</v>
      </c>
    </row>
    <row r="52">
      <c r="A52" s="43">
        <v>51.0</v>
      </c>
      <c r="B52" s="19" t="s">
        <v>196</v>
      </c>
      <c r="C52" s="19" t="s">
        <v>548</v>
      </c>
      <c r="D52" s="19" t="s">
        <v>549</v>
      </c>
      <c r="E52" s="43">
        <v>0.571</v>
      </c>
      <c r="F52" s="43">
        <v>0.775</v>
      </c>
      <c r="G52" s="43">
        <v>1.0</v>
      </c>
      <c r="H52" s="43">
        <v>0.333</v>
      </c>
      <c r="I52" s="44" t="str">
        <f>IMAGE("https://drive.google.com/uc?export=view&amp;id=1vCGEN4tg2AKsuStjRned6KAGtOFNoS4M")</f>
        <v/>
      </c>
      <c r="J52" s="19" t="s">
        <v>16</v>
      </c>
    </row>
    <row r="53">
      <c r="A53" s="43">
        <v>52.0</v>
      </c>
      <c r="B53" s="19" t="s">
        <v>199</v>
      </c>
      <c r="C53" s="19" t="s">
        <v>550</v>
      </c>
      <c r="D53" s="19" t="s">
        <v>551</v>
      </c>
      <c r="E53" s="43">
        <v>1.0</v>
      </c>
      <c r="F53" s="43">
        <v>0.966</v>
      </c>
      <c r="G53" s="43">
        <v>0.833</v>
      </c>
      <c r="H53" s="43">
        <v>0.6</v>
      </c>
      <c r="I53" s="44" t="str">
        <f>IMAGE("https://drive.google.com/uc?export=view&amp;id=1YzsyIWE4wSHVuE1r1g4sVsCrekJE-Vw5")</f>
        <v/>
      </c>
      <c r="J53" s="19" t="s">
        <v>16</v>
      </c>
    </row>
    <row r="54">
      <c r="A54" s="43">
        <v>53.0</v>
      </c>
      <c r="B54" s="19" t="s">
        <v>202</v>
      </c>
      <c r="C54" s="19" t="s">
        <v>552</v>
      </c>
      <c r="D54" s="19" t="s">
        <v>553</v>
      </c>
      <c r="E54" s="43">
        <v>0.889</v>
      </c>
      <c r="F54" s="43">
        <v>0.708</v>
      </c>
      <c r="G54" s="43">
        <v>0.5</v>
      </c>
      <c r="H54" s="43">
        <v>1.0</v>
      </c>
      <c r="I54" s="44" t="str">
        <f>IMAGE("https://drive.google.com/uc?export=view&amp;id=1NOmnQSoEYyQ6j_n9XezpEri1bda2h_7W")</f>
        <v/>
      </c>
      <c r="J54" s="19" t="s">
        <v>16</v>
      </c>
    </row>
    <row r="55">
      <c r="A55" s="43">
        <v>54.0</v>
      </c>
      <c r="B55" s="19" t="s">
        <v>205</v>
      </c>
      <c r="C55" s="19" t="s">
        <v>554</v>
      </c>
      <c r="D55" s="19" t="s">
        <v>555</v>
      </c>
      <c r="E55" s="43">
        <v>1.0</v>
      </c>
      <c r="F55" s="43">
        <v>1.0</v>
      </c>
      <c r="G55" s="43">
        <v>1.0</v>
      </c>
      <c r="H55" s="43">
        <v>1.0</v>
      </c>
      <c r="I55" s="44" t="str">
        <f>IMAGE("https://drive.google.com/uc?export=view&amp;id=1E8s1m6XTLkWSRnlXRFizEHMxOMPOJrM8")</f>
        <v/>
      </c>
      <c r="J55" s="19" t="s">
        <v>16</v>
      </c>
    </row>
    <row r="56">
      <c r="A56" s="43">
        <v>55.0</v>
      </c>
      <c r="B56" s="19" t="s">
        <v>208</v>
      </c>
      <c r="C56" s="19" t="s">
        <v>556</v>
      </c>
      <c r="D56" s="19" t="s">
        <v>557</v>
      </c>
      <c r="E56" s="43">
        <v>0.923</v>
      </c>
      <c r="F56" s="43">
        <v>0.681</v>
      </c>
      <c r="G56" s="43">
        <v>0.583</v>
      </c>
      <c r="H56" s="43">
        <v>1.0</v>
      </c>
      <c r="I56" s="44" t="str">
        <f>IMAGE("https://drive.google.com/uc?export=view&amp;id=18T1YR45yaZFbx-FHf6FM3PA5wcbjrTE2")</f>
        <v/>
      </c>
      <c r="J56" s="19" t="s">
        <v>16</v>
      </c>
    </row>
    <row r="57">
      <c r="A57" s="43">
        <v>56.0</v>
      </c>
      <c r="B57" s="19" t="s">
        <v>211</v>
      </c>
      <c r="C57" s="19" t="s">
        <v>558</v>
      </c>
      <c r="D57" s="19" t="s">
        <v>559</v>
      </c>
      <c r="E57" s="43">
        <v>0.625</v>
      </c>
      <c r="F57" s="43">
        <v>0.796</v>
      </c>
      <c r="G57" s="43">
        <v>0.5</v>
      </c>
      <c r="H57" s="43">
        <v>1.0</v>
      </c>
      <c r="I57" s="44" t="str">
        <f>IMAGE("https://drive.google.com/uc?export=view&amp;id=1Zb5bWOjoQyJLzGIiSPQhk5eNez1C8fJ8")</f>
        <v/>
      </c>
      <c r="J57" s="19" t="s">
        <v>16</v>
      </c>
    </row>
    <row r="58">
      <c r="A58" s="43">
        <v>57.0</v>
      </c>
      <c r="B58" s="19" t="s">
        <v>214</v>
      </c>
      <c r="C58" s="19" t="s">
        <v>560</v>
      </c>
      <c r="D58" s="19" t="s">
        <v>561</v>
      </c>
      <c r="E58" s="43">
        <v>0.462</v>
      </c>
      <c r="F58" s="43">
        <v>0.759</v>
      </c>
      <c r="G58" s="43">
        <v>0.333</v>
      </c>
      <c r="H58" s="43">
        <v>1.0</v>
      </c>
      <c r="I58" s="44" t="str">
        <f>IMAGE("https://drive.google.com/uc?export=view&amp;id=12PFJ_ebparn_hgo3sz8LdsYergIXi_dm")</f>
        <v/>
      </c>
      <c r="J58" s="19" t="s">
        <v>16</v>
      </c>
    </row>
    <row r="59">
      <c r="A59" s="43">
        <v>58.0</v>
      </c>
      <c r="B59" s="19" t="s">
        <v>217</v>
      </c>
      <c r="C59" s="19" t="s">
        <v>562</v>
      </c>
      <c r="D59" s="19" t="s">
        <v>563</v>
      </c>
      <c r="E59" s="43">
        <v>0.6</v>
      </c>
      <c r="F59" s="43">
        <v>0.803</v>
      </c>
      <c r="G59" s="43">
        <v>0.0</v>
      </c>
      <c r="H59" s="43">
        <v>0.0</v>
      </c>
      <c r="I59" s="44" t="str">
        <f>IMAGE("https://drive.google.com/uc?export=view&amp;id=10E3sSt3TNICa5PuOC7zbna0RkL1C3E_O")</f>
        <v/>
      </c>
      <c r="J59" s="19" t="s">
        <v>16</v>
      </c>
    </row>
    <row r="60">
      <c r="A60" s="43">
        <v>59.0</v>
      </c>
      <c r="B60" s="19" t="s">
        <v>220</v>
      </c>
      <c r="C60" s="19" t="s">
        <v>564</v>
      </c>
      <c r="D60" s="19" t="s">
        <v>565</v>
      </c>
      <c r="E60" s="43">
        <v>0.769</v>
      </c>
      <c r="F60" s="43">
        <v>0.358</v>
      </c>
      <c r="G60" s="43">
        <v>1.0</v>
      </c>
      <c r="H60" s="43">
        <v>0.111</v>
      </c>
      <c r="I60" s="44" t="str">
        <f>IMAGE("https://drive.google.com/uc?export=view&amp;id=1fqukXhvtmjADKzBmtINflXnp9v4Ev2VE")</f>
        <v/>
      </c>
      <c r="J60" s="19" t="s">
        <v>16</v>
      </c>
    </row>
    <row r="61">
      <c r="A61" s="43">
        <v>60.0</v>
      </c>
      <c r="B61" s="19" t="s">
        <v>223</v>
      </c>
      <c r="C61" s="19" t="s">
        <v>566</v>
      </c>
      <c r="D61" s="19" t="s">
        <v>567</v>
      </c>
      <c r="E61" s="43">
        <v>0.909</v>
      </c>
      <c r="F61" s="43">
        <v>0.687</v>
      </c>
      <c r="G61" s="43">
        <v>1.0</v>
      </c>
      <c r="H61" s="43">
        <v>1.0</v>
      </c>
      <c r="I61" s="44" t="str">
        <f>IMAGE("https://drive.google.com/uc?export=view&amp;id=1lsjmt9vyPjJd4etCbfUFLuQpfhHImLOb")</f>
        <v/>
      </c>
      <c r="J61" s="19" t="s">
        <v>16</v>
      </c>
    </row>
    <row r="62">
      <c r="A62" s="43">
        <v>61.0</v>
      </c>
      <c r="B62" s="19" t="s">
        <v>226</v>
      </c>
      <c r="C62" s="19" t="s">
        <v>568</v>
      </c>
      <c r="D62" s="19" t="s">
        <v>569</v>
      </c>
      <c r="E62" s="43">
        <v>0.778</v>
      </c>
      <c r="F62" s="43">
        <v>0.0</v>
      </c>
      <c r="G62" s="43">
        <v>0.0</v>
      </c>
      <c r="H62" s="43">
        <v>0.6</v>
      </c>
      <c r="I62" s="44" t="str">
        <f>IMAGE("https://drive.google.com/uc?export=view&amp;id=1bZ2HuoXMQno1E4vsiwr51dYah4QwyT2B")</f>
        <v/>
      </c>
      <c r="J62" s="19" t="s">
        <v>17</v>
      </c>
    </row>
    <row r="63">
      <c r="A63" s="43">
        <v>62.0</v>
      </c>
      <c r="B63" s="19" t="s">
        <v>229</v>
      </c>
      <c r="C63" s="19" t="s">
        <v>570</v>
      </c>
      <c r="D63" s="19" t="s">
        <v>571</v>
      </c>
      <c r="E63" s="43">
        <v>0.75</v>
      </c>
      <c r="F63" s="43">
        <v>0.0</v>
      </c>
      <c r="G63" s="43">
        <v>0.0</v>
      </c>
      <c r="H63" s="43">
        <v>0.667</v>
      </c>
      <c r="I63" s="44" t="str">
        <f>IMAGE("https://drive.google.com/uc?export=view&amp;id=1Z1E6jAGMgXPLdExhs0z35olO8w1zZFys")</f>
        <v/>
      </c>
      <c r="J63" s="19" t="s">
        <v>17</v>
      </c>
    </row>
    <row r="64">
      <c r="A64" s="43">
        <v>63.0</v>
      </c>
      <c r="B64" s="19" t="s">
        <v>232</v>
      </c>
      <c r="C64" s="19" t="s">
        <v>572</v>
      </c>
      <c r="D64" s="19" t="s">
        <v>573</v>
      </c>
      <c r="E64" s="43">
        <v>0.222</v>
      </c>
      <c r="F64" s="43">
        <v>0.827</v>
      </c>
      <c r="G64" s="43">
        <v>1.0</v>
      </c>
      <c r="H64" s="43">
        <v>0.2</v>
      </c>
      <c r="I64" s="44" t="str">
        <f>IMAGE("https://drive.google.com/uc?export=view&amp;id=1dfW-NlkGF7sj8Zb5XPIaMIesb9KQWPX3")</f>
        <v/>
      </c>
      <c r="J64" s="19" t="s">
        <v>17</v>
      </c>
    </row>
    <row r="65">
      <c r="A65" s="43">
        <v>64.0</v>
      </c>
      <c r="B65" s="19" t="s">
        <v>235</v>
      </c>
      <c r="C65" s="19" t="s">
        <v>574</v>
      </c>
      <c r="D65" s="19" t="s">
        <v>575</v>
      </c>
      <c r="E65" s="43">
        <v>1.0</v>
      </c>
      <c r="F65" s="43">
        <v>1.0</v>
      </c>
      <c r="G65" s="43">
        <v>1.0</v>
      </c>
      <c r="H65" s="43">
        <v>0.833</v>
      </c>
      <c r="I65" s="44" t="str">
        <f>IMAGE("https://drive.google.com/uc?export=view&amp;id=1NiC9DRGej3t7CizxsZepKM2Bx91Nk-E9")</f>
        <v/>
      </c>
      <c r="J65" s="19" t="s">
        <v>17</v>
      </c>
    </row>
    <row r="66">
      <c r="A66" s="43">
        <v>65.0</v>
      </c>
      <c r="B66" s="19" t="s">
        <v>238</v>
      </c>
      <c r="C66" s="19" t="s">
        <v>576</v>
      </c>
      <c r="D66" s="19" t="s">
        <v>577</v>
      </c>
      <c r="E66" s="43">
        <v>1.0</v>
      </c>
      <c r="F66" s="43">
        <v>0.0</v>
      </c>
      <c r="G66" s="43">
        <v>0.0</v>
      </c>
      <c r="H66" s="43">
        <v>0.0</v>
      </c>
      <c r="I66" s="44" t="str">
        <f>IMAGE("https://drive.google.com/uc?export=view&amp;id=1EGH4P1-B0N9FQdX3s5L2u_VmWMGspt2C")</f>
        <v/>
      </c>
      <c r="J66" s="19" t="s">
        <v>17</v>
      </c>
    </row>
    <row r="67">
      <c r="A67" s="43">
        <v>66.0</v>
      </c>
      <c r="B67" s="19" t="s">
        <v>241</v>
      </c>
      <c r="C67" s="19" t="s">
        <v>578</v>
      </c>
      <c r="D67" s="19" t="s">
        <v>579</v>
      </c>
      <c r="E67" s="43">
        <v>0.556</v>
      </c>
      <c r="F67" s="43">
        <v>0.0</v>
      </c>
      <c r="G67" s="43">
        <v>0.0</v>
      </c>
      <c r="H67" s="43">
        <v>0.8</v>
      </c>
      <c r="I67" s="44" t="str">
        <f>IMAGE("https://drive.google.com/uc?export=view&amp;id=1W3kQMJEWwUq9z9HW5ZyMTQQ9TOil6Noi")</f>
        <v/>
      </c>
      <c r="J67" s="19" t="s">
        <v>17</v>
      </c>
    </row>
    <row r="68">
      <c r="A68" s="43">
        <v>67.0</v>
      </c>
      <c r="B68" s="19" t="s">
        <v>244</v>
      </c>
      <c r="C68" s="19" t="s">
        <v>580</v>
      </c>
      <c r="D68" s="19" t="s">
        <v>581</v>
      </c>
      <c r="E68" s="43">
        <v>0.615</v>
      </c>
      <c r="F68" s="43">
        <v>0.998</v>
      </c>
      <c r="G68" s="43">
        <v>1.0</v>
      </c>
      <c r="H68" s="43">
        <v>0.8</v>
      </c>
      <c r="I68" s="44" t="str">
        <f>IMAGE("https://drive.google.com/uc?export=view&amp;id=1v2xIajOmCwrGS5ibKsoSjkEHb1M4RS1z")</f>
        <v/>
      </c>
      <c r="J68" s="19" t="s">
        <v>17</v>
      </c>
    </row>
    <row r="69">
      <c r="A69" s="43">
        <v>68.0</v>
      </c>
      <c r="B69" s="19" t="s">
        <v>247</v>
      </c>
      <c r="C69" s="19" t="s">
        <v>582</v>
      </c>
      <c r="D69" s="19" t="s">
        <v>583</v>
      </c>
      <c r="E69" s="43">
        <v>0.25</v>
      </c>
      <c r="F69" s="43">
        <v>1.0</v>
      </c>
      <c r="G69" s="43">
        <v>0.0</v>
      </c>
      <c r="H69" s="43">
        <v>0.0</v>
      </c>
      <c r="I69" s="44" t="str">
        <f>IMAGE("https://drive.google.com/uc?export=view&amp;id=1RJiGoatbKrugZ9w1kMT7eY8zLX0geSQm")</f>
        <v/>
      </c>
      <c r="J69" s="19" t="s">
        <v>17</v>
      </c>
    </row>
    <row r="70">
      <c r="A70" s="43">
        <v>69.0</v>
      </c>
      <c r="B70" s="19" t="s">
        <v>250</v>
      </c>
      <c r="C70" s="19" t="s">
        <v>584</v>
      </c>
      <c r="D70" s="19" t="s">
        <v>585</v>
      </c>
      <c r="E70" s="43">
        <v>0.143</v>
      </c>
      <c r="F70" s="43">
        <v>0.0</v>
      </c>
      <c r="G70" s="43">
        <v>0.0</v>
      </c>
      <c r="H70" s="43">
        <v>0.667</v>
      </c>
      <c r="I70" s="44" t="str">
        <f>IMAGE("https://drive.google.com/uc?export=view&amp;id=1XAliQp-oVkfkgRzaWkgya-ZePJJ-czn2")</f>
        <v/>
      </c>
      <c r="J70" s="19" t="s">
        <v>17</v>
      </c>
    </row>
    <row r="71">
      <c r="A71" s="43">
        <v>70.0</v>
      </c>
      <c r="B71" s="19" t="s">
        <v>253</v>
      </c>
      <c r="C71" s="19" t="s">
        <v>586</v>
      </c>
      <c r="D71" s="19" t="s">
        <v>587</v>
      </c>
      <c r="E71" s="43">
        <v>0.0</v>
      </c>
      <c r="F71" s="43">
        <v>0.0</v>
      </c>
      <c r="G71" s="43">
        <v>0.0</v>
      </c>
      <c r="H71" s="43">
        <v>1.0</v>
      </c>
      <c r="I71" s="44" t="str">
        <f>IMAGE("https://drive.google.com/uc?export=view&amp;id=17B8KJPhCMnwqfoVDNO6tubq_tQ0j60XX")</f>
        <v/>
      </c>
      <c r="J71" s="19" t="s">
        <v>17</v>
      </c>
    </row>
    <row r="72">
      <c r="A72" s="43">
        <v>71.0</v>
      </c>
      <c r="B72" s="19" t="s">
        <v>256</v>
      </c>
      <c r="C72" s="19" t="s">
        <v>588</v>
      </c>
      <c r="D72" s="19" t="s">
        <v>589</v>
      </c>
      <c r="E72" s="43">
        <v>0.625</v>
      </c>
      <c r="F72" s="43">
        <v>0.0</v>
      </c>
      <c r="G72" s="43">
        <v>0.333</v>
      </c>
      <c r="H72" s="43">
        <v>0.75</v>
      </c>
      <c r="I72" s="44" t="str">
        <f>IMAGE("https://drive.google.com/uc?export=view&amp;id=1jn35y30s0pZ0BPpTEyXZvfm1JVgaFCXt")</f>
        <v/>
      </c>
      <c r="J72" s="19" t="s">
        <v>17</v>
      </c>
    </row>
    <row r="73">
      <c r="A73" s="43">
        <v>72.0</v>
      </c>
      <c r="B73" s="19" t="s">
        <v>259</v>
      </c>
      <c r="C73" s="19" t="s">
        <v>590</v>
      </c>
      <c r="D73" s="19" t="s">
        <v>591</v>
      </c>
      <c r="E73" s="43">
        <v>0.667</v>
      </c>
      <c r="F73" s="43">
        <v>0.588</v>
      </c>
      <c r="G73" s="43">
        <v>0.333</v>
      </c>
      <c r="H73" s="43">
        <v>1.0</v>
      </c>
      <c r="I73" s="44" t="str">
        <f>IMAGE("https://drive.google.com/uc?export=view&amp;id=11ImoTCEtVR1tpMl2c2AapHtA-PptHBcf")</f>
        <v/>
      </c>
      <c r="J73" s="19" t="s">
        <v>17</v>
      </c>
    </row>
    <row r="74">
      <c r="A74" s="43">
        <v>73.0</v>
      </c>
      <c r="B74" s="19" t="s">
        <v>262</v>
      </c>
      <c r="C74" s="19" t="s">
        <v>592</v>
      </c>
      <c r="D74" s="19" t="s">
        <v>593</v>
      </c>
      <c r="E74" s="43">
        <v>0.5</v>
      </c>
      <c r="F74" s="43">
        <v>1.0</v>
      </c>
      <c r="G74" s="43">
        <v>1.0</v>
      </c>
      <c r="H74" s="43">
        <v>1.0</v>
      </c>
      <c r="I74" s="44" t="str">
        <f>IMAGE("https://drive.google.com/uc?export=view&amp;id=1tKhCXzkKb4_PQrVp_GJ83sZNvKCEZZRy")</f>
        <v/>
      </c>
      <c r="J74" s="19" t="s">
        <v>17</v>
      </c>
    </row>
    <row r="75">
      <c r="A75" s="43">
        <v>74.0</v>
      </c>
      <c r="B75" s="19" t="s">
        <v>265</v>
      </c>
      <c r="C75" s="19" t="s">
        <v>594</v>
      </c>
      <c r="D75" s="19" t="s">
        <v>595</v>
      </c>
      <c r="E75" s="43">
        <v>0.625</v>
      </c>
      <c r="F75" s="43">
        <v>0.388</v>
      </c>
      <c r="G75" s="43">
        <v>0.5</v>
      </c>
      <c r="H75" s="43">
        <v>1.0</v>
      </c>
      <c r="I75" s="44" t="str">
        <f>IMAGE("https://drive.google.com/uc?export=view&amp;id=1ex2YiT8P60f8_NsyXh0M3-nyRi22HRQu")</f>
        <v/>
      </c>
      <c r="J75" s="19" t="s">
        <v>17</v>
      </c>
    </row>
    <row r="76">
      <c r="A76" s="43">
        <v>75.0</v>
      </c>
      <c r="B76" s="19" t="s">
        <v>268</v>
      </c>
      <c r="C76" s="19" t="s">
        <v>596</v>
      </c>
      <c r="D76" s="19" t="s">
        <v>597</v>
      </c>
      <c r="E76" s="43">
        <v>1.0</v>
      </c>
      <c r="F76" s="43">
        <v>0.531</v>
      </c>
      <c r="G76" s="43">
        <v>1.0</v>
      </c>
      <c r="H76" s="43">
        <v>1.0</v>
      </c>
      <c r="I76" s="44" t="str">
        <f>IMAGE("https://drive.google.com/uc?export=view&amp;id=1bm2E8vOFkULaXMJypy2RfWggOCrXuHoF")</f>
        <v/>
      </c>
      <c r="J76" s="19" t="s">
        <v>17</v>
      </c>
    </row>
    <row r="77">
      <c r="A77" s="43">
        <v>76.0</v>
      </c>
      <c r="B77" s="19" t="s">
        <v>271</v>
      </c>
      <c r="C77" s="19" t="s">
        <v>598</v>
      </c>
      <c r="D77" s="19" t="s">
        <v>599</v>
      </c>
      <c r="E77" s="43">
        <v>0.786</v>
      </c>
      <c r="F77" s="43">
        <v>0.575</v>
      </c>
      <c r="G77" s="43">
        <v>1.0</v>
      </c>
      <c r="H77" s="43">
        <v>1.0</v>
      </c>
      <c r="I77" s="44" t="str">
        <f>IMAGE("https://drive.google.com/uc?export=view&amp;id=1bI7BD5jhtnj7nYxhSvZwG-SsmDn2DlCr")</f>
        <v/>
      </c>
      <c r="J77" s="19" t="s">
        <v>17</v>
      </c>
    </row>
    <row r="78">
      <c r="A78" s="43">
        <v>77.0</v>
      </c>
      <c r="B78" s="19" t="s">
        <v>274</v>
      </c>
      <c r="C78" s="19" t="s">
        <v>600</v>
      </c>
      <c r="D78" s="19" t="s">
        <v>601</v>
      </c>
      <c r="E78" s="43">
        <v>0.0</v>
      </c>
      <c r="F78" s="43">
        <v>0.809</v>
      </c>
      <c r="G78" s="43">
        <v>1.0</v>
      </c>
      <c r="H78" s="43">
        <v>1.0</v>
      </c>
      <c r="I78" s="44" t="str">
        <f>IMAGE("https://drive.google.com/uc?export=view&amp;id=17UXCjnlIYMNFi6nFpMZZSx89rZXq3Mbj")</f>
        <v/>
      </c>
      <c r="J78" s="19" t="s">
        <v>17</v>
      </c>
    </row>
    <row r="79">
      <c r="A79" s="43">
        <v>78.0</v>
      </c>
      <c r="B79" s="19" t="s">
        <v>277</v>
      </c>
      <c r="C79" s="19" t="s">
        <v>602</v>
      </c>
      <c r="D79" s="19" t="s">
        <v>603</v>
      </c>
      <c r="E79" s="43">
        <v>0.615</v>
      </c>
      <c r="F79" s="43">
        <v>0.0</v>
      </c>
      <c r="G79" s="43">
        <v>0.0</v>
      </c>
      <c r="H79" s="43">
        <v>0.833</v>
      </c>
      <c r="I79" s="44" t="str">
        <f>IMAGE("https://drive.google.com/uc?export=view&amp;id=1ChpzaXpfLk_ayMJP4vHvE6ZQ2R5jXmpZ")</f>
        <v/>
      </c>
      <c r="J79" s="19" t="s">
        <v>17</v>
      </c>
    </row>
    <row r="80">
      <c r="A80" s="43">
        <v>79.0</v>
      </c>
      <c r="B80" s="19" t="s">
        <v>280</v>
      </c>
      <c r="C80" s="19" t="s">
        <v>604</v>
      </c>
      <c r="D80" s="19" t="s">
        <v>605</v>
      </c>
      <c r="E80" s="43">
        <v>0.727</v>
      </c>
      <c r="F80" s="43">
        <v>0.0</v>
      </c>
      <c r="G80" s="43">
        <v>0.0</v>
      </c>
      <c r="H80" s="43">
        <v>0.167</v>
      </c>
      <c r="I80" s="44" t="str">
        <f>IMAGE("https://drive.google.com/uc?export=view&amp;id=1OiStd4LbQ9D0O2Cwycq2EucZCvuUYCRC")</f>
        <v/>
      </c>
      <c r="J80" s="19" t="s">
        <v>17</v>
      </c>
    </row>
    <row r="81">
      <c r="A81" s="43">
        <v>80.0</v>
      </c>
      <c r="B81" s="19" t="s">
        <v>283</v>
      </c>
      <c r="C81" s="19" t="s">
        <v>606</v>
      </c>
      <c r="D81" s="19" t="s">
        <v>607</v>
      </c>
      <c r="E81" s="43">
        <v>0.778</v>
      </c>
      <c r="F81" s="43">
        <v>0.902</v>
      </c>
      <c r="G81" s="43">
        <v>1.0</v>
      </c>
      <c r="H81" s="43">
        <v>0.75</v>
      </c>
      <c r="I81" s="44" t="str">
        <f>IMAGE("https://drive.google.com/uc?export=view&amp;id=1khnvOArMUXvmWeTg6ahb1zYQUJ2S-Cut")</f>
        <v/>
      </c>
      <c r="J81" s="19" t="s">
        <v>17</v>
      </c>
    </row>
  </sheetData>
  <autoFilter ref="$A$1:$J$81"/>
  <dataValidations>
    <dataValidation type="list" allowBlank="1" showErrorMessage="1" sqref="J2:J81">
      <formula1>"Trend Analysis ,Gap Detection,Evidence-based QA,Comparative Synthesis"</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88"/>
    <col customWidth="1" min="2" max="2" width="18.63"/>
    <col customWidth="1" min="4" max="4" width="31.13"/>
    <col customWidth="1" min="6" max="6" width="24.88"/>
    <col customWidth="1" min="7" max="7" width="33.88"/>
    <col customWidth="1" min="8" max="8" width="17.13"/>
    <col customWidth="1" min="9" max="9" width="79.63"/>
    <col customWidth="1" min="10" max="10" width="52.63"/>
  </cols>
  <sheetData>
    <row r="1">
      <c r="A1" s="41" t="s">
        <v>41</v>
      </c>
      <c r="B1" s="41" t="s">
        <v>42</v>
      </c>
      <c r="C1" s="41" t="s">
        <v>43</v>
      </c>
      <c r="D1" s="41" t="s">
        <v>44</v>
      </c>
      <c r="E1" s="32" t="s">
        <v>3</v>
      </c>
      <c r="F1" s="32" t="s">
        <v>4</v>
      </c>
      <c r="G1" s="32" t="s">
        <v>5</v>
      </c>
      <c r="H1" s="32" t="s">
        <v>6</v>
      </c>
      <c r="I1" s="41" t="s">
        <v>45</v>
      </c>
      <c r="J1" s="19" t="s">
        <v>1406</v>
      </c>
    </row>
    <row r="2">
      <c r="A2" s="43">
        <v>1.0</v>
      </c>
      <c r="B2" s="19" t="s">
        <v>46</v>
      </c>
      <c r="C2" s="19" t="s">
        <v>608</v>
      </c>
      <c r="D2" s="19" t="s">
        <v>609</v>
      </c>
      <c r="E2" s="43">
        <v>1.0</v>
      </c>
      <c r="F2" s="43">
        <v>0.914</v>
      </c>
      <c r="G2" s="43">
        <v>0.5</v>
      </c>
      <c r="H2" s="43">
        <v>0.0</v>
      </c>
      <c r="I2" s="44" t="str">
        <f>IMAGE("https://drive.google.com/uc?export=view&amp;id=103aGJwQuqePAB7OfnyKZwALBCOhFnYuk")</f>
        <v/>
      </c>
      <c r="J2" s="19" t="s">
        <v>14</v>
      </c>
    </row>
    <row r="3" hidden="1">
      <c r="A3" s="43">
        <v>2.0</v>
      </c>
      <c r="B3" s="19" t="s">
        <v>49</v>
      </c>
      <c r="C3" s="19" t="s">
        <v>610</v>
      </c>
      <c r="D3" s="19" t="s">
        <v>611</v>
      </c>
      <c r="E3" s="43">
        <v>1.0</v>
      </c>
      <c r="F3" s="43">
        <v>0.0</v>
      </c>
      <c r="G3" s="43">
        <v>0.75</v>
      </c>
      <c r="H3" s="43">
        <v>0.667</v>
      </c>
      <c r="I3" s="44" t="str">
        <f>IMAGE("https://drive.google.com/uc?export=view&amp;id=1bw4u_IFlp-cxOEyFzwevqDrtHPVFpMXh")</f>
        <v/>
      </c>
      <c r="J3" s="19" t="s">
        <v>14</v>
      </c>
    </row>
    <row r="4" hidden="1">
      <c r="A4" s="43">
        <v>3.0</v>
      </c>
      <c r="B4" s="19" t="s">
        <v>52</v>
      </c>
      <c r="C4" s="19" t="s">
        <v>612</v>
      </c>
      <c r="D4" s="19" t="s">
        <v>613</v>
      </c>
      <c r="E4" s="43">
        <v>0.318</v>
      </c>
      <c r="F4" s="43">
        <v>0.931</v>
      </c>
      <c r="G4" s="43">
        <v>1.0</v>
      </c>
      <c r="H4" s="43">
        <v>1.0</v>
      </c>
      <c r="I4" s="44" t="str">
        <f>IMAGE("https://drive.google.com/uc?export=view&amp;id=16mUTW4hYNZ3DRBCjadflW8DYNi20LXqr")</f>
        <v/>
      </c>
      <c r="J4" s="19" t="s">
        <v>14</v>
      </c>
    </row>
    <row r="5" hidden="1">
      <c r="A5" s="43">
        <v>4.0</v>
      </c>
      <c r="B5" s="19" t="s">
        <v>55</v>
      </c>
      <c r="C5" s="19" t="s">
        <v>614</v>
      </c>
      <c r="D5" s="19" t="s">
        <v>615</v>
      </c>
      <c r="E5" s="43">
        <v>0.1</v>
      </c>
      <c r="F5" s="43">
        <v>1.0</v>
      </c>
      <c r="G5" s="43">
        <v>1.0</v>
      </c>
      <c r="H5" s="43">
        <v>1.0</v>
      </c>
      <c r="I5" s="44" t="str">
        <f>IMAGE("https://drive.google.com/uc?export=view&amp;id=1fW35YppGoH82mZ06F7_tmUfGl_NKphdh")</f>
        <v/>
      </c>
      <c r="J5" s="19" t="s">
        <v>14</v>
      </c>
    </row>
    <row r="6" hidden="1">
      <c r="A6" s="43">
        <v>5.0</v>
      </c>
      <c r="B6" s="19" t="s">
        <v>58</v>
      </c>
      <c r="C6" s="19" t="s">
        <v>616</v>
      </c>
      <c r="D6" s="19" t="s">
        <v>617</v>
      </c>
      <c r="E6" s="43">
        <v>0.438</v>
      </c>
      <c r="F6" s="43">
        <v>0.868</v>
      </c>
      <c r="G6" s="43">
        <v>0.806</v>
      </c>
      <c r="H6" s="43">
        <v>1.0</v>
      </c>
      <c r="I6" s="44" t="str">
        <f>IMAGE("https://drive.google.com/uc?export=view&amp;id=1xyx6n71DQ7QxDE_IJwvI045TQjWiU89y")</f>
        <v/>
      </c>
      <c r="J6" s="19" t="s">
        <v>14</v>
      </c>
    </row>
    <row r="7" hidden="1">
      <c r="A7" s="43">
        <v>6.0</v>
      </c>
      <c r="B7" s="19" t="s">
        <v>61</v>
      </c>
      <c r="C7" s="19" t="s">
        <v>618</v>
      </c>
      <c r="D7" s="19" t="s">
        <v>619</v>
      </c>
      <c r="E7" s="43">
        <v>1.0</v>
      </c>
      <c r="F7" s="43">
        <v>0.976</v>
      </c>
      <c r="G7" s="43">
        <v>0.5</v>
      </c>
      <c r="H7" s="43">
        <v>1.0</v>
      </c>
      <c r="I7" s="44" t="str">
        <f>IMAGE("https://drive.google.com/uc?export=view&amp;id=1O9rXGnJ2aWqVZESVSjpB1Aysa-ETSgt_")</f>
        <v/>
      </c>
      <c r="J7" s="19" t="s">
        <v>14</v>
      </c>
    </row>
    <row r="8" hidden="1">
      <c r="A8" s="43">
        <v>7.0</v>
      </c>
      <c r="B8" s="19" t="s">
        <v>64</v>
      </c>
      <c r="C8" s="19" t="s">
        <v>620</v>
      </c>
      <c r="D8" s="19" t="s">
        <v>621</v>
      </c>
      <c r="E8" s="43">
        <v>0.4</v>
      </c>
      <c r="F8" s="43">
        <v>0.901</v>
      </c>
      <c r="G8" s="43">
        <v>1.0</v>
      </c>
      <c r="H8" s="43">
        <v>0.833</v>
      </c>
      <c r="I8" s="44" t="str">
        <f>IMAGE("https://drive.google.com/uc?export=view&amp;id=12f5T4W6AIb4tqpFI6luNIqoTACzwACaz")</f>
        <v/>
      </c>
      <c r="J8" s="19" t="s">
        <v>14</v>
      </c>
    </row>
    <row r="9" hidden="1">
      <c r="A9" s="43">
        <v>8.0</v>
      </c>
      <c r="B9" s="19" t="s">
        <v>67</v>
      </c>
      <c r="C9" s="19" t="s">
        <v>622</v>
      </c>
      <c r="D9" s="19" t="s">
        <v>623</v>
      </c>
      <c r="E9" s="43">
        <v>0.75</v>
      </c>
      <c r="F9" s="43">
        <v>0.883</v>
      </c>
      <c r="G9" s="43">
        <v>1.0</v>
      </c>
      <c r="H9" s="43">
        <v>1.0</v>
      </c>
      <c r="I9" s="44" t="str">
        <f>IMAGE("https://drive.google.com/uc?export=view&amp;id=1NIozVwqMD2CG__dbjbiw9wWmJLTGzQDl")</f>
        <v/>
      </c>
      <c r="J9" s="19" t="s">
        <v>14</v>
      </c>
    </row>
    <row r="10" hidden="1">
      <c r="A10" s="43">
        <v>9.0</v>
      </c>
      <c r="B10" s="19" t="s">
        <v>70</v>
      </c>
      <c r="C10" s="19" t="s">
        <v>624</v>
      </c>
      <c r="D10" s="19" t="s">
        <v>625</v>
      </c>
      <c r="E10" s="43">
        <v>0.5</v>
      </c>
      <c r="F10" s="43">
        <v>0.686</v>
      </c>
      <c r="G10" s="43">
        <v>0.417</v>
      </c>
      <c r="H10" s="43">
        <v>1.0</v>
      </c>
      <c r="I10" s="44" t="str">
        <f>IMAGE("https://drive.google.com/uc?export=view&amp;id=1bisemCUfu0neTF9Or7iad1pnyZ3Uh6nj")</f>
        <v/>
      </c>
      <c r="J10" s="19" t="s">
        <v>14</v>
      </c>
    </row>
    <row r="11" hidden="1">
      <c r="A11" s="43">
        <v>10.0</v>
      </c>
      <c r="B11" s="19" t="s">
        <v>73</v>
      </c>
      <c r="C11" s="19" t="s">
        <v>626</v>
      </c>
      <c r="D11" s="19" t="s">
        <v>627</v>
      </c>
      <c r="E11" s="43">
        <v>0.92</v>
      </c>
      <c r="F11" s="43">
        <v>0.946</v>
      </c>
      <c r="G11" s="43">
        <v>1.0</v>
      </c>
      <c r="H11" s="43">
        <v>1.0</v>
      </c>
      <c r="I11" s="44" t="str">
        <f>IMAGE("https://drive.google.com/uc?export=view&amp;id=1jOyViOOgIa9tO1sgw5u7CzHVhYDSTM7u")</f>
        <v/>
      </c>
      <c r="J11" s="19" t="s">
        <v>14</v>
      </c>
    </row>
    <row r="12" hidden="1">
      <c r="A12" s="43">
        <v>11.0</v>
      </c>
      <c r="B12" s="19" t="s">
        <v>76</v>
      </c>
      <c r="C12" s="19" t="s">
        <v>628</v>
      </c>
      <c r="D12" s="19" t="s">
        <v>629</v>
      </c>
      <c r="E12" s="43">
        <v>0.267</v>
      </c>
      <c r="F12" s="43">
        <v>0.664</v>
      </c>
      <c r="G12" s="43">
        <v>1.0</v>
      </c>
      <c r="H12" s="43">
        <v>1.0</v>
      </c>
      <c r="I12" s="44" t="str">
        <f>IMAGE("https://drive.google.com/uc?export=view&amp;id=1dhhHei6wy8DIKgr9JpSnPVTPmeuOQPvX")</f>
        <v/>
      </c>
      <c r="J12" s="19" t="s">
        <v>14</v>
      </c>
    </row>
    <row r="13">
      <c r="A13" s="43">
        <v>12.0</v>
      </c>
      <c r="B13" s="19" t="s">
        <v>79</v>
      </c>
      <c r="C13" s="19" t="s">
        <v>630</v>
      </c>
      <c r="D13" s="19" t="s">
        <v>631</v>
      </c>
      <c r="E13" s="43">
        <v>0.643</v>
      </c>
      <c r="F13" s="43">
        <v>0.912</v>
      </c>
      <c r="G13" s="43">
        <v>0.679</v>
      </c>
      <c r="H13" s="43">
        <v>0.0</v>
      </c>
      <c r="I13" s="44" t="str">
        <f>IMAGE("https://drive.google.com/uc?export=view&amp;id=1jp2to3Q9IG27AZZIMaZGx95PmBM7iFSN")</f>
        <v/>
      </c>
      <c r="J13" s="19" t="s">
        <v>14</v>
      </c>
    </row>
    <row r="14">
      <c r="A14" s="43">
        <v>13.0</v>
      </c>
      <c r="B14" s="19" t="s">
        <v>82</v>
      </c>
      <c r="C14" s="19" t="s">
        <v>632</v>
      </c>
      <c r="D14" s="19" t="s">
        <v>633</v>
      </c>
      <c r="E14" s="43">
        <v>0.4</v>
      </c>
      <c r="F14" s="43">
        <v>0.634</v>
      </c>
      <c r="G14" s="43">
        <v>0.887</v>
      </c>
      <c r="H14" s="43">
        <v>0.167</v>
      </c>
      <c r="I14" s="44" t="str">
        <f>IMAGE("https://drive.google.com/uc?export=view&amp;id=17erggUWHDty3xWg0WkJZTKRIWQrWsW_T")</f>
        <v/>
      </c>
      <c r="J14" s="19" t="s">
        <v>14</v>
      </c>
    </row>
    <row r="15" hidden="1">
      <c r="A15" s="43">
        <v>14.0</v>
      </c>
      <c r="B15" s="19" t="s">
        <v>85</v>
      </c>
      <c r="C15" s="19" t="s">
        <v>634</v>
      </c>
      <c r="D15" s="19" t="s">
        <v>635</v>
      </c>
      <c r="E15" s="43">
        <v>0.778</v>
      </c>
      <c r="F15" s="43">
        <v>0.982</v>
      </c>
      <c r="G15" s="43">
        <v>0.2</v>
      </c>
      <c r="H15" s="43">
        <v>1.0</v>
      </c>
      <c r="I15" s="44" t="str">
        <f>IMAGE("https://drive.google.com/uc?export=view&amp;id=1Ch03urZW6g9gBfYH5CfKwUTXiNG8zJw2")</f>
        <v/>
      </c>
      <c r="J15" s="19" t="s">
        <v>14</v>
      </c>
    </row>
    <row r="16">
      <c r="A16" s="43">
        <v>15.0</v>
      </c>
      <c r="B16" s="19" t="s">
        <v>88</v>
      </c>
      <c r="C16" s="19" t="s">
        <v>636</v>
      </c>
      <c r="D16" s="19" t="s">
        <v>637</v>
      </c>
      <c r="E16" s="43">
        <v>0.429</v>
      </c>
      <c r="F16" s="43">
        <v>0.0</v>
      </c>
      <c r="G16" s="43">
        <v>0.0</v>
      </c>
      <c r="H16" s="43">
        <v>0.333</v>
      </c>
      <c r="I16" s="44" t="str">
        <f>IMAGE("https://drive.google.com/uc?export=view&amp;id=1rduqT1IvqLKh0BOLyi9KlAFUk4E1m47N")</f>
        <v/>
      </c>
      <c r="J16" s="19" t="s">
        <v>14</v>
      </c>
    </row>
    <row r="17" hidden="1">
      <c r="A17" s="43">
        <v>16.0</v>
      </c>
      <c r="B17" s="19" t="s">
        <v>91</v>
      </c>
      <c r="C17" s="19" t="s">
        <v>638</v>
      </c>
      <c r="D17" s="19" t="s">
        <v>639</v>
      </c>
      <c r="E17" s="43">
        <v>1.0</v>
      </c>
      <c r="F17" s="43">
        <v>0.907</v>
      </c>
      <c r="G17" s="43">
        <v>0.804</v>
      </c>
      <c r="H17" s="43">
        <v>1.0</v>
      </c>
      <c r="I17" s="44" t="str">
        <f>IMAGE("https://drive.google.com/uc?export=view&amp;id=1-q8SZAGe-Urfh3ur-HYly1IU03zeXwvJ")</f>
        <v/>
      </c>
      <c r="J17" s="19" t="s">
        <v>14</v>
      </c>
    </row>
    <row r="18" hidden="1">
      <c r="A18" s="43">
        <v>17.0</v>
      </c>
      <c r="B18" s="19" t="s">
        <v>94</v>
      </c>
      <c r="C18" s="19" t="s">
        <v>640</v>
      </c>
      <c r="D18" s="19" t="s">
        <v>641</v>
      </c>
      <c r="E18" s="43">
        <v>0.2</v>
      </c>
      <c r="F18" s="43">
        <v>0.66</v>
      </c>
      <c r="G18" s="43">
        <v>0.2</v>
      </c>
      <c r="H18" s="43">
        <v>1.0</v>
      </c>
      <c r="I18" s="44" t="str">
        <f>IMAGE("https://drive.google.com/uc?export=view&amp;id=1SY7-PjupdGWhKHFA9zSe4A4tk1jvwm1k")</f>
        <v/>
      </c>
      <c r="J18" s="19" t="s">
        <v>14</v>
      </c>
    </row>
    <row r="19" hidden="1">
      <c r="A19" s="43">
        <v>18.0</v>
      </c>
      <c r="B19" s="19" t="s">
        <v>97</v>
      </c>
      <c r="C19" s="19" t="s">
        <v>642</v>
      </c>
      <c r="D19" s="19" t="s">
        <v>643</v>
      </c>
      <c r="E19" s="43">
        <v>0.625</v>
      </c>
      <c r="F19" s="43">
        <v>0.902</v>
      </c>
      <c r="G19" s="43">
        <v>0.589</v>
      </c>
      <c r="H19" s="43">
        <v>0.75</v>
      </c>
      <c r="I19" s="44" t="str">
        <f>IMAGE("https://drive.google.com/uc?export=view&amp;id=1SyjX8yvhtw8I4Ffr3FUb5V4dWNLW6pJT")</f>
        <v/>
      </c>
      <c r="J19" s="19" t="s">
        <v>14</v>
      </c>
    </row>
    <row r="20" hidden="1">
      <c r="A20" s="43">
        <v>19.0</v>
      </c>
      <c r="B20" s="19" t="s">
        <v>100</v>
      </c>
      <c r="C20" s="19" t="s">
        <v>644</v>
      </c>
      <c r="D20" s="19" t="s">
        <v>645</v>
      </c>
      <c r="E20" s="43">
        <v>0.923</v>
      </c>
      <c r="F20" s="43">
        <v>0.962</v>
      </c>
      <c r="G20" s="43">
        <v>0.0</v>
      </c>
      <c r="H20" s="43">
        <v>1.0</v>
      </c>
      <c r="I20" s="44" t="str">
        <f>IMAGE("https://drive.google.com/uc?export=view&amp;id=1P1EdEvqUlKyZi4B19sZNzUcbhjD6Z2cN")</f>
        <v/>
      </c>
      <c r="J20" s="19" t="s">
        <v>14</v>
      </c>
    </row>
    <row r="21" hidden="1">
      <c r="A21" s="43">
        <v>20.0</v>
      </c>
      <c r="B21" s="19" t="s">
        <v>115</v>
      </c>
      <c r="C21" s="19" t="s">
        <v>646</v>
      </c>
      <c r="D21" s="19" t="s">
        <v>647</v>
      </c>
      <c r="E21" s="43">
        <v>0.5</v>
      </c>
      <c r="F21" s="43">
        <v>0.945</v>
      </c>
      <c r="G21" s="43">
        <v>0.679</v>
      </c>
      <c r="H21" s="43">
        <v>1.0</v>
      </c>
      <c r="I21" s="44" t="str">
        <f>IMAGE("https://drive.google.com/uc?export=view&amp;id=1-6PFl_PGwmIQpNhuoJaQ71sLDXzOD5J8")</f>
        <v/>
      </c>
      <c r="J21" s="19" t="s">
        <v>14</v>
      </c>
    </row>
    <row r="22" hidden="1">
      <c r="A22" s="43">
        <v>21.0</v>
      </c>
      <c r="B22" s="19" t="s">
        <v>103</v>
      </c>
      <c r="C22" s="19" t="s">
        <v>648</v>
      </c>
      <c r="D22" s="19" t="s">
        <v>649</v>
      </c>
      <c r="E22" s="43">
        <v>0.333</v>
      </c>
      <c r="F22" s="43">
        <v>0.987</v>
      </c>
      <c r="G22" s="43">
        <v>1.0</v>
      </c>
      <c r="H22" s="43">
        <v>1.0</v>
      </c>
      <c r="I22" s="44" t="str">
        <f>IMAGE("https://drive.google.com/uc?export=view&amp;id=1cT7FKEjHnSeMfD9dtU0PZOJImuzxL_yU")</f>
        <v/>
      </c>
      <c r="J22" s="19" t="s">
        <v>15</v>
      </c>
    </row>
    <row r="23" hidden="1">
      <c r="A23" s="43">
        <v>22.0</v>
      </c>
      <c r="B23" s="19" t="s">
        <v>106</v>
      </c>
      <c r="C23" s="19" t="s">
        <v>650</v>
      </c>
      <c r="D23" s="19" t="s">
        <v>651</v>
      </c>
      <c r="E23" s="43">
        <v>0.625</v>
      </c>
      <c r="F23" s="43">
        <v>0.0</v>
      </c>
      <c r="G23" s="43">
        <v>0.0</v>
      </c>
      <c r="H23" s="43">
        <v>0.6</v>
      </c>
      <c r="I23" s="44" t="str">
        <f>IMAGE("https://drive.google.com/uc?export=view&amp;id=1NUiadzzxdQQiFJbFf2tpNyJjpHLJhi4b")</f>
        <v/>
      </c>
      <c r="J23" s="19" t="s">
        <v>15</v>
      </c>
    </row>
    <row r="24" hidden="1">
      <c r="A24" s="43">
        <v>23.0</v>
      </c>
      <c r="B24" s="19" t="s">
        <v>109</v>
      </c>
      <c r="C24" s="19" t="s">
        <v>652</v>
      </c>
      <c r="D24" s="19" t="s">
        <v>653</v>
      </c>
      <c r="E24" s="43">
        <v>0.071</v>
      </c>
      <c r="F24" s="43">
        <v>0.555</v>
      </c>
      <c r="G24" s="43">
        <v>0.887</v>
      </c>
      <c r="H24" s="43">
        <v>1.0</v>
      </c>
      <c r="I24" s="44" t="str">
        <f>IMAGE("https://drive.google.com/uc?export=view&amp;id=1kzrb188xndDnGJuqywdV3aOwohJul-fd")</f>
        <v/>
      </c>
      <c r="J24" s="19" t="s">
        <v>15</v>
      </c>
    </row>
    <row r="25">
      <c r="A25" s="43">
        <v>24.0</v>
      </c>
      <c r="B25" s="19" t="s">
        <v>112</v>
      </c>
      <c r="C25" s="19" t="s">
        <v>654</v>
      </c>
      <c r="D25" s="19" t="s">
        <v>655</v>
      </c>
      <c r="E25" s="43">
        <v>0.667</v>
      </c>
      <c r="F25" s="43">
        <v>0.947</v>
      </c>
      <c r="G25" s="43">
        <v>1.0</v>
      </c>
      <c r="H25" s="43">
        <v>0.167</v>
      </c>
      <c r="I25" s="44" t="str">
        <f>IMAGE("https://drive.google.com/uc?export=view&amp;id=1Y7SxBDgv-4jC1wWi4YP0WjaJK_YtLBrY")</f>
        <v/>
      </c>
      <c r="J25" s="19" t="s">
        <v>15</v>
      </c>
    </row>
    <row r="26" hidden="1">
      <c r="A26" s="43">
        <v>25.0</v>
      </c>
      <c r="B26" s="19" t="s">
        <v>118</v>
      </c>
      <c r="C26" s="19" t="s">
        <v>656</v>
      </c>
      <c r="D26" s="19" t="s">
        <v>657</v>
      </c>
      <c r="E26" s="43">
        <v>0.556</v>
      </c>
      <c r="F26" s="43">
        <v>0.826</v>
      </c>
      <c r="G26" s="43">
        <v>1.0</v>
      </c>
      <c r="H26" s="43">
        <v>0.75</v>
      </c>
      <c r="I26" s="44" t="str">
        <f>IMAGE("https://drive.google.com/uc?export=view&amp;id=18lNsHEk3gFY-bzjjtGBzQ7A-lluPvtvf")</f>
        <v/>
      </c>
      <c r="J26" s="19" t="s">
        <v>15</v>
      </c>
    </row>
    <row r="27" hidden="1">
      <c r="A27" s="43">
        <v>26.0</v>
      </c>
      <c r="B27" s="19" t="s">
        <v>121</v>
      </c>
      <c r="C27" s="19" t="s">
        <v>658</v>
      </c>
      <c r="D27" s="19" t="s">
        <v>659</v>
      </c>
      <c r="E27" s="43">
        <v>0.667</v>
      </c>
      <c r="F27" s="43">
        <v>0.993</v>
      </c>
      <c r="G27" s="43">
        <v>0.0</v>
      </c>
      <c r="H27" s="43">
        <v>0.875</v>
      </c>
      <c r="I27" s="44" t="str">
        <f>IMAGE("https://drive.google.com/uc?export=view&amp;id=1uKraOi9ZFpB-fToq4EQHZwzn1eQIBiMh")</f>
        <v/>
      </c>
      <c r="J27" s="19" t="s">
        <v>15</v>
      </c>
    </row>
    <row r="28" hidden="1">
      <c r="A28" s="43">
        <v>27.0</v>
      </c>
      <c r="B28" s="19" t="s">
        <v>124</v>
      </c>
      <c r="C28" s="19" t="s">
        <v>660</v>
      </c>
      <c r="D28" s="19" t="s">
        <v>661</v>
      </c>
      <c r="E28" s="43">
        <v>0.714</v>
      </c>
      <c r="F28" s="43">
        <v>0.908</v>
      </c>
      <c r="G28" s="43">
        <v>0.806</v>
      </c>
      <c r="H28" s="43">
        <v>0.75</v>
      </c>
      <c r="I28" s="44" t="str">
        <f>IMAGE("https://drive.google.com/uc?export=view&amp;id=1qZfL6DKF0kwxomMfvCaodgl-e9_GAnZm")</f>
        <v/>
      </c>
      <c r="J28" s="19" t="s">
        <v>15</v>
      </c>
    </row>
    <row r="29" hidden="1">
      <c r="A29" s="43">
        <v>28.0</v>
      </c>
      <c r="B29" s="19" t="s">
        <v>127</v>
      </c>
      <c r="C29" s="19" t="s">
        <v>662</v>
      </c>
      <c r="D29" s="19" t="s">
        <v>663</v>
      </c>
      <c r="E29" s="43">
        <v>1.0</v>
      </c>
      <c r="F29" s="43">
        <v>0.979</v>
      </c>
      <c r="G29" s="43">
        <v>1.0</v>
      </c>
      <c r="H29" s="43">
        <v>1.0</v>
      </c>
      <c r="I29" s="44" t="str">
        <f>IMAGE("https://drive.google.com/uc?export=view&amp;id=1vgTfsJkEqrKgXfSVq7p3J28mKDSr8jEM")</f>
        <v/>
      </c>
      <c r="J29" s="19" t="s">
        <v>15</v>
      </c>
    </row>
    <row r="30" hidden="1">
      <c r="A30" s="43">
        <v>29.0</v>
      </c>
      <c r="B30" s="19" t="s">
        <v>130</v>
      </c>
      <c r="C30" s="19" t="s">
        <v>664</v>
      </c>
      <c r="D30" s="19" t="s">
        <v>665</v>
      </c>
      <c r="E30" s="43">
        <v>0.583</v>
      </c>
      <c r="F30" s="43">
        <v>0.939</v>
      </c>
      <c r="G30" s="43">
        <v>1.0</v>
      </c>
      <c r="H30" s="43">
        <v>0.714</v>
      </c>
      <c r="I30" s="44" t="str">
        <f>IMAGE("https://drive.google.com/uc?export=view&amp;id=1THALSPUJWOVxqhomJymAqlsZhWR9buSz")</f>
        <v/>
      </c>
      <c r="J30" s="19" t="s">
        <v>15</v>
      </c>
    </row>
    <row r="31" hidden="1">
      <c r="A31" s="43">
        <v>30.0</v>
      </c>
      <c r="B31" s="19" t="s">
        <v>136</v>
      </c>
      <c r="C31" s="19" t="s">
        <v>666</v>
      </c>
      <c r="D31" s="19" t="s">
        <v>667</v>
      </c>
      <c r="E31" s="43">
        <v>0.75</v>
      </c>
      <c r="F31" s="43">
        <v>0.996</v>
      </c>
      <c r="G31" s="43">
        <v>1.0</v>
      </c>
      <c r="H31" s="43">
        <v>0.75</v>
      </c>
      <c r="I31" s="44" t="str">
        <f>IMAGE("https://drive.google.com/uc?export=view&amp;id=1s-oxfvT3mjHvWVm6eP2qZzcseQvJvP2t")</f>
        <v/>
      </c>
      <c r="J31" s="19" t="s">
        <v>15</v>
      </c>
    </row>
    <row r="32" hidden="1">
      <c r="A32" s="43">
        <v>31.0</v>
      </c>
      <c r="B32" s="19" t="s">
        <v>139</v>
      </c>
      <c r="C32" s="19" t="s">
        <v>668</v>
      </c>
      <c r="D32" s="19" t="s">
        <v>669</v>
      </c>
      <c r="E32" s="43">
        <v>0.455</v>
      </c>
      <c r="F32" s="43">
        <v>0.0</v>
      </c>
      <c r="G32" s="43">
        <v>0.478</v>
      </c>
      <c r="H32" s="43">
        <v>1.0</v>
      </c>
      <c r="I32" s="44" t="str">
        <f>IMAGE("https://drive.google.com/uc?export=view&amp;id=1RVnwKBdb1y--KXcwSk-Ry3i71YXgkyEa")</f>
        <v/>
      </c>
      <c r="J32" s="19" t="s">
        <v>15</v>
      </c>
    </row>
    <row r="33">
      <c r="A33" s="43">
        <v>32.0</v>
      </c>
      <c r="B33" s="19" t="s">
        <v>142</v>
      </c>
      <c r="C33" s="19" t="s">
        <v>670</v>
      </c>
      <c r="D33" s="19" t="s">
        <v>671</v>
      </c>
      <c r="E33" s="43">
        <v>0.0</v>
      </c>
      <c r="F33" s="43">
        <v>0.0</v>
      </c>
      <c r="G33" s="43">
        <v>0.0</v>
      </c>
      <c r="H33" s="43">
        <v>0.125</v>
      </c>
      <c r="I33" s="44" t="str">
        <f>IMAGE("https://drive.google.com/uc?export=view&amp;id=1aUNor0i-UD4A73JgrENyWnAF7edelA1_")</f>
        <v/>
      </c>
      <c r="J33" s="19" t="s">
        <v>15</v>
      </c>
    </row>
    <row r="34" hidden="1">
      <c r="A34" s="43">
        <v>33.0</v>
      </c>
      <c r="B34" s="19" t="s">
        <v>145</v>
      </c>
      <c r="C34" s="19" t="s">
        <v>672</v>
      </c>
      <c r="D34" s="19" t="s">
        <v>673</v>
      </c>
      <c r="E34" s="43">
        <v>0.688</v>
      </c>
      <c r="F34" s="43">
        <v>0.0</v>
      </c>
      <c r="G34" s="43">
        <v>0.533</v>
      </c>
      <c r="H34" s="43">
        <v>0.875</v>
      </c>
      <c r="I34" s="44" t="str">
        <f>IMAGE("https://drive.google.com/uc?export=view&amp;id=1Dv_9mu6bX0H8p0lX9xXm4D5uk2CoYxTR")</f>
        <v/>
      </c>
      <c r="J34" s="19" t="s">
        <v>15</v>
      </c>
    </row>
    <row r="35" hidden="1">
      <c r="A35" s="43">
        <v>34.0</v>
      </c>
      <c r="B35" s="19" t="s">
        <v>148</v>
      </c>
      <c r="C35" s="19" t="s">
        <v>674</v>
      </c>
      <c r="D35" s="19" t="s">
        <v>675</v>
      </c>
      <c r="E35" s="43">
        <v>0.4</v>
      </c>
      <c r="F35" s="43">
        <v>0.774</v>
      </c>
      <c r="G35" s="43">
        <v>1.0</v>
      </c>
      <c r="H35" s="43">
        <v>1.0</v>
      </c>
      <c r="I35" s="44" t="str">
        <f>IMAGE("https://drive.google.com/uc?export=view&amp;id=1zzuwG2MFJMw7qGRk5T6rpMrXv033qASZ")</f>
        <v/>
      </c>
      <c r="J35" s="19" t="s">
        <v>15</v>
      </c>
    </row>
    <row r="36" hidden="1">
      <c r="A36" s="43">
        <v>35.0</v>
      </c>
      <c r="B36" s="19" t="s">
        <v>151</v>
      </c>
      <c r="C36" s="19" t="s">
        <v>676</v>
      </c>
      <c r="D36" s="19" t="s">
        <v>677</v>
      </c>
      <c r="E36" s="43">
        <v>0.714</v>
      </c>
      <c r="F36" s="43">
        <v>0.888</v>
      </c>
      <c r="G36" s="43">
        <v>1.0</v>
      </c>
      <c r="H36" s="43">
        <v>1.0</v>
      </c>
      <c r="I36" s="44" t="str">
        <f>IMAGE("https://drive.google.com/uc?export=view&amp;id=1eiyylUojx7W0mjJ2HYBsIPUsdjHVCCS5")</f>
        <v/>
      </c>
      <c r="J36" s="19" t="s">
        <v>15</v>
      </c>
    </row>
    <row r="37">
      <c r="A37" s="43">
        <v>36.0</v>
      </c>
      <c r="B37" s="19" t="s">
        <v>154</v>
      </c>
      <c r="C37" s="19" t="s">
        <v>678</v>
      </c>
      <c r="D37" s="19" t="s">
        <v>679</v>
      </c>
      <c r="E37" s="43">
        <v>0.75</v>
      </c>
      <c r="F37" s="43">
        <v>0.915</v>
      </c>
      <c r="G37" s="43">
        <v>1.0</v>
      </c>
      <c r="H37" s="43">
        <v>0.286</v>
      </c>
      <c r="I37" s="44" t="str">
        <f>IMAGE("https://drive.google.com/uc?export=view&amp;id=1Zbw9BTX1kmd5vVpGdTa5fNS02cPT2_rF")</f>
        <v/>
      </c>
      <c r="J37" s="19" t="s">
        <v>15</v>
      </c>
    </row>
    <row r="38" hidden="1">
      <c r="A38" s="43">
        <v>37.0</v>
      </c>
      <c r="B38" s="19" t="s">
        <v>157</v>
      </c>
      <c r="C38" s="19" t="s">
        <v>680</v>
      </c>
      <c r="D38" s="19" t="s">
        <v>681</v>
      </c>
      <c r="E38" s="43">
        <v>0.524</v>
      </c>
      <c r="F38" s="43">
        <v>0.0</v>
      </c>
      <c r="G38" s="43">
        <v>0.0</v>
      </c>
      <c r="H38" s="43">
        <v>1.0</v>
      </c>
      <c r="I38" s="44" t="str">
        <f>IMAGE("https://drive.google.com/uc?export=view&amp;id=1x_OKNjO5KgDpd7o5_pOSRfpgsxQ2PLq6")</f>
        <v/>
      </c>
      <c r="J38" s="19" t="s">
        <v>15</v>
      </c>
    </row>
    <row r="39" hidden="1">
      <c r="A39" s="43">
        <v>38.0</v>
      </c>
      <c r="B39" s="19" t="s">
        <v>160</v>
      </c>
      <c r="C39" s="19" t="s">
        <v>682</v>
      </c>
      <c r="D39" s="19" t="s">
        <v>683</v>
      </c>
      <c r="E39" s="43">
        <v>0.727</v>
      </c>
      <c r="F39" s="43">
        <v>0.673</v>
      </c>
      <c r="G39" s="43">
        <v>0.95</v>
      </c>
      <c r="H39" s="43">
        <v>1.0</v>
      </c>
      <c r="I39" s="44" t="str">
        <f>IMAGE("https://drive.google.com/uc?export=view&amp;id=1FG7b_sCwMj2ah5uYAbJBwE4mad3kpEfw")</f>
        <v/>
      </c>
      <c r="J39" s="19" t="s">
        <v>15</v>
      </c>
    </row>
    <row r="40" hidden="1">
      <c r="A40" s="43">
        <v>39.0</v>
      </c>
      <c r="B40" s="19" t="s">
        <v>163</v>
      </c>
      <c r="C40" s="19" t="s">
        <v>684</v>
      </c>
      <c r="D40" s="19" t="s">
        <v>685</v>
      </c>
      <c r="E40" s="43">
        <v>1.0</v>
      </c>
      <c r="F40" s="43">
        <v>0.535</v>
      </c>
      <c r="G40" s="43">
        <v>1.0</v>
      </c>
      <c r="H40" s="43">
        <v>1.0</v>
      </c>
      <c r="I40" s="44" t="str">
        <f>IMAGE("https://drive.google.com/uc?export=view&amp;id=1sQazof6wpxGOnaI-2UFoDnqucodDjbiu")</f>
        <v/>
      </c>
      <c r="J40" s="19" t="s">
        <v>15</v>
      </c>
    </row>
    <row r="41" hidden="1">
      <c r="A41" s="43">
        <v>40.0</v>
      </c>
      <c r="B41" s="19" t="s">
        <v>133</v>
      </c>
      <c r="C41" s="19" t="s">
        <v>686</v>
      </c>
      <c r="D41" s="19" t="s">
        <v>687</v>
      </c>
      <c r="E41" s="43">
        <v>0.5</v>
      </c>
      <c r="F41" s="43">
        <v>0.905</v>
      </c>
      <c r="G41" s="43">
        <v>0.804</v>
      </c>
      <c r="H41" s="43">
        <v>0.667</v>
      </c>
      <c r="I41" s="44" t="str">
        <f>IMAGE("https://drive.google.com/uc?export=view&amp;id=1ZOR7Yc79nBz5VWbZeH6eyq8D7FdYPj6E")</f>
        <v/>
      </c>
      <c r="J41" s="19" t="s">
        <v>15</v>
      </c>
    </row>
    <row r="42">
      <c r="A42" s="43">
        <v>41.0</v>
      </c>
      <c r="B42" s="19" t="s">
        <v>166</v>
      </c>
      <c r="C42" s="19" t="s">
        <v>688</v>
      </c>
      <c r="D42" s="19" t="s">
        <v>689</v>
      </c>
      <c r="E42" s="43">
        <v>0.182</v>
      </c>
      <c r="F42" s="43">
        <v>0.935</v>
      </c>
      <c r="G42" s="43">
        <v>0.589</v>
      </c>
      <c r="H42" s="43">
        <v>0.0</v>
      </c>
      <c r="I42" s="44" t="str">
        <f>IMAGE("https://drive.google.com/uc?export=view&amp;id=1V_SgryW215xYeBzajT_nPyWFNPb79-zs")</f>
        <v/>
      </c>
      <c r="J42" s="19" t="s">
        <v>16</v>
      </c>
    </row>
    <row r="43" hidden="1">
      <c r="A43" s="43">
        <v>42.0</v>
      </c>
      <c r="B43" s="19" t="s">
        <v>169</v>
      </c>
      <c r="C43" s="19" t="s">
        <v>690</v>
      </c>
      <c r="D43" s="19" t="s">
        <v>691</v>
      </c>
      <c r="E43" s="43">
        <v>0.5</v>
      </c>
      <c r="F43" s="43">
        <v>0.693</v>
      </c>
      <c r="G43" s="43">
        <v>0.45</v>
      </c>
      <c r="H43" s="43">
        <v>0.6</v>
      </c>
      <c r="I43" s="44" t="str">
        <f>IMAGE("https://drive.google.com/uc?export=view&amp;id=1RnI3JcHpX9RvJLeoNcMl85IMd1qonTuT")</f>
        <v/>
      </c>
      <c r="J43" s="19" t="s">
        <v>16</v>
      </c>
    </row>
    <row r="44">
      <c r="A44" s="43">
        <v>43.0</v>
      </c>
      <c r="B44" s="19" t="s">
        <v>172</v>
      </c>
      <c r="C44" s="19" t="s">
        <v>692</v>
      </c>
      <c r="D44" s="19" t="s">
        <v>693</v>
      </c>
      <c r="E44" s="43">
        <v>0.593</v>
      </c>
      <c r="F44" s="43">
        <v>0.899</v>
      </c>
      <c r="G44" s="43">
        <v>0.95</v>
      </c>
      <c r="H44" s="43">
        <v>0.0</v>
      </c>
      <c r="I44" s="44" t="str">
        <f>IMAGE("https://drive.google.com/uc?export=view&amp;id=1OzZEcwRIZKvveuGxFHpsuGrR6Cw0jW-n")</f>
        <v/>
      </c>
      <c r="J44" s="19" t="s">
        <v>16</v>
      </c>
    </row>
    <row r="45">
      <c r="A45" s="43">
        <v>44.0</v>
      </c>
      <c r="B45" s="19" t="s">
        <v>175</v>
      </c>
      <c r="C45" s="19" t="s">
        <v>694</v>
      </c>
      <c r="D45" s="19" t="s">
        <v>695</v>
      </c>
      <c r="E45" s="43">
        <v>0.0</v>
      </c>
      <c r="F45" s="43">
        <v>0.0</v>
      </c>
      <c r="G45" s="43">
        <v>0.0</v>
      </c>
      <c r="H45" s="43">
        <v>0.0</v>
      </c>
      <c r="I45" s="44" t="str">
        <f>IMAGE("https://drive.google.com/uc?export=view&amp;id=1cJFw4066mWpcM7J3BgMsoDH9-eFJgkyu")</f>
        <v/>
      </c>
      <c r="J45" s="19" t="s">
        <v>16</v>
      </c>
    </row>
    <row r="46">
      <c r="A46" s="43">
        <v>45.0</v>
      </c>
      <c r="B46" s="19" t="s">
        <v>178</v>
      </c>
      <c r="C46" s="19" t="s">
        <v>696</v>
      </c>
      <c r="D46" s="19" t="s">
        <v>697</v>
      </c>
      <c r="E46" s="43">
        <v>0.889</v>
      </c>
      <c r="F46" s="43">
        <v>0.889</v>
      </c>
      <c r="G46" s="43">
        <v>0.589</v>
      </c>
      <c r="H46" s="43">
        <v>0.0</v>
      </c>
      <c r="I46" s="44" t="str">
        <f>IMAGE("https://drive.google.com/uc?export=view&amp;id=1ewMuOrw3pMx2p_8hEV_etuzga1JnILdM")</f>
        <v/>
      </c>
      <c r="J46" s="19" t="s">
        <v>16</v>
      </c>
    </row>
    <row r="47" hidden="1">
      <c r="A47" s="43">
        <v>46.0</v>
      </c>
      <c r="B47" s="19" t="s">
        <v>181</v>
      </c>
      <c r="C47" s="19" t="s">
        <v>698</v>
      </c>
      <c r="D47" s="19" t="s">
        <v>699</v>
      </c>
      <c r="E47" s="43">
        <v>1.0</v>
      </c>
      <c r="F47" s="43">
        <v>0.0</v>
      </c>
      <c r="G47" s="43">
        <v>0.0</v>
      </c>
      <c r="H47" s="43">
        <v>0.75</v>
      </c>
      <c r="I47" s="44" t="str">
        <f>IMAGE("https://drive.google.com/uc?export=view&amp;id=1I0BhcyE1o9V8_98YHaFt64YB1nKlewwT")</f>
        <v/>
      </c>
      <c r="J47" s="19" t="s">
        <v>16</v>
      </c>
    </row>
    <row r="48" hidden="1">
      <c r="A48" s="43">
        <v>47.0</v>
      </c>
      <c r="B48" s="19" t="s">
        <v>184</v>
      </c>
      <c r="C48" s="19" t="s">
        <v>700</v>
      </c>
      <c r="D48" s="19" t="s">
        <v>701</v>
      </c>
      <c r="E48" s="43">
        <v>1.0</v>
      </c>
      <c r="F48" s="43">
        <v>0.821</v>
      </c>
      <c r="G48" s="43">
        <v>0.639</v>
      </c>
      <c r="H48" s="43">
        <v>1.0</v>
      </c>
      <c r="I48" s="44" t="str">
        <f>IMAGE("https://drive.google.com/uc?export=view&amp;id=1KS9akfGYI6q_f1hD1fqkpqba8BF-_rB4")</f>
        <v/>
      </c>
      <c r="J48" s="19" t="s">
        <v>16</v>
      </c>
    </row>
    <row r="49" hidden="1">
      <c r="A49" s="43">
        <v>48.0</v>
      </c>
      <c r="B49" s="19" t="s">
        <v>187</v>
      </c>
      <c r="C49" s="19" t="s">
        <v>702</v>
      </c>
      <c r="D49" s="19" t="s">
        <v>703</v>
      </c>
      <c r="E49" s="43">
        <v>0.667</v>
      </c>
      <c r="F49" s="43">
        <v>0.754</v>
      </c>
      <c r="G49" s="43">
        <v>1.0</v>
      </c>
      <c r="H49" s="43">
        <v>1.0</v>
      </c>
      <c r="I49" s="44" t="str">
        <f>IMAGE("https://drive.google.com/uc?export=view&amp;id=1LP_Ex1Py144mD78xUY6zJCDL5fJlGh6O")</f>
        <v/>
      </c>
      <c r="J49" s="19" t="s">
        <v>16</v>
      </c>
    </row>
    <row r="50" hidden="1">
      <c r="A50" s="43">
        <v>49.0</v>
      </c>
      <c r="B50" s="19" t="s">
        <v>190</v>
      </c>
      <c r="C50" s="19" t="s">
        <v>704</v>
      </c>
      <c r="D50" s="19" t="s">
        <v>705</v>
      </c>
      <c r="E50" s="43">
        <v>0.071</v>
      </c>
      <c r="F50" s="43">
        <v>0.658</v>
      </c>
      <c r="G50" s="43">
        <v>1.0</v>
      </c>
      <c r="H50" s="43">
        <v>1.0</v>
      </c>
      <c r="I50" s="44" t="str">
        <f>IMAGE("https://drive.google.com/uc?export=view&amp;id=10pTKOQcQJgMyd7Bbepj5cllulqIwX_rI")</f>
        <v/>
      </c>
      <c r="J50" s="19" t="s">
        <v>16</v>
      </c>
    </row>
    <row r="51" hidden="1">
      <c r="A51" s="43">
        <v>50.0</v>
      </c>
      <c r="B51" s="19" t="s">
        <v>199</v>
      </c>
      <c r="C51" s="19" t="s">
        <v>706</v>
      </c>
      <c r="D51" s="19" t="s">
        <v>707</v>
      </c>
      <c r="E51" s="43">
        <v>0.583</v>
      </c>
      <c r="F51" s="43">
        <v>0.862</v>
      </c>
      <c r="G51" s="43">
        <v>0.589</v>
      </c>
      <c r="H51" s="43">
        <v>1.0</v>
      </c>
      <c r="I51" s="44" t="str">
        <f>IMAGE("https://drive.google.com/uc?export=view&amp;id=1N_BsO-CaZC_OCEJme4ASx19crV6jtsDi")</f>
        <v/>
      </c>
      <c r="J51" s="19" t="s">
        <v>16</v>
      </c>
    </row>
    <row r="52">
      <c r="A52" s="43">
        <v>51.0</v>
      </c>
      <c r="B52" s="19" t="s">
        <v>202</v>
      </c>
      <c r="C52" s="19" t="s">
        <v>708</v>
      </c>
      <c r="D52" s="19" t="s">
        <v>709</v>
      </c>
      <c r="E52" s="43">
        <v>0.571</v>
      </c>
      <c r="F52" s="43">
        <v>0.708</v>
      </c>
      <c r="G52" s="43">
        <v>0.25</v>
      </c>
      <c r="H52" s="43">
        <v>0.0</v>
      </c>
      <c r="I52" s="44" t="str">
        <f>IMAGE("https://drive.google.com/uc?export=view&amp;id=1IGNKwo-JhErWDlE7ZwXOFFSfZw-GBhn9")</f>
        <v/>
      </c>
      <c r="J52" s="19" t="s">
        <v>16</v>
      </c>
    </row>
    <row r="53">
      <c r="A53" s="43">
        <v>52.0</v>
      </c>
      <c r="B53" s="19" t="s">
        <v>205</v>
      </c>
      <c r="C53" s="19" t="s">
        <v>710</v>
      </c>
      <c r="D53" s="19" t="s">
        <v>711</v>
      </c>
      <c r="E53" s="43">
        <v>0.0</v>
      </c>
      <c r="F53" s="43">
        <v>1.0</v>
      </c>
      <c r="G53" s="43">
        <v>0.887</v>
      </c>
      <c r="H53" s="43">
        <v>0.0</v>
      </c>
      <c r="I53" s="44" t="str">
        <f>IMAGE("https://drive.google.com/uc?export=view&amp;id=1ty77GnFSCGVK3s8hj3KWXmKboLZIdZWc")</f>
        <v/>
      </c>
      <c r="J53" s="19" t="s">
        <v>16</v>
      </c>
    </row>
    <row r="54" hidden="1">
      <c r="A54" s="43">
        <v>53.0</v>
      </c>
      <c r="B54" s="19" t="s">
        <v>193</v>
      </c>
      <c r="C54" s="19" t="s">
        <v>712</v>
      </c>
      <c r="D54" s="19" t="s">
        <v>713</v>
      </c>
      <c r="E54" s="43">
        <v>1.0</v>
      </c>
      <c r="F54" s="43">
        <v>0.691</v>
      </c>
      <c r="G54" s="43">
        <v>0.95</v>
      </c>
      <c r="H54" s="43">
        <v>1.0</v>
      </c>
      <c r="I54" s="44" t="str">
        <f>IMAGE("https://drive.google.com/uc?export=view&amp;id=1apYxLsFbTaElZvdpQYWW2RdRFY1-50vW")</f>
        <v/>
      </c>
      <c r="J54" s="19" t="s">
        <v>16</v>
      </c>
    </row>
    <row r="55" hidden="1">
      <c r="A55" s="43">
        <v>54.0</v>
      </c>
      <c r="B55" s="19" t="s">
        <v>196</v>
      </c>
      <c r="C55" s="19" t="s">
        <v>714</v>
      </c>
      <c r="D55" s="19" t="s">
        <v>715</v>
      </c>
      <c r="E55" s="43">
        <v>0.615</v>
      </c>
      <c r="F55" s="43">
        <v>0.711</v>
      </c>
      <c r="G55" s="43">
        <v>1.0</v>
      </c>
      <c r="H55" s="43">
        <v>1.0</v>
      </c>
      <c r="I55" s="44" t="str">
        <f>IMAGE("https://drive.google.com/uc?export=view&amp;id=12kaLYMfm4avf5Udg17CtmgYy_9sIenLl")</f>
        <v/>
      </c>
      <c r="J55" s="19" t="s">
        <v>16</v>
      </c>
    </row>
    <row r="56" hidden="1">
      <c r="A56" s="43">
        <v>55.0</v>
      </c>
      <c r="B56" s="19" t="s">
        <v>208</v>
      </c>
      <c r="C56" s="19" t="s">
        <v>716</v>
      </c>
      <c r="D56" s="19" t="s">
        <v>717</v>
      </c>
      <c r="E56" s="43">
        <v>1.0</v>
      </c>
      <c r="F56" s="43">
        <v>0.672</v>
      </c>
      <c r="G56" s="43">
        <v>0.833</v>
      </c>
      <c r="H56" s="43">
        <v>1.0</v>
      </c>
      <c r="I56" s="44" t="str">
        <f>IMAGE("https://drive.google.com/uc?export=view&amp;id=1GlztsaIjJc5DUvyCAMoFyLN2BCgBOk-P")</f>
        <v/>
      </c>
      <c r="J56" s="19" t="s">
        <v>16</v>
      </c>
    </row>
    <row r="57">
      <c r="A57" s="43">
        <v>56.0</v>
      </c>
      <c r="B57" s="19" t="s">
        <v>211</v>
      </c>
      <c r="C57" s="19" t="s">
        <v>718</v>
      </c>
      <c r="D57" s="19" t="s">
        <v>719</v>
      </c>
      <c r="E57" s="43">
        <v>0.444</v>
      </c>
      <c r="F57" s="43">
        <v>0.926</v>
      </c>
      <c r="G57" s="43">
        <v>1.0</v>
      </c>
      <c r="H57" s="43">
        <v>0.0</v>
      </c>
      <c r="I57" s="44" t="str">
        <f>IMAGE("https://drive.google.com/uc?export=view&amp;id=1KrCiizEaSOYTCMSKipnyFfITVd4OuOj3")</f>
        <v/>
      </c>
      <c r="J57" s="19" t="s">
        <v>16</v>
      </c>
    </row>
    <row r="58" hidden="1">
      <c r="A58" s="43">
        <v>57.0</v>
      </c>
      <c r="B58" s="19" t="s">
        <v>214</v>
      </c>
      <c r="C58" s="19" t="s">
        <v>720</v>
      </c>
      <c r="D58" s="19" t="s">
        <v>721</v>
      </c>
      <c r="E58" s="43">
        <v>1.0</v>
      </c>
      <c r="F58" s="43">
        <v>0.675</v>
      </c>
      <c r="G58" s="43">
        <v>0.417</v>
      </c>
      <c r="H58" s="43">
        <v>1.0</v>
      </c>
      <c r="I58" s="44" t="str">
        <f>IMAGE("https://drive.google.com/uc?export=view&amp;id=1JucyqWnaI08m1fX-AlO4PqPddf5HflD1")</f>
        <v/>
      </c>
      <c r="J58" s="19" t="s">
        <v>16</v>
      </c>
    </row>
    <row r="59">
      <c r="A59" s="43">
        <v>58.0</v>
      </c>
      <c r="B59" s="19" t="s">
        <v>217</v>
      </c>
      <c r="C59" s="19" t="s">
        <v>722</v>
      </c>
      <c r="D59" s="19" t="s">
        <v>723</v>
      </c>
      <c r="E59" s="43">
        <v>1.0</v>
      </c>
      <c r="F59" s="43">
        <v>0.803</v>
      </c>
      <c r="G59" s="43">
        <v>0.0</v>
      </c>
      <c r="H59" s="43">
        <v>0.0</v>
      </c>
      <c r="I59" s="44" t="str">
        <f>IMAGE("https://drive.google.com/uc?export=view&amp;id=1aKYu7CT-kzOzZFsEBN_1R_6GWt8r4_h2")</f>
        <v/>
      </c>
      <c r="J59" s="19" t="s">
        <v>16</v>
      </c>
    </row>
    <row r="60" hidden="1">
      <c r="A60" s="43">
        <v>59.0</v>
      </c>
      <c r="B60" s="19" t="s">
        <v>220</v>
      </c>
      <c r="C60" s="19" t="s">
        <v>724</v>
      </c>
      <c r="D60" s="19" t="s">
        <v>725</v>
      </c>
      <c r="E60" s="43">
        <v>0.158</v>
      </c>
      <c r="F60" s="43">
        <v>0.45</v>
      </c>
      <c r="G60" s="43">
        <v>0.756</v>
      </c>
      <c r="H60" s="43">
        <v>1.0</v>
      </c>
      <c r="I60" s="44" t="str">
        <f>IMAGE("https://drive.google.com/uc?export=view&amp;id=1H7YZmQiDRhlOwBO5NeuVg8lzLIKWMcdI")</f>
        <v/>
      </c>
      <c r="J60" s="19" t="s">
        <v>16</v>
      </c>
    </row>
    <row r="61" hidden="1">
      <c r="A61" s="43">
        <v>60.0</v>
      </c>
      <c r="B61" s="19" t="s">
        <v>223</v>
      </c>
      <c r="C61" s="19" t="s">
        <v>726</v>
      </c>
      <c r="D61" s="19" t="s">
        <v>727</v>
      </c>
      <c r="E61" s="43">
        <v>0.778</v>
      </c>
      <c r="F61" s="43">
        <v>0.687</v>
      </c>
      <c r="G61" s="43">
        <v>0.756</v>
      </c>
      <c r="H61" s="43">
        <v>0.857</v>
      </c>
      <c r="I61" s="44" t="str">
        <f>IMAGE("https://drive.google.com/uc?export=view&amp;id=1UxV1YokbIDvMR2LXNbPX6_LBwaZgIm2T")</f>
        <v/>
      </c>
      <c r="J61" s="19" t="s">
        <v>16</v>
      </c>
    </row>
    <row r="62">
      <c r="A62" s="43">
        <v>61.0</v>
      </c>
      <c r="B62" s="19" t="s">
        <v>226</v>
      </c>
      <c r="C62" s="19" t="s">
        <v>728</v>
      </c>
      <c r="D62" s="19" t="s">
        <v>729</v>
      </c>
      <c r="E62" s="43">
        <v>0.632</v>
      </c>
      <c r="F62" s="43">
        <v>0.0</v>
      </c>
      <c r="G62" s="43">
        <v>0.583</v>
      </c>
      <c r="H62" s="43">
        <v>0.286</v>
      </c>
      <c r="I62" s="44" t="str">
        <f>IMAGE("https://drive.google.com/uc?export=view&amp;id=1tpMmMkR7Z5yX-CWz3eVcKe9igDx6ZjaC")</f>
        <v/>
      </c>
      <c r="J62" s="19" t="s">
        <v>17</v>
      </c>
    </row>
    <row r="63" hidden="1">
      <c r="A63" s="43">
        <v>62.0</v>
      </c>
      <c r="B63" s="19" t="s">
        <v>229</v>
      </c>
      <c r="C63" s="19" t="s">
        <v>730</v>
      </c>
      <c r="D63" s="19" t="s">
        <v>731</v>
      </c>
      <c r="E63" s="43">
        <v>0.65</v>
      </c>
      <c r="F63" s="43">
        <v>0.0</v>
      </c>
      <c r="G63" s="43">
        <v>0.0</v>
      </c>
      <c r="H63" s="43">
        <v>0.6</v>
      </c>
      <c r="I63" s="44" t="str">
        <f>IMAGE("https://drive.google.com/uc?export=view&amp;id=1JgzgeUhav0Ie-mDCpN7a4xaBzKyQf2JP")</f>
        <v/>
      </c>
      <c r="J63" s="19" t="s">
        <v>17</v>
      </c>
    </row>
    <row r="64">
      <c r="A64" s="43">
        <v>63.0</v>
      </c>
      <c r="B64" s="19" t="s">
        <v>232</v>
      </c>
      <c r="C64" s="19" t="s">
        <v>732</v>
      </c>
      <c r="D64" s="19" t="s">
        <v>733</v>
      </c>
      <c r="E64" s="43">
        <v>0.583</v>
      </c>
      <c r="F64" s="43">
        <v>0.753</v>
      </c>
      <c r="G64" s="43">
        <v>0.2</v>
      </c>
      <c r="H64" s="43">
        <v>0.25</v>
      </c>
      <c r="I64" s="44" t="str">
        <f>IMAGE("https://drive.google.com/uc?export=view&amp;id=1Z_coNQEdfVHVOhQqeX1fL_bfkvqA9ZR-")</f>
        <v/>
      </c>
      <c r="J64" s="19" t="s">
        <v>17</v>
      </c>
    </row>
    <row r="65" hidden="1">
      <c r="A65" s="43">
        <v>64.0</v>
      </c>
      <c r="B65" s="19" t="s">
        <v>235</v>
      </c>
      <c r="C65" s="19" t="s">
        <v>734</v>
      </c>
      <c r="D65" s="19" t="s">
        <v>735</v>
      </c>
      <c r="E65" s="43">
        <v>0.818</v>
      </c>
      <c r="F65" s="43">
        <v>1.0</v>
      </c>
      <c r="G65" s="43">
        <v>1.0</v>
      </c>
      <c r="H65" s="43">
        <v>0.875</v>
      </c>
      <c r="I65" s="44" t="str">
        <f>IMAGE("https://drive.google.com/uc?export=view&amp;id=1pakcw4dH0AlrFafT8XtjYqDLleS5FErh")</f>
        <v/>
      </c>
      <c r="J65" s="19" t="s">
        <v>17</v>
      </c>
    </row>
    <row r="66" hidden="1">
      <c r="A66" s="43">
        <v>65.0</v>
      </c>
      <c r="B66" s="19" t="s">
        <v>238</v>
      </c>
      <c r="C66" s="19" t="s">
        <v>736</v>
      </c>
      <c r="D66" s="19" t="s">
        <v>737</v>
      </c>
      <c r="E66" s="43">
        <v>0.5</v>
      </c>
      <c r="F66" s="43">
        <v>0.786</v>
      </c>
      <c r="G66" s="43">
        <v>0.0</v>
      </c>
      <c r="H66" s="43">
        <v>0.667</v>
      </c>
      <c r="I66" s="44" t="str">
        <f>IMAGE("https://drive.google.com/uc?export=view&amp;id=1dOmf_0GltSv_6ZsNEj9Vj0nrR6xb2biV")</f>
        <v/>
      </c>
      <c r="J66" s="19" t="s">
        <v>17</v>
      </c>
    </row>
    <row r="67" hidden="1">
      <c r="A67" s="43">
        <v>66.0</v>
      </c>
      <c r="B67" s="19" t="s">
        <v>241</v>
      </c>
      <c r="C67" s="19" t="s">
        <v>738</v>
      </c>
      <c r="D67" s="19" t="s">
        <v>739</v>
      </c>
      <c r="E67" s="43">
        <v>0.5</v>
      </c>
      <c r="F67" s="43">
        <v>0.627</v>
      </c>
      <c r="G67" s="43">
        <v>0.333</v>
      </c>
      <c r="H67" s="43">
        <v>1.0</v>
      </c>
      <c r="I67" s="44" t="str">
        <f>IMAGE("https://drive.google.com/uc?export=view&amp;id=1lkCbCG1lImW3AQ10DRXPDaERCc5lt-V-")</f>
        <v/>
      </c>
      <c r="J67" s="19" t="s">
        <v>17</v>
      </c>
    </row>
    <row r="68">
      <c r="A68" s="43">
        <v>67.0</v>
      </c>
      <c r="B68" s="19" t="s">
        <v>247</v>
      </c>
      <c r="C68" s="19" t="s">
        <v>740</v>
      </c>
      <c r="D68" s="19" t="s">
        <v>741</v>
      </c>
      <c r="E68" s="43">
        <v>0.385</v>
      </c>
      <c r="F68" s="43">
        <v>0.467</v>
      </c>
      <c r="G68" s="43">
        <v>0.0</v>
      </c>
      <c r="H68" s="43">
        <v>0.0</v>
      </c>
      <c r="I68" s="44" t="str">
        <f>IMAGE("https://drive.google.com/uc?export=view&amp;id=1hPnO7xAyn2jYqgL_npTncy459S0ZphRD")</f>
        <v/>
      </c>
      <c r="J68" s="19" t="s">
        <v>17</v>
      </c>
    </row>
    <row r="69">
      <c r="A69" s="43">
        <v>68.0</v>
      </c>
      <c r="B69" s="19" t="s">
        <v>250</v>
      </c>
      <c r="C69" s="19" t="s">
        <v>742</v>
      </c>
      <c r="D69" s="19" t="s">
        <v>743</v>
      </c>
      <c r="E69" s="43">
        <v>0.583</v>
      </c>
      <c r="F69" s="43">
        <v>0.0</v>
      </c>
      <c r="G69" s="43">
        <v>0.0</v>
      </c>
      <c r="H69" s="43">
        <v>0.5</v>
      </c>
      <c r="I69" s="44" t="str">
        <f>IMAGE("https://drive.google.com/uc?export=view&amp;id=1CzQ0CTl42AzYrbHutU1vn0GeA4jSCzJK")</f>
        <v/>
      </c>
      <c r="J69" s="19" t="s">
        <v>17</v>
      </c>
    </row>
    <row r="70" hidden="1">
      <c r="A70" s="43">
        <v>69.0</v>
      </c>
      <c r="B70" s="19" t="s">
        <v>256</v>
      </c>
      <c r="C70" s="19" t="s">
        <v>744</v>
      </c>
      <c r="D70" s="19" t="s">
        <v>745</v>
      </c>
      <c r="E70" s="43">
        <v>0.667</v>
      </c>
      <c r="F70" s="43">
        <v>0.816</v>
      </c>
      <c r="G70" s="43">
        <v>0.333</v>
      </c>
      <c r="H70" s="43">
        <v>1.0</v>
      </c>
      <c r="I70" s="44" t="str">
        <f>IMAGE("https://drive.google.com/uc?export=view&amp;id=1Qr7cyeqEWHzZXhn3tNVMNIuUrGGsaKoP")</f>
        <v/>
      </c>
      <c r="J70" s="19" t="s">
        <v>17</v>
      </c>
    </row>
    <row r="71" hidden="1">
      <c r="A71" s="43">
        <v>70.0</v>
      </c>
      <c r="B71" s="19" t="s">
        <v>259</v>
      </c>
      <c r="C71" s="19" t="s">
        <v>746</v>
      </c>
      <c r="D71" s="19" t="s">
        <v>747</v>
      </c>
      <c r="E71" s="43">
        <v>0.889</v>
      </c>
      <c r="F71" s="43">
        <v>0.431</v>
      </c>
      <c r="G71" s="43">
        <v>0.804</v>
      </c>
      <c r="H71" s="43">
        <v>1.0</v>
      </c>
      <c r="I71" s="44" t="str">
        <f>IMAGE("https://drive.google.com/uc?export=view&amp;id=1nac8szJG76pmSbsKGPVEZOQTcm5yLYZU")</f>
        <v/>
      </c>
      <c r="J71" s="19" t="s">
        <v>17</v>
      </c>
    </row>
    <row r="72" hidden="1">
      <c r="A72" s="43">
        <v>71.0</v>
      </c>
      <c r="B72" s="19" t="s">
        <v>265</v>
      </c>
      <c r="C72" s="19" t="s">
        <v>748</v>
      </c>
      <c r="D72" s="19" t="s">
        <v>749</v>
      </c>
      <c r="E72" s="43">
        <v>1.0</v>
      </c>
      <c r="F72" s="43">
        <v>0.745</v>
      </c>
      <c r="G72" s="43">
        <v>0.25</v>
      </c>
      <c r="H72" s="43">
        <v>1.0</v>
      </c>
      <c r="I72" s="44" t="str">
        <f>IMAGE("https://drive.google.com/uc?export=view&amp;id=1FEjhCRCxm0Pp4z2Al6YF5lmnasWy9P7S")</f>
        <v/>
      </c>
      <c r="J72" s="19" t="s">
        <v>17</v>
      </c>
    </row>
    <row r="73" hidden="1">
      <c r="A73" s="43">
        <v>72.0</v>
      </c>
      <c r="B73" s="19" t="s">
        <v>268</v>
      </c>
      <c r="C73" s="19" t="s">
        <v>750</v>
      </c>
      <c r="D73" s="19" t="s">
        <v>751</v>
      </c>
      <c r="E73" s="43">
        <v>0.25</v>
      </c>
      <c r="F73" s="43">
        <v>0.705</v>
      </c>
      <c r="G73" s="43">
        <v>1.0</v>
      </c>
      <c r="H73" s="43">
        <v>1.0</v>
      </c>
      <c r="I73" s="44" t="str">
        <f>IMAGE("https://drive.google.com/uc?export=view&amp;id=1753cBeYUjFgSldsRy6Jmgp0h9vBG3mXY")</f>
        <v/>
      </c>
      <c r="J73" s="19" t="s">
        <v>17</v>
      </c>
    </row>
    <row r="74" hidden="1">
      <c r="A74" s="43">
        <v>73.0</v>
      </c>
      <c r="B74" s="19" t="s">
        <v>271</v>
      </c>
      <c r="C74" s="19" t="s">
        <v>752</v>
      </c>
      <c r="D74" s="19" t="s">
        <v>753</v>
      </c>
      <c r="E74" s="43">
        <v>1.0</v>
      </c>
      <c r="F74" s="43">
        <v>0.647</v>
      </c>
      <c r="G74" s="43">
        <v>1.0</v>
      </c>
      <c r="H74" s="43">
        <v>0.889</v>
      </c>
      <c r="I74" s="44" t="str">
        <f>IMAGE("https://drive.google.com/uc?export=view&amp;id=1IozBvlvN3hrxCNxSA-ynBvE0JCgwF0CV")</f>
        <v/>
      </c>
      <c r="J74" s="19" t="s">
        <v>17</v>
      </c>
    </row>
    <row r="75" hidden="1">
      <c r="A75" s="43">
        <v>74.0</v>
      </c>
      <c r="B75" s="19" t="s">
        <v>244</v>
      </c>
      <c r="C75" s="19" t="s">
        <v>754</v>
      </c>
      <c r="D75" s="19" t="s">
        <v>755</v>
      </c>
      <c r="E75" s="43">
        <v>0.714</v>
      </c>
      <c r="F75" s="43">
        <v>0.615</v>
      </c>
      <c r="G75" s="43">
        <v>1.0</v>
      </c>
      <c r="H75" s="43">
        <v>0.6</v>
      </c>
      <c r="I75" s="44" t="str">
        <f>IMAGE("https://drive.google.com/uc?export=view&amp;id=1tM9DG7NMPXVgwa34gngtwI4LzrtwKxn_")</f>
        <v/>
      </c>
      <c r="J75" s="19" t="s">
        <v>17</v>
      </c>
    </row>
    <row r="76" hidden="1">
      <c r="A76" s="43">
        <v>75.0</v>
      </c>
      <c r="B76" s="19" t="s">
        <v>253</v>
      </c>
      <c r="C76" s="19" t="s">
        <v>756</v>
      </c>
      <c r="D76" s="19" t="s">
        <v>757</v>
      </c>
      <c r="E76" s="43">
        <v>1.0</v>
      </c>
      <c r="F76" s="43">
        <v>0.0</v>
      </c>
      <c r="G76" s="43">
        <v>1.0</v>
      </c>
      <c r="H76" s="43">
        <v>0.875</v>
      </c>
      <c r="I76" s="44" t="str">
        <f>IMAGE("https://drive.google.com/uc?export=view&amp;id=1IH6mg9lKdQnDt4E_XYwc4g-VRr-CNlqZ")</f>
        <v/>
      </c>
      <c r="J76" s="19" t="s">
        <v>17</v>
      </c>
    </row>
    <row r="77" hidden="1">
      <c r="A77" s="43">
        <v>76.0</v>
      </c>
      <c r="B77" s="19" t="s">
        <v>262</v>
      </c>
      <c r="C77" s="19" t="s">
        <v>758</v>
      </c>
      <c r="D77" s="19" t="s">
        <v>759</v>
      </c>
      <c r="E77" s="43">
        <v>0.375</v>
      </c>
      <c r="F77" s="43">
        <v>0.902</v>
      </c>
      <c r="G77" s="43">
        <v>0.25</v>
      </c>
      <c r="H77" s="43">
        <v>1.0</v>
      </c>
      <c r="I77" s="44" t="str">
        <f>IMAGE("https://drive.google.com/uc?export=view&amp;id=1FokdUOm0nfNZhfhpTFv_X6KREtOsW6ik")</f>
        <v/>
      </c>
      <c r="J77" s="19" t="s">
        <v>17</v>
      </c>
    </row>
    <row r="78" hidden="1">
      <c r="A78" s="43">
        <v>77.0</v>
      </c>
      <c r="B78" s="19" t="s">
        <v>274</v>
      </c>
      <c r="C78" s="19" t="s">
        <v>760</v>
      </c>
      <c r="D78" s="19" t="s">
        <v>761</v>
      </c>
      <c r="E78" s="43">
        <v>0.667</v>
      </c>
      <c r="F78" s="43">
        <v>0.0</v>
      </c>
      <c r="G78" s="43">
        <v>0.2</v>
      </c>
      <c r="H78" s="43">
        <v>0.8</v>
      </c>
      <c r="I78" s="44" t="str">
        <f>IMAGE("https://drive.google.com/uc?export=view&amp;id=11CCBmAR4yKjsZJPIHgLUGtmM_GpfqN4X")</f>
        <v/>
      </c>
      <c r="J78" s="19" t="s">
        <v>17</v>
      </c>
    </row>
    <row r="79" hidden="1">
      <c r="A79" s="43">
        <v>78.0</v>
      </c>
      <c r="B79" s="19" t="s">
        <v>277</v>
      </c>
      <c r="C79" s="19" t="s">
        <v>762</v>
      </c>
      <c r="D79" s="19" t="s">
        <v>763</v>
      </c>
      <c r="E79" s="43">
        <v>0.938</v>
      </c>
      <c r="F79" s="43">
        <v>0.0</v>
      </c>
      <c r="G79" s="43">
        <v>0.0</v>
      </c>
      <c r="H79" s="43">
        <v>1.0</v>
      </c>
      <c r="I79" s="44" t="str">
        <f>IMAGE("https://drive.google.com/uc?export=view&amp;id=1XR8mGVoZsFTPz1ljJboSkfmeg4LkAPI3")</f>
        <v/>
      </c>
      <c r="J79" s="19" t="s">
        <v>17</v>
      </c>
    </row>
    <row r="80" hidden="1">
      <c r="A80" s="43">
        <v>79.0</v>
      </c>
      <c r="B80" s="19" t="s">
        <v>280</v>
      </c>
      <c r="C80" s="19" t="s">
        <v>764</v>
      </c>
      <c r="D80" s="19" t="s">
        <v>765</v>
      </c>
      <c r="E80" s="43">
        <v>0.571</v>
      </c>
      <c r="F80" s="43">
        <v>0.486</v>
      </c>
      <c r="G80" s="43">
        <v>0.2</v>
      </c>
      <c r="H80" s="43">
        <v>1.0</v>
      </c>
      <c r="I80" s="44" t="str">
        <f>IMAGE("https://drive.google.com/uc?export=view&amp;id=1t16c8O-MPbsAc9EM9zcbdkQolZqQzhfW")</f>
        <v/>
      </c>
      <c r="J80" s="19" t="s">
        <v>17</v>
      </c>
    </row>
    <row r="81" hidden="1">
      <c r="A81" s="43">
        <v>80.0</v>
      </c>
      <c r="B81" s="19" t="s">
        <v>283</v>
      </c>
      <c r="C81" s="19" t="s">
        <v>766</v>
      </c>
      <c r="D81" s="19" t="s">
        <v>767</v>
      </c>
      <c r="E81" s="43">
        <v>0.923</v>
      </c>
      <c r="F81" s="43">
        <v>1.0</v>
      </c>
      <c r="G81" s="43">
        <v>0.7</v>
      </c>
      <c r="H81" s="43">
        <v>1.0</v>
      </c>
      <c r="I81" s="44" t="str">
        <f>IMAGE("https://drive.google.com/uc?export=view&amp;id=1LrAudfZtSJz6vt7zgv5tSzwIsg_AZlcc")</f>
        <v/>
      </c>
      <c r="J81" s="19" t="s">
        <v>17</v>
      </c>
    </row>
  </sheetData>
  <autoFilter ref="$A$1:$J$81">
    <filterColumn colId="7">
      <customFilters>
        <customFilter operator="lessThanOrEqual" val="0.5"/>
      </customFilters>
    </filterColumn>
  </autoFilter>
  <dataValidations>
    <dataValidation type="list" allowBlank="1" showErrorMessage="1" sqref="J2:J81">
      <formula1>"Trend Analysis ,Gap Detection,Evidence-based QA,Comparative Synthesis"</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33.38"/>
    <col customWidth="1" min="6" max="6" width="22.88"/>
    <col customWidth="1" min="7" max="7" width="25.25"/>
    <col customWidth="1" min="8" max="8" width="19.25"/>
    <col customWidth="1" min="9" max="9" width="86.38"/>
    <col customWidth="1" min="10" max="10" width="41.88"/>
  </cols>
  <sheetData>
    <row r="1">
      <c r="A1" s="52" t="s">
        <v>41</v>
      </c>
      <c r="B1" s="41" t="s">
        <v>42</v>
      </c>
      <c r="C1" s="41" t="s">
        <v>43</v>
      </c>
      <c r="D1" s="41" t="s">
        <v>44</v>
      </c>
      <c r="E1" s="32" t="s">
        <v>3</v>
      </c>
      <c r="F1" s="32" t="s">
        <v>4</v>
      </c>
      <c r="G1" s="32" t="s">
        <v>5</v>
      </c>
      <c r="H1" s="32" t="s">
        <v>6</v>
      </c>
      <c r="I1" s="41" t="s">
        <v>45</v>
      </c>
      <c r="J1" s="19" t="s">
        <v>1406</v>
      </c>
    </row>
    <row r="2" hidden="1">
      <c r="A2" s="43">
        <v>1.0</v>
      </c>
      <c r="B2" s="19" t="s">
        <v>46</v>
      </c>
      <c r="C2" s="19" t="s">
        <v>768</v>
      </c>
      <c r="D2" s="19" t="s">
        <v>769</v>
      </c>
      <c r="E2" s="43">
        <v>1.0</v>
      </c>
      <c r="F2" s="43">
        <v>0.989</v>
      </c>
      <c r="G2" s="43">
        <v>1.0</v>
      </c>
      <c r="H2" s="43">
        <v>0.75</v>
      </c>
      <c r="I2" s="44" t="str">
        <f>IMAGE("https://drive.google.com/uc?export=view&amp;id=1j2fK5oO1RsXsFQIrcuA0hZRg2fhAcLGQ")</f>
        <v/>
      </c>
      <c r="J2" s="19" t="s">
        <v>14</v>
      </c>
    </row>
    <row r="3" hidden="1">
      <c r="A3" s="43">
        <v>2.0</v>
      </c>
      <c r="B3" s="19" t="s">
        <v>49</v>
      </c>
      <c r="C3" s="19" t="s">
        <v>770</v>
      </c>
      <c r="D3" s="19" t="s">
        <v>771</v>
      </c>
      <c r="E3" s="43">
        <v>0.6</v>
      </c>
      <c r="F3" s="43">
        <v>0.99</v>
      </c>
      <c r="G3" s="43">
        <v>0.0</v>
      </c>
      <c r="H3" s="43">
        <v>1.0</v>
      </c>
      <c r="I3" s="44" t="str">
        <f>IMAGE("https://drive.google.com/uc?export=view&amp;id=1eIRRtMkNONAV6kNhCX7gFo5a2jMe3kcO")</f>
        <v/>
      </c>
      <c r="J3" s="19" t="s">
        <v>14</v>
      </c>
    </row>
    <row r="4" hidden="1">
      <c r="A4" s="43">
        <v>3.0</v>
      </c>
      <c r="B4" s="19" t="s">
        <v>52</v>
      </c>
      <c r="C4" s="19" t="s">
        <v>772</v>
      </c>
      <c r="D4" s="19" t="s">
        <v>773</v>
      </c>
      <c r="E4" s="43">
        <v>0.455</v>
      </c>
      <c r="F4" s="43">
        <v>0.968</v>
      </c>
      <c r="G4" s="43">
        <v>1.0</v>
      </c>
      <c r="H4" s="43">
        <v>0.625</v>
      </c>
      <c r="I4" s="44" t="str">
        <f>IMAGE("https://drive.google.com/uc?export=view&amp;id=1oDYE6wXxGTt2dnghDOltW3llJq9SuTyW")</f>
        <v/>
      </c>
      <c r="J4" s="19" t="s">
        <v>14</v>
      </c>
    </row>
    <row r="5" hidden="1">
      <c r="A5" s="43">
        <v>4.0</v>
      </c>
      <c r="B5" s="19" t="s">
        <v>55</v>
      </c>
      <c r="C5" s="19" t="s">
        <v>774</v>
      </c>
      <c r="D5" s="19" t="s">
        <v>775</v>
      </c>
      <c r="E5" s="43">
        <v>0.692</v>
      </c>
      <c r="F5" s="43">
        <v>1.0</v>
      </c>
      <c r="G5" s="43">
        <v>1.0</v>
      </c>
      <c r="H5" s="43">
        <v>0.8</v>
      </c>
      <c r="I5" s="44" t="str">
        <f>IMAGE("https://drive.google.com/uc?export=view&amp;id=1sE7nbw6uuvDRGLwptQnwFPI73dZy7tyO")</f>
        <v/>
      </c>
      <c r="J5" s="19" t="s">
        <v>14</v>
      </c>
    </row>
    <row r="6" hidden="1">
      <c r="A6" s="43">
        <v>5.0</v>
      </c>
      <c r="B6" s="19" t="s">
        <v>61</v>
      </c>
      <c r="C6" s="19" t="s">
        <v>776</v>
      </c>
      <c r="D6" s="19" t="s">
        <v>777</v>
      </c>
      <c r="E6" s="43">
        <v>0.533</v>
      </c>
      <c r="F6" s="43">
        <v>0.998</v>
      </c>
      <c r="G6" s="43">
        <v>1.0</v>
      </c>
      <c r="H6" s="43">
        <v>1.0</v>
      </c>
      <c r="I6" s="44" t="str">
        <f>IMAGE("https://drive.google.com/uc?export=view&amp;id=1IeTMCI3-YgXVo4yMw0ZPseawnE-l6jjF")</f>
        <v/>
      </c>
      <c r="J6" s="19" t="s">
        <v>14</v>
      </c>
    </row>
    <row r="7" hidden="1">
      <c r="A7" s="43">
        <v>6.0</v>
      </c>
      <c r="B7" s="19" t="s">
        <v>64</v>
      </c>
      <c r="C7" s="19" t="s">
        <v>778</v>
      </c>
      <c r="D7" s="19" t="s">
        <v>779</v>
      </c>
      <c r="E7" s="43">
        <v>0.778</v>
      </c>
      <c r="F7" s="43">
        <v>0.713</v>
      </c>
      <c r="G7" s="43">
        <v>0.583</v>
      </c>
      <c r="H7" s="43">
        <v>1.0</v>
      </c>
      <c r="I7" s="44" t="str">
        <f>IMAGE("https://drive.google.com/uc?export=view&amp;id=1BIFv0Hq2rCdxAZN2fu-J95Oragz733uE")</f>
        <v/>
      </c>
      <c r="J7" s="19" t="s">
        <v>14</v>
      </c>
    </row>
    <row r="8" hidden="1">
      <c r="A8" s="43">
        <v>7.0</v>
      </c>
      <c r="B8" s="19" t="s">
        <v>67</v>
      </c>
      <c r="C8" s="19" t="s">
        <v>780</v>
      </c>
      <c r="D8" s="19" t="s">
        <v>781</v>
      </c>
      <c r="E8" s="43">
        <v>1.0</v>
      </c>
      <c r="F8" s="43">
        <v>0.891</v>
      </c>
      <c r="G8" s="43">
        <v>1.0</v>
      </c>
      <c r="H8" s="43">
        <v>1.0</v>
      </c>
      <c r="I8" s="44" t="str">
        <f>IMAGE("https://drive.google.com/uc?export=view&amp;id=1iHKsZ0oh5mxtrKRMDo9KFewdcTZ_mptV")</f>
        <v/>
      </c>
      <c r="J8" s="19" t="s">
        <v>14</v>
      </c>
    </row>
    <row r="9" hidden="1">
      <c r="A9" s="43">
        <v>8.0</v>
      </c>
      <c r="B9" s="19" t="s">
        <v>70</v>
      </c>
      <c r="C9" s="19" t="s">
        <v>782</v>
      </c>
      <c r="D9" s="19" t="s">
        <v>783</v>
      </c>
      <c r="E9" s="43">
        <v>0.154</v>
      </c>
      <c r="F9" s="43">
        <v>0.955</v>
      </c>
      <c r="G9" s="43">
        <v>1.0</v>
      </c>
      <c r="H9" s="43">
        <v>0.75</v>
      </c>
      <c r="I9" s="44" t="str">
        <f>IMAGE("https://drive.google.com/uc?export=view&amp;id=1KzczNjVWPbGehfkKHQakwU1F5nZXdd_Z")</f>
        <v/>
      </c>
      <c r="J9" s="19" t="s">
        <v>14</v>
      </c>
    </row>
    <row r="10" hidden="1">
      <c r="A10" s="43">
        <v>9.0</v>
      </c>
      <c r="B10" s="19" t="s">
        <v>73</v>
      </c>
      <c r="C10" s="19" t="s">
        <v>784</v>
      </c>
      <c r="D10" s="19" t="s">
        <v>785</v>
      </c>
      <c r="E10" s="43">
        <v>0.6</v>
      </c>
      <c r="F10" s="43">
        <v>0.876</v>
      </c>
      <c r="G10" s="43">
        <v>1.0</v>
      </c>
      <c r="H10" s="43">
        <v>1.0</v>
      </c>
      <c r="I10" s="44" t="str">
        <f>IMAGE("https://drive.google.com/uc?export=view&amp;id=1vSTdWRYR7qKn5WZJBbOnYFpdhcM4lSDs")</f>
        <v/>
      </c>
      <c r="J10" s="19" t="s">
        <v>14</v>
      </c>
    </row>
    <row r="11">
      <c r="A11" s="43">
        <v>10.0</v>
      </c>
      <c r="B11" s="19" t="s">
        <v>76</v>
      </c>
      <c r="C11" s="19" t="s">
        <v>786</v>
      </c>
      <c r="D11" s="19" t="s">
        <v>787</v>
      </c>
      <c r="E11" s="43">
        <v>0.333</v>
      </c>
      <c r="F11" s="43">
        <v>0.747</v>
      </c>
      <c r="G11" s="43">
        <v>1.0</v>
      </c>
      <c r="H11" s="43">
        <v>0.429</v>
      </c>
      <c r="I11" s="44" t="str">
        <f>IMAGE("https://drive.google.com/uc?export=view&amp;id=1PuFn5K4_OTf-sGjXlYUevaQVTjwxySuN")</f>
        <v/>
      </c>
      <c r="J11" s="19" t="s">
        <v>14</v>
      </c>
    </row>
    <row r="12">
      <c r="A12" s="43">
        <v>11.0</v>
      </c>
      <c r="B12" s="19" t="s">
        <v>79</v>
      </c>
      <c r="C12" s="19" t="s">
        <v>788</v>
      </c>
      <c r="D12" s="19" t="s">
        <v>789</v>
      </c>
      <c r="E12" s="43">
        <v>0.5</v>
      </c>
      <c r="F12" s="43">
        <v>1.0</v>
      </c>
      <c r="G12" s="43">
        <v>1.0</v>
      </c>
      <c r="H12" s="43">
        <v>0.5</v>
      </c>
      <c r="I12" s="44" t="str">
        <f>IMAGE("https://drive.google.com/uc?export=view&amp;id=1hwxux7J7VEVWCxKWMWjrRqPHcGcZVGyu")</f>
        <v/>
      </c>
      <c r="J12" s="19" t="s">
        <v>14</v>
      </c>
    </row>
    <row r="13" hidden="1">
      <c r="A13" s="43">
        <v>12.0</v>
      </c>
      <c r="B13" s="19" t="s">
        <v>82</v>
      </c>
      <c r="C13" s="19" t="s">
        <v>790</v>
      </c>
      <c r="D13" s="19" t="s">
        <v>791</v>
      </c>
      <c r="E13" s="43">
        <v>0.769</v>
      </c>
      <c r="F13" s="43">
        <v>0.877</v>
      </c>
      <c r="G13" s="43">
        <v>1.0</v>
      </c>
      <c r="H13" s="43">
        <v>0.714</v>
      </c>
      <c r="I13" s="44" t="str">
        <f>IMAGE("https://drive.google.com/uc?export=view&amp;id=1UAvWgVYIZeYqL7tCFXBnUsXhYvU6PuF1")</f>
        <v/>
      </c>
      <c r="J13" s="19" t="s">
        <v>14</v>
      </c>
    </row>
    <row r="14">
      <c r="A14" s="43">
        <v>13.0</v>
      </c>
      <c r="B14" s="19" t="s">
        <v>85</v>
      </c>
      <c r="C14" s="19" t="s">
        <v>792</v>
      </c>
      <c r="D14" s="19" t="s">
        <v>793</v>
      </c>
      <c r="E14" s="43">
        <v>0.0</v>
      </c>
      <c r="F14" s="43">
        <v>0.985</v>
      </c>
      <c r="G14" s="43">
        <v>0.5</v>
      </c>
      <c r="H14" s="43">
        <v>0.0</v>
      </c>
      <c r="I14" s="44" t="str">
        <f>IMAGE("https://drive.google.com/uc?export=view&amp;id=1S5Q1-fqrdRLYK-aPKgQZdyvJZV-v0RbI")</f>
        <v/>
      </c>
      <c r="J14" s="19" t="s">
        <v>14</v>
      </c>
    </row>
    <row r="15" hidden="1">
      <c r="A15" s="43">
        <v>14.0</v>
      </c>
      <c r="B15" s="19" t="s">
        <v>88</v>
      </c>
      <c r="C15" s="19" t="s">
        <v>794</v>
      </c>
      <c r="D15" s="19" t="s">
        <v>795</v>
      </c>
      <c r="E15" s="43">
        <v>0.625</v>
      </c>
      <c r="F15" s="43">
        <v>0.945</v>
      </c>
      <c r="G15" s="43">
        <v>1.0</v>
      </c>
      <c r="H15" s="43">
        <v>1.0</v>
      </c>
      <c r="I15" s="44" t="str">
        <f>IMAGE("https://drive.google.com/uc?export=view&amp;id=10gggyaz9sJ72cflOhDhyJXghRKx9q6Fv")</f>
        <v/>
      </c>
      <c r="J15" s="19" t="s">
        <v>14</v>
      </c>
    </row>
    <row r="16" hidden="1">
      <c r="A16" s="43">
        <v>15.0</v>
      </c>
      <c r="B16" s="19" t="s">
        <v>91</v>
      </c>
      <c r="C16" s="19" t="s">
        <v>796</v>
      </c>
      <c r="D16" s="19" t="s">
        <v>797</v>
      </c>
      <c r="E16" s="43">
        <v>0.667</v>
      </c>
      <c r="F16" s="43">
        <v>0.826</v>
      </c>
      <c r="G16" s="43">
        <v>1.0</v>
      </c>
      <c r="H16" s="43">
        <v>1.0</v>
      </c>
      <c r="I16" s="44" t="str">
        <f>IMAGE("https://drive.google.com/uc?export=view&amp;id=1rNAcFJjJFTHzQA6qphxtdKmTONkzCpCa")</f>
        <v/>
      </c>
      <c r="J16" s="19" t="s">
        <v>14</v>
      </c>
    </row>
    <row r="17" hidden="1">
      <c r="A17" s="43">
        <v>16.0</v>
      </c>
      <c r="B17" s="19" t="s">
        <v>100</v>
      </c>
      <c r="C17" s="19" t="s">
        <v>798</v>
      </c>
      <c r="D17" s="19" t="s">
        <v>799</v>
      </c>
      <c r="E17" s="43">
        <v>1.0</v>
      </c>
      <c r="F17" s="43">
        <v>0.894</v>
      </c>
      <c r="G17" s="43">
        <v>1.0</v>
      </c>
      <c r="H17" s="43">
        <v>1.0</v>
      </c>
      <c r="I17" s="44" t="str">
        <f>IMAGE("https://drive.google.com/uc?export=view&amp;id=1FLJujH9AQCL_eCCGjELJMVY8sSMG8Ysz")</f>
        <v/>
      </c>
      <c r="J17" s="19" t="s">
        <v>14</v>
      </c>
    </row>
    <row r="18">
      <c r="A18" s="43">
        <v>17.0</v>
      </c>
      <c r="B18" s="19" t="s">
        <v>97</v>
      </c>
      <c r="C18" s="19" t="s">
        <v>800</v>
      </c>
      <c r="D18" s="19" t="s">
        <v>801</v>
      </c>
      <c r="E18" s="43">
        <v>0.583</v>
      </c>
      <c r="F18" s="43">
        <v>0.972</v>
      </c>
      <c r="G18" s="43">
        <v>1.0</v>
      </c>
      <c r="H18" s="43">
        <v>0.25</v>
      </c>
      <c r="I18" s="44" t="str">
        <f>IMAGE("https://drive.google.com/uc?export=view&amp;id=1Gw7yPn-QsCK8JNHGD7QlYC1aXufYWdiE")</f>
        <v/>
      </c>
      <c r="J18" s="19" t="s">
        <v>14</v>
      </c>
    </row>
    <row r="19" hidden="1">
      <c r="A19" s="43">
        <v>18.0</v>
      </c>
      <c r="B19" s="19" t="s">
        <v>91</v>
      </c>
      <c r="C19" s="19" t="s">
        <v>796</v>
      </c>
      <c r="D19" s="19" t="s">
        <v>797</v>
      </c>
      <c r="E19" s="43">
        <v>0.667</v>
      </c>
      <c r="F19" s="43">
        <v>0.826</v>
      </c>
      <c r="G19" s="43">
        <v>1.0</v>
      </c>
      <c r="H19" s="43">
        <v>1.0</v>
      </c>
      <c r="I19" s="44" t="str">
        <f>IMAGE("https://drive.google.com/uc?export=view&amp;id=1nOBHSz5g928zRbUq977SWi7Y4QvRn1eW")</f>
        <v/>
      </c>
      <c r="J19" s="19" t="s">
        <v>14</v>
      </c>
    </row>
    <row r="20">
      <c r="A20" s="43">
        <v>19.0</v>
      </c>
      <c r="B20" s="19" t="s">
        <v>94</v>
      </c>
      <c r="C20" s="19" t="s">
        <v>802</v>
      </c>
      <c r="D20" s="19" t="s">
        <v>803</v>
      </c>
      <c r="E20" s="43">
        <v>0.765</v>
      </c>
      <c r="F20" s="43">
        <v>0.804</v>
      </c>
      <c r="G20" s="43">
        <v>0.833</v>
      </c>
      <c r="H20" s="43">
        <v>0.25</v>
      </c>
      <c r="I20" s="44" t="str">
        <f>IMAGE("https://drive.google.com/uc?export=view&amp;id=1RoieSbpmNKkSUKOzuazJtif68EOP1w9Q")</f>
        <v/>
      </c>
      <c r="J20" s="19" t="s">
        <v>14</v>
      </c>
    </row>
    <row r="21" hidden="1">
      <c r="A21" s="43">
        <v>20.0</v>
      </c>
      <c r="B21" s="19" t="s">
        <v>115</v>
      </c>
      <c r="C21" s="19" t="s">
        <v>804</v>
      </c>
      <c r="D21" s="19" t="s">
        <v>805</v>
      </c>
      <c r="E21" s="43">
        <v>1.0</v>
      </c>
      <c r="F21" s="43">
        <v>0.979</v>
      </c>
      <c r="G21" s="43">
        <v>1.0</v>
      </c>
      <c r="H21" s="43">
        <v>1.0</v>
      </c>
      <c r="I21" s="44" t="str">
        <f>IMAGE("https://drive.google.com/uc?export=view&amp;id=1mU94PfUsJtZMx_R85CI9n2JLVTeAXgW4")</f>
        <v/>
      </c>
      <c r="J21" s="19" t="s">
        <v>14</v>
      </c>
    </row>
    <row r="22" hidden="1">
      <c r="A22" s="43">
        <v>21.0</v>
      </c>
      <c r="B22" s="19" t="s">
        <v>103</v>
      </c>
      <c r="C22" s="19" t="s">
        <v>806</v>
      </c>
      <c r="D22" s="19" t="s">
        <v>807</v>
      </c>
      <c r="E22" s="43">
        <v>1.0</v>
      </c>
      <c r="F22" s="43">
        <v>0.994</v>
      </c>
      <c r="G22" s="43">
        <v>1.0</v>
      </c>
      <c r="H22" s="43">
        <v>0.75</v>
      </c>
      <c r="I22" s="44" t="str">
        <f>IMAGE("https://drive.google.com/uc?export=view&amp;id=19364fdkPuT9RL5-b2fzsZ7QJPLH0LXJj")</f>
        <v/>
      </c>
      <c r="J22" s="19" t="s">
        <v>15</v>
      </c>
    </row>
    <row r="23" hidden="1">
      <c r="A23" s="43">
        <v>22.0</v>
      </c>
      <c r="B23" s="19" t="s">
        <v>106</v>
      </c>
      <c r="C23" s="19" t="s">
        <v>808</v>
      </c>
      <c r="D23" s="19" t="s">
        <v>809</v>
      </c>
      <c r="E23" s="43">
        <v>1.0</v>
      </c>
      <c r="F23" s="43">
        <v>0.839</v>
      </c>
      <c r="G23" s="43">
        <v>0.5</v>
      </c>
      <c r="H23" s="43">
        <v>1.0</v>
      </c>
      <c r="I23" s="44" t="str">
        <f>IMAGE("https://drive.google.com/uc?export=view&amp;id=1NY4LEOKh9-JpY1N_iQ0qCupeJJYf8VYY")</f>
        <v/>
      </c>
      <c r="J23" s="19" t="s">
        <v>15</v>
      </c>
    </row>
    <row r="24" hidden="1">
      <c r="A24" s="43">
        <v>23.0</v>
      </c>
      <c r="B24" s="19" t="s">
        <v>109</v>
      </c>
      <c r="C24" s="19" t="s">
        <v>810</v>
      </c>
      <c r="D24" s="19" t="s">
        <v>811</v>
      </c>
      <c r="E24" s="43">
        <v>0.545</v>
      </c>
      <c r="F24" s="43">
        <v>0.744</v>
      </c>
      <c r="G24" s="43">
        <v>0.833</v>
      </c>
      <c r="H24" s="43">
        <v>0.6</v>
      </c>
      <c r="I24" s="44" t="str">
        <f>IMAGE("https://drive.google.com/uc?export=view&amp;id=17Gv9KBfOamumtXCSeSG9PB6Ja5OJmZMD")</f>
        <v/>
      </c>
      <c r="J24" s="19" t="s">
        <v>15</v>
      </c>
    </row>
    <row r="25">
      <c r="A25" s="43">
        <v>24.0</v>
      </c>
      <c r="B25" s="19" t="s">
        <v>112</v>
      </c>
      <c r="C25" s="19" t="s">
        <v>812</v>
      </c>
      <c r="D25" s="19" t="s">
        <v>813</v>
      </c>
      <c r="E25" s="43">
        <v>1.0</v>
      </c>
      <c r="F25" s="43">
        <v>0.987</v>
      </c>
      <c r="G25" s="43">
        <v>1.0</v>
      </c>
      <c r="H25" s="43">
        <v>0.429</v>
      </c>
      <c r="I25" s="44" t="str">
        <f>IMAGE("https://drive.google.com/uc?export=view&amp;id=1GtKQ6jkvfGQ9Xt_LPqpenNaeG9v5AeCl")</f>
        <v/>
      </c>
      <c r="J25" s="19" t="s">
        <v>15</v>
      </c>
    </row>
    <row r="26" hidden="1">
      <c r="A26" s="43">
        <v>25.0</v>
      </c>
      <c r="B26" s="19" t="s">
        <v>118</v>
      </c>
      <c r="C26" s="19" t="s">
        <v>814</v>
      </c>
      <c r="D26" s="19" t="s">
        <v>815</v>
      </c>
      <c r="E26" s="43">
        <v>0.667</v>
      </c>
      <c r="F26" s="43">
        <v>0.0</v>
      </c>
      <c r="G26" s="43">
        <v>0.0</v>
      </c>
      <c r="H26" s="43">
        <v>0.6</v>
      </c>
      <c r="I26" s="44" t="str">
        <f>IMAGE("https://drive.google.com/uc?export=view&amp;id=1paXTtxx3sVUmgPCGT5aCO96Oh070aGRw")</f>
        <v/>
      </c>
      <c r="J26" s="19" t="s">
        <v>15</v>
      </c>
    </row>
    <row r="27" hidden="1">
      <c r="A27" s="43">
        <v>26.0</v>
      </c>
      <c r="B27" s="19" t="s">
        <v>121</v>
      </c>
      <c r="C27" s="19" t="s">
        <v>816</v>
      </c>
      <c r="D27" s="19" t="s">
        <v>817</v>
      </c>
      <c r="E27" s="43">
        <v>0.833</v>
      </c>
      <c r="F27" s="43">
        <v>0.978</v>
      </c>
      <c r="G27" s="43">
        <v>0.833</v>
      </c>
      <c r="H27" s="43">
        <v>1.0</v>
      </c>
      <c r="I27" s="44" t="str">
        <f>IMAGE("https://drive.google.com/uc?export=view&amp;id=1xU9dlkk8FoMKFre8kYWz28M66Tp_suag")</f>
        <v/>
      </c>
      <c r="J27" s="19" t="s">
        <v>15</v>
      </c>
    </row>
    <row r="28" hidden="1">
      <c r="A28" s="43">
        <v>27.0</v>
      </c>
      <c r="B28" s="19" t="s">
        <v>127</v>
      </c>
      <c r="C28" s="19" t="s">
        <v>818</v>
      </c>
      <c r="D28" s="19" t="s">
        <v>819</v>
      </c>
      <c r="E28" s="43">
        <v>0.833</v>
      </c>
      <c r="F28" s="43">
        <v>0.851</v>
      </c>
      <c r="G28" s="43">
        <v>0.5</v>
      </c>
      <c r="H28" s="43">
        <v>0.75</v>
      </c>
      <c r="I28" s="44" t="str">
        <f>IMAGE("https://drive.google.com/uc?export=view&amp;id=1GfTUXQyTaAfsWHXnC1AFMyIHnom-l2wz")</f>
        <v/>
      </c>
      <c r="J28" s="19" t="s">
        <v>15</v>
      </c>
    </row>
    <row r="29" hidden="1">
      <c r="A29" s="43">
        <v>28.0</v>
      </c>
      <c r="B29" s="19" t="s">
        <v>130</v>
      </c>
      <c r="C29" s="19" t="s">
        <v>820</v>
      </c>
      <c r="D29" s="19" t="s">
        <v>821</v>
      </c>
      <c r="E29" s="43">
        <v>0.5</v>
      </c>
      <c r="F29" s="43">
        <v>0.708</v>
      </c>
      <c r="G29" s="43">
        <v>1.0</v>
      </c>
      <c r="H29" s="43">
        <v>0.6</v>
      </c>
      <c r="I29" s="44" t="str">
        <f>IMAGE("https://drive.google.com/uc?export=view&amp;id=1L0vNLRhS5mObzj9zmH4SP0kzUU6IWAJU")</f>
        <v/>
      </c>
      <c r="J29" s="19" t="s">
        <v>15</v>
      </c>
    </row>
    <row r="30">
      <c r="A30" s="43">
        <v>29.0</v>
      </c>
      <c r="B30" s="19" t="s">
        <v>133</v>
      </c>
      <c r="C30" s="19" t="s">
        <v>822</v>
      </c>
      <c r="D30" s="19" t="s">
        <v>823</v>
      </c>
      <c r="E30" s="43">
        <v>1.0</v>
      </c>
      <c r="F30" s="43">
        <v>0.0</v>
      </c>
      <c r="G30" s="43">
        <v>0.0</v>
      </c>
      <c r="H30" s="43">
        <v>0.333</v>
      </c>
      <c r="I30" s="44" t="str">
        <f>IMAGE("https://drive.google.com/uc?export=view&amp;id=1q-EXnEEXTSkzPzUNlqQ-wRey8kJo13xu")</f>
        <v/>
      </c>
      <c r="J30" s="19" t="s">
        <v>15</v>
      </c>
    </row>
    <row r="31" hidden="1">
      <c r="A31" s="43">
        <v>30.0</v>
      </c>
      <c r="B31" s="19" t="s">
        <v>136</v>
      </c>
      <c r="C31" s="19" t="s">
        <v>824</v>
      </c>
      <c r="D31" s="19" t="s">
        <v>825</v>
      </c>
      <c r="E31" s="43">
        <v>0.625</v>
      </c>
      <c r="F31" s="43">
        <v>0.961</v>
      </c>
      <c r="G31" s="43">
        <v>1.0</v>
      </c>
      <c r="H31" s="43">
        <v>0.833</v>
      </c>
      <c r="I31" s="44" t="str">
        <f>IMAGE("https://drive.google.com/uc?export=view&amp;id=1fRfGu4g6ODOqb_3bvZF6TWNQrMruxUSY")</f>
        <v/>
      </c>
      <c r="J31" s="19" t="s">
        <v>15</v>
      </c>
    </row>
    <row r="32" hidden="1">
      <c r="A32" s="43">
        <v>31.0</v>
      </c>
      <c r="B32" s="19" t="s">
        <v>139</v>
      </c>
      <c r="C32" s="19" t="s">
        <v>826</v>
      </c>
      <c r="D32" s="19" t="s">
        <v>827</v>
      </c>
      <c r="E32" s="43">
        <v>1.0</v>
      </c>
      <c r="F32" s="43">
        <v>0.875</v>
      </c>
      <c r="G32" s="43">
        <v>1.0</v>
      </c>
      <c r="H32" s="43">
        <v>1.0</v>
      </c>
      <c r="I32" s="44" t="str">
        <f>IMAGE("https://drive.google.com/uc?export=view&amp;id=1u7t1WIdFkNIJxF2L6Zt8ij7S4hfHhhR_")</f>
        <v/>
      </c>
      <c r="J32" s="19" t="s">
        <v>15</v>
      </c>
    </row>
    <row r="33" hidden="1">
      <c r="A33" s="43">
        <v>32.0</v>
      </c>
      <c r="B33" s="19" t="s">
        <v>142</v>
      </c>
      <c r="C33" s="19" t="s">
        <v>828</v>
      </c>
      <c r="D33" s="19" t="s">
        <v>829</v>
      </c>
      <c r="E33" s="43">
        <v>0.833</v>
      </c>
      <c r="F33" s="43">
        <v>0.876</v>
      </c>
      <c r="G33" s="43">
        <v>1.0</v>
      </c>
      <c r="H33" s="43">
        <v>1.0</v>
      </c>
      <c r="I33" s="44" t="str">
        <f>IMAGE("https://drive.google.com/uc?export=view&amp;id=1mFxaLxfWe5VgQ0b3O9zQJQfUkIp3yDPX")</f>
        <v/>
      </c>
      <c r="J33" s="19" t="s">
        <v>15</v>
      </c>
    </row>
    <row r="34" hidden="1">
      <c r="A34" s="43">
        <v>33.0</v>
      </c>
      <c r="B34" s="19" t="s">
        <v>145</v>
      </c>
      <c r="C34" s="19" t="s">
        <v>830</v>
      </c>
      <c r="D34" s="19" t="s">
        <v>831</v>
      </c>
      <c r="E34" s="43">
        <v>0.545</v>
      </c>
      <c r="F34" s="43">
        <v>0.703</v>
      </c>
      <c r="G34" s="43">
        <v>1.0</v>
      </c>
      <c r="H34" s="43">
        <v>0.8</v>
      </c>
      <c r="I34" s="44" t="str">
        <f>IMAGE("https://drive.google.com/uc?export=view&amp;id=1zp3p4c-vgtEjQqNOMfhgJEwOY25E-R9z")</f>
        <v/>
      </c>
      <c r="J34" s="19" t="s">
        <v>15</v>
      </c>
    </row>
    <row r="35">
      <c r="A35" s="43">
        <v>34.0</v>
      </c>
      <c r="B35" s="19" t="s">
        <v>148</v>
      </c>
      <c r="C35" s="19" t="s">
        <v>832</v>
      </c>
      <c r="D35" s="19" t="s">
        <v>833</v>
      </c>
      <c r="E35" s="43">
        <v>0.583</v>
      </c>
      <c r="F35" s="43">
        <v>0.743</v>
      </c>
      <c r="G35" s="43">
        <v>1.0</v>
      </c>
      <c r="H35" s="43">
        <v>0.2</v>
      </c>
      <c r="I35" s="44" t="str">
        <f>IMAGE("https://drive.google.com/uc?export=view&amp;id=1uozZjFNDzZwLMkpjxD2v3bhnc8pX-BXI")</f>
        <v/>
      </c>
      <c r="J35" s="19" t="s">
        <v>15</v>
      </c>
    </row>
    <row r="36">
      <c r="A36" s="43">
        <v>35.0</v>
      </c>
      <c r="B36" s="19" t="s">
        <v>124</v>
      </c>
      <c r="C36" s="19" t="s">
        <v>834</v>
      </c>
      <c r="D36" s="19" t="s">
        <v>835</v>
      </c>
      <c r="E36" s="43">
        <v>1.0</v>
      </c>
      <c r="F36" s="43">
        <v>0.909</v>
      </c>
      <c r="G36" s="43">
        <v>1.0</v>
      </c>
      <c r="H36" s="43">
        <v>0.286</v>
      </c>
      <c r="I36" s="44" t="str">
        <f>IMAGE("https://drive.google.com/uc?export=view&amp;id=1IvrNE-ISOz-Su9wG7z3LeU_c0QCbsP1S")</f>
        <v/>
      </c>
      <c r="J36" s="19" t="s">
        <v>15</v>
      </c>
    </row>
    <row r="37" hidden="1">
      <c r="A37" s="43">
        <v>36.0</v>
      </c>
      <c r="B37" s="19" t="s">
        <v>151</v>
      </c>
      <c r="C37" s="19" t="s">
        <v>836</v>
      </c>
      <c r="D37" s="19" t="s">
        <v>837</v>
      </c>
      <c r="E37" s="43">
        <v>0.8</v>
      </c>
      <c r="F37" s="43">
        <v>0.914</v>
      </c>
      <c r="G37" s="43">
        <v>1.0</v>
      </c>
      <c r="H37" s="43">
        <v>1.0</v>
      </c>
      <c r="I37" s="44" t="str">
        <f>IMAGE("https://drive.google.com/uc?export=view&amp;id=1q0-EqPFqpqbkyj4ca7OSDFRsmLaIgWL7")</f>
        <v/>
      </c>
      <c r="J37" s="19" t="s">
        <v>15</v>
      </c>
    </row>
    <row r="38" hidden="1">
      <c r="A38" s="43">
        <v>37.0</v>
      </c>
      <c r="B38" s="19" t="s">
        <v>154</v>
      </c>
      <c r="C38" s="19" t="s">
        <v>838</v>
      </c>
      <c r="D38" s="19" t="s">
        <v>839</v>
      </c>
      <c r="E38" s="43">
        <v>1.0</v>
      </c>
      <c r="F38" s="43">
        <v>0.815</v>
      </c>
      <c r="G38" s="43">
        <v>1.0</v>
      </c>
      <c r="H38" s="43">
        <v>0.714</v>
      </c>
      <c r="I38" s="44" t="str">
        <f>IMAGE("https://drive.google.com/uc?export=view&amp;id=1APhWYustKNLKb8s9YrR3DJUlbZjPdlhh")</f>
        <v/>
      </c>
      <c r="J38" s="19" t="s">
        <v>15</v>
      </c>
    </row>
    <row r="39" hidden="1">
      <c r="A39" s="43">
        <v>38.0</v>
      </c>
      <c r="B39" s="19" t="s">
        <v>157</v>
      </c>
      <c r="C39" s="19" t="s">
        <v>840</v>
      </c>
      <c r="D39" s="19" t="s">
        <v>841</v>
      </c>
      <c r="E39" s="43">
        <v>0.5</v>
      </c>
      <c r="F39" s="43">
        <v>0.566</v>
      </c>
      <c r="G39" s="43">
        <v>1.0</v>
      </c>
      <c r="H39" s="43">
        <v>1.0</v>
      </c>
      <c r="I39" s="44" t="str">
        <f>IMAGE("https://drive.google.com/uc?export=view&amp;id=19LczHmNWqcHOrF6lhPeSM-l13UCn1o1d")</f>
        <v/>
      </c>
      <c r="J39" s="19" t="s">
        <v>15</v>
      </c>
    </row>
    <row r="40" hidden="1">
      <c r="A40" s="43">
        <v>39.0</v>
      </c>
      <c r="B40" s="19" t="s">
        <v>160</v>
      </c>
      <c r="C40" s="19" t="s">
        <v>842</v>
      </c>
      <c r="D40" s="19" t="s">
        <v>843</v>
      </c>
      <c r="E40" s="43">
        <v>0.727</v>
      </c>
      <c r="F40" s="43">
        <v>0.709</v>
      </c>
      <c r="G40" s="43">
        <v>1.0</v>
      </c>
      <c r="H40" s="43">
        <v>0.857</v>
      </c>
      <c r="I40" s="44" t="str">
        <f>IMAGE("https://drive.google.com/uc?export=view&amp;id=1VpCH3PjA4ACh8xKfObZvHPqqU5KveVDX")</f>
        <v/>
      </c>
      <c r="J40" s="19" t="s">
        <v>15</v>
      </c>
    </row>
    <row r="41" hidden="1">
      <c r="A41" s="43">
        <v>40.0</v>
      </c>
      <c r="B41" s="19" t="s">
        <v>163</v>
      </c>
      <c r="C41" s="19" t="s">
        <v>844</v>
      </c>
      <c r="D41" s="19" t="s">
        <v>845</v>
      </c>
      <c r="E41" s="43">
        <v>0.25</v>
      </c>
      <c r="F41" s="43">
        <v>0.581</v>
      </c>
      <c r="G41" s="43">
        <v>1.0</v>
      </c>
      <c r="H41" s="43">
        <v>0.833</v>
      </c>
      <c r="I41" s="44" t="str">
        <f>IMAGE("https://drive.google.com/uc?export=view&amp;id=1EP0PLyp2Pm51b5c5HJsiMs03iCwH6J_z")</f>
        <v/>
      </c>
      <c r="J41" s="19" t="s">
        <v>15</v>
      </c>
    </row>
    <row r="42">
      <c r="A42" s="43">
        <v>41.0</v>
      </c>
      <c r="B42" s="19" t="s">
        <v>166</v>
      </c>
      <c r="C42" s="19" t="s">
        <v>846</v>
      </c>
      <c r="D42" s="19" t="s">
        <v>847</v>
      </c>
      <c r="E42" s="43">
        <v>0.727</v>
      </c>
      <c r="F42" s="43">
        <v>0.986</v>
      </c>
      <c r="G42" s="43">
        <v>1.0</v>
      </c>
      <c r="H42" s="43">
        <v>0.0</v>
      </c>
      <c r="I42" s="44" t="str">
        <f>IMAGE("https://drive.google.com/uc?export=view&amp;id=1x8TowyauKXnOIkIE1Ns3UGuQiz3eu9h9")</f>
        <v/>
      </c>
      <c r="J42" s="19" t="s">
        <v>16</v>
      </c>
    </row>
    <row r="43">
      <c r="A43" s="43">
        <v>42.0</v>
      </c>
      <c r="B43" s="19" t="s">
        <v>169</v>
      </c>
      <c r="C43" s="19" t="s">
        <v>848</v>
      </c>
      <c r="D43" s="19" t="s">
        <v>849</v>
      </c>
      <c r="E43" s="43">
        <v>0.467</v>
      </c>
      <c r="F43" s="43">
        <v>0.873</v>
      </c>
      <c r="G43" s="43">
        <v>0.0</v>
      </c>
      <c r="H43" s="43">
        <v>0.333</v>
      </c>
      <c r="I43" s="44" t="str">
        <f>IMAGE("https://drive.google.com/uc?export=view&amp;id=1pnwverxK0MsIAcwLTwP4iZcbhbQ8BkMs")</f>
        <v/>
      </c>
      <c r="J43" s="19" t="s">
        <v>16</v>
      </c>
    </row>
    <row r="44">
      <c r="A44" s="43">
        <v>43.0</v>
      </c>
      <c r="B44" s="19" t="s">
        <v>172</v>
      </c>
      <c r="C44" s="19" t="s">
        <v>850</v>
      </c>
      <c r="D44" s="19" t="s">
        <v>851</v>
      </c>
      <c r="E44" s="43">
        <v>0.625</v>
      </c>
      <c r="F44" s="43">
        <v>0.973</v>
      </c>
      <c r="G44" s="43">
        <v>1.0</v>
      </c>
      <c r="H44" s="43">
        <v>0.0</v>
      </c>
      <c r="I44" s="44" t="str">
        <f>IMAGE("https://drive.google.com/uc?export=view&amp;id=1lWTGhhcq_yA928TMN_g50RIX_QYck39D")</f>
        <v/>
      </c>
      <c r="J44" s="19" t="s">
        <v>16</v>
      </c>
    </row>
    <row r="45">
      <c r="A45" s="43">
        <v>44.0</v>
      </c>
      <c r="B45" s="19" t="s">
        <v>175</v>
      </c>
      <c r="C45" s="19" t="s">
        <v>852</v>
      </c>
      <c r="D45" s="19" t="s">
        <v>853</v>
      </c>
      <c r="E45" s="43">
        <v>0.333</v>
      </c>
      <c r="F45" s="43">
        <v>0.983</v>
      </c>
      <c r="G45" s="43">
        <v>0.833</v>
      </c>
      <c r="H45" s="43">
        <v>0.333</v>
      </c>
      <c r="I45" s="44" t="str">
        <f>IMAGE("https://drive.google.com/uc?export=view&amp;id=1vLQI2KLNoVjH0gGBeVCfNp4m2JOOTXp-")</f>
        <v/>
      </c>
      <c r="J45" s="19" t="s">
        <v>16</v>
      </c>
    </row>
    <row r="46">
      <c r="A46" s="43">
        <v>45.0</v>
      </c>
      <c r="B46" s="19" t="s">
        <v>178</v>
      </c>
      <c r="C46" s="19" t="s">
        <v>854</v>
      </c>
      <c r="D46" s="19" t="s">
        <v>855</v>
      </c>
      <c r="E46" s="43">
        <v>0.889</v>
      </c>
      <c r="F46" s="43">
        <v>0.947</v>
      </c>
      <c r="G46" s="43">
        <v>0.5</v>
      </c>
      <c r="H46" s="43">
        <v>0.0</v>
      </c>
      <c r="I46" s="44" t="str">
        <f>IMAGE("https://drive.google.com/uc?export=view&amp;id=1jDbLaL0XNn4SJxcNiUmlt8SKkZ5Xnwte")</f>
        <v/>
      </c>
      <c r="J46" s="19" t="s">
        <v>16</v>
      </c>
    </row>
    <row r="47" hidden="1">
      <c r="A47" s="43">
        <v>46.0</v>
      </c>
      <c r="B47" s="19" t="s">
        <v>856</v>
      </c>
      <c r="C47" s="19" t="s">
        <v>857</v>
      </c>
      <c r="D47" s="19" t="s">
        <v>858</v>
      </c>
      <c r="E47" s="43">
        <v>1.0</v>
      </c>
      <c r="F47" s="43">
        <v>0.877</v>
      </c>
      <c r="G47" s="43">
        <v>1.0</v>
      </c>
      <c r="H47" s="43">
        <v>0.8</v>
      </c>
      <c r="I47" s="44" t="str">
        <f>IMAGE("https://drive.google.com/uc?export=view&amp;id=1JV-ZkDNhbpMIAMcefYqrJ2DXHJFEEbwd")</f>
        <v/>
      </c>
      <c r="J47" s="19" t="s">
        <v>16</v>
      </c>
    </row>
    <row r="48" hidden="1">
      <c r="A48" s="43">
        <v>47.0</v>
      </c>
      <c r="B48" s="19" t="s">
        <v>184</v>
      </c>
      <c r="C48" s="19" t="s">
        <v>859</v>
      </c>
      <c r="D48" s="19" t="s">
        <v>860</v>
      </c>
      <c r="E48" s="43">
        <v>0.875</v>
      </c>
      <c r="F48" s="43">
        <v>0.938</v>
      </c>
      <c r="G48" s="43">
        <v>1.0</v>
      </c>
      <c r="H48" s="43">
        <v>0.833</v>
      </c>
      <c r="I48" s="44" t="str">
        <f>IMAGE("https://drive.google.com/uc?export=view&amp;id=17kxPHWdTyhJWV48GxjmO4NTSjIE5rI6y")</f>
        <v/>
      </c>
      <c r="J48" s="19" t="s">
        <v>16</v>
      </c>
    </row>
    <row r="49" hidden="1">
      <c r="A49" s="43">
        <v>48.0</v>
      </c>
      <c r="B49" s="19" t="s">
        <v>187</v>
      </c>
      <c r="C49" s="19" t="s">
        <v>861</v>
      </c>
      <c r="D49" s="19" t="s">
        <v>862</v>
      </c>
      <c r="E49" s="43">
        <v>1.0</v>
      </c>
      <c r="F49" s="43">
        <v>0.836</v>
      </c>
      <c r="G49" s="43">
        <v>1.0</v>
      </c>
      <c r="H49" s="43">
        <v>0.8</v>
      </c>
      <c r="I49" s="44" t="str">
        <f>IMAGE("https://drive.google.com/uc?export=view&amp;id=1OkxNQ8kRLpwO003tivP5392viOVm_u38")</f>
        <v/>
      </c>
      <c r="J49" s="19" t="s">
        <v>16</v>
      </c>
    </row>
    <row r="50" hidden="1">
      <c r="A50" s="43">
        <v>49.0</v>
      </c>
      <c r="B50" s="19" t="s">
        <v>190</v>
      </c>
      <c r="C50" s="19" t="s">
        <v>863</v>
      </c>
      <c r="D50" s="19" t="s">
        <v>864</v>
      </c>
      <c r="E50" s="43">
        <v>0.643</v>
      </c>
      <c r="F50" s="43">
        <v>0.892</v>
      </c>
      <c r="G50" s="43">
        <v>1.0</v>
      </c>
      <c r="H50" s="43">
        <v>1.0</v>
      </c>
      <c r="I50" s="44" t="str">
        <f>IMAGE("https://drive.google.com/uc?export=view&amp;id=1VesTJTto1XIYIN3tZ_6Ab62W0miEwgUZ")</f>
        <v/>
      </c>
      <c r="J50" s="19" t="s">
        <v>16</v>
      </c>
    </row>
    <row r="51">
      <c r="A51" s="43">
        <v>50.0</v>
      </c>
      <c r="B51" s="19" t="s">
        <v>193</v>
      </c>
      <c r="C51" s="19" t="s">
        <v>865</v>
      </c>
      <c r="D51" s="19" t="s">
        <v>866</v>
      </c>
      <c r="E51" s="43">
        <v>0.727</v>
      </c>
      <c r="F51" s="43">
        <v>0.467</v>
      </c>
      <c r="G51" s="43">
        <v>0.833</v>
      </c>
      <c r="H51" s="43">
        <v>0.0</v>
      </c>
      <c r="I51" s="44" t="str">
        <f>IMAGE("https://drive.google.com/uc?export=view&amp;id=12U4igsQ_aY_FfdBVIaeepFNBKTYQb6d4")</f>
        <v/>
      </c>
      <c r="J51" s="19" t="s">
        <v>16</v>
      </c>
    </row>
    <row r="52">
      <c r="A52" s="43">
        <v>51.0</v>
      </c>
      <c r="B52" s="19" t="s">
        <v>196</v>
      </c>
      <c r="C52" s="19" t="s">
        <v>867</v>
      </c>
      <c r="D52" s="19" t="s">
        <v>868</v>
      </c>
      <c r="E52" s="43">
        <v>0.182</v>
      </c>
      <c r="F52" s="43">
        <v>0.809</v>
      </c>
      <c r="G52" s="43">
        <v>1.0</v>
      </c>
      <c r="H52" s="43">
        <v>0.167</v>
      </c>
      <c r="I52" s="44" t="str">
        <f>IMAGE("https://drive.google.com/uc?export=view&amp;id=1lVpPNZQIiButidNR2CUvixN7vc1o-dHC")</f>
        <v/>
      </c>
      <c r="J52" s="19" t="s">
        <v>16</v>
      </c>
    </row>
    <row r="53">
      <c r="A53" s="43">
        <v>52.0</v>
      </c>
      <c r="B53" s="19" t="s">
        <v>199</v>
      </c>
      <c r="C53" s="19" t="s">
        <v>869</v>
      </c>
      <c r="D53" s="19" t="s">
        <v>870</v>
      </c>
      <c r="E53" s="43">
        <v>0.667</v>
      </c>
      <c r="F53" s="43">
        <v>0.989</v>
      </c>
      <c r="G53" s="43">
        <v>0.5</v>
      </c>
      <c r="H53" s="43">
        <v>0.5</v>
      </c>
      <c r="I53" s="44" t="str">
        <f>IMAGE("https://drive.google.com/uc?export=view&amp;id=1eRWEttBG-CGgGH1metH8ziGpOIarDhyR")</f>
        <v/>
      </c>
      <c r="J53" s="19" t="s">
        <v>16</v>
      </c>
    </row>
    <row r="54" hidden="1">
      <c r="A54" s="43">
        <v>53.0</v>
      </c>
      <c r="B54" s="19" t="s">
        <v>202</v>
      </c>
      <c r="C54" s="19" t="s">
        <v>871</v>
      </c>
      <c r="D54" s="19" t="s">
        <v>872</v>
      </c>
      <c r="E54" s="43">
        <v>0.846</v>
      </c>
      <c r="F54" s="43">
        <v>0.847</v>
      </c>
      <c r="G54" s="43">
        <v>0.5</v>
      </c>
      <c r="H54" s="43">
        <v>1.0</v>
      </c>
      <c r="I54" s="44" t="str">
        <f>IMAGE("https://drive.google.com/uc?export=view&amp;id=1eN5cmyj-Sye-PXsRCyEPt90igXpcIIJi")</f>
        <v/>
      </c>
      <c r="J54" s="19" t="s">
        <v>16</v>
      </c>
    </row>
    <row r="55" hidden="1">
      <c r="A55" s="43">
        <v>54.0</v>
      </c>
      <c r="B55" s="19" t="s">
        <v>205</v>
      </c>
      <c r="C55" s="19" t="s">
        <v>873</v>
      </c>
      <c r="D55" s="19" t="s">
        <v>874</v>
      </c>
      <c r="E55" s="43">
        <v>0.214</v>
      </c>
      <c r="F55" s="43">
        <v>1.0</v>
      </c>
      <c r="G55" s="43">
        <v>1.0</v>
      </c>
      <c r="H55" s="43">
        <v>1.0</v>
      </c>
      <c r="I55" s="44" t="str">
        <f>IMAGE("https://drive.google.com/uc?export=view&amp;id=149XZKNH5LKzmk935YSeH30ShvO8jQGcu")</f>
        <v/>
      </c>
      <c r="J55" s="19" t="s">
        <v>16</v>
      </c>
    </row>
    <row r="56">
      <c r="A56" s="43">
        <v>55.0</v>
      </c>
      <c r="B56" s="19" t="s">
        <v>208</v>
      </c>
      <c r="C56" s="19" t="s">
        <v>875</v>
      </c>
      <c r="D56" s="19" t="s">
        <v>876</v>
      </c>
      <c r="E56" s="43">
        <v>0.529</v>
      </c>
      <c r="F56" s="43">
        <v>0.837</v>
      </c>
      <c r="G56" s="43">
        <v>1.0</v>
      </c>
      <c r="H56" s="43">
        <v>0.0</v>
      </c>
      <c r="I56" s="44" t="str">
        <f>IMAGE("https://drive.google.com/uc?export=view&amp;id=12Nsd1uHzFZ4XaJhcOjNiK4K_JkmQIhT7")</f>
        <v/>
      </c>
      <c r="J56" s="19" t="s">
        <v>16</v>
      </c>
    </row>
    <row r="57" hidden="1">
      <c r="A57" s="43">
        <v>56.0</v>
      </c>
      <c r="B57" s="19" t="s">
        <v>211</v>
      </c>
      <c r="C57" s="19" t="s">
        <v>877</v>
      </c>
      <c r="D57" s="19" t="s">
        <v>878</v>
      </c>
      <c r="E57" s="43">
        <v>1.0</v>
      </c>
      <c r="F57" s="43">
        <v>0.671</v>
      </c>
      <c r="G57" s="43">
        <v>1.0</v>
      </c>
      <c r="H57" s="43">
        <v>1.0</v>
      </c>
      <c r="I57" s="44" t="str">
        <f>IMAGE("https://drive.google.com/uc?export=view&amp;id=1JWNrdLJBzjMKcJVmAtw1BraIhTe2Im2T")</f>
        <v/>
      </c>
      <c r="J57" s="19" t="s">
        <v>16</v>
      </c>
    </row>
    <row r="58" hidden="1">
      <c r="A58" s="43">
        <v>57.0</v>
      </c>
      <c r="B58" s="19" t="s">
        <v>214</v>
      </c>
      <c r="C58" s="19" t="s">
        <v>879</v>
      </c>
      <c r="D58" s="19" t="s">
        <v>880</v>
      </c>
      <c r="E58" s="43">
        <v>1.0</v>
      </c>
      <c r="F58" s="43">
        <v>0.913</v>
      </c>
      <c r="G58" s="43">
        <v>0.583</v>
      </c>
      <c r="H58" s="43">
        <v>0.8</v>
      </c>
      <c r="I58" s="44" t="str">
        <f>IMAGE("https://drive.google.com/uc?export=view&amp;id=16BJFXenSheX_7Jh9yPHIUxkY8l-jnx40")</f>
        <v/>
      </c>
      <c r="J58" s="19" t="s">
        <v>16</v>
      </c>
    </row>
    <row r="59">
      <c r="A59" s="43">
        <v>58.0</v>
      </c>
      <c r="B59" s="19" t="s">
        <v>217</v>
      </c>
      <c r="C59" s="19" t="s">
        <v>881</v>
      </c>
      <c r="D59" s="19" t="s">
        <v>882</v>
      </c>
      <c r="E59" s="43">
        <v>0.875</v>
      </c>
      <c r="F59" s="43">
        <v>0.934</v>
      </c>
      <c r="G59" s="43">
        <v>0.0</v>
      </c>
      <c r="H59" s="43">
        <v>0.0</v>
      </c>
      <c r="I59" s="44" t="str">
        <f>IMAGE("https://drive.google.com/uc?export=view&amp;id=1zCucxEYHz_0VLNxnCc9VtjlO7CwWXZ_J")</f>
        <v/>
      </c>
      <c r="J59" s="19" t="s">
        <v>16</v>
      </c>
    </row>
    <row r="60" hidden="1">
      <c r="A60" s="43">
        <v>59.0</v>
      </c>
      <c r="B60" s="19" t="s">
        <v>220</v>
      </c>
      <c r="C60" s="19" t="s">
        <v>883</v>
      </c>
      <c r="D60" s="19" t="s">
        <v>884</v>
      </c>
      <c r="E60" s="43">
        <v>0.5</v>
      </c>
      <c r="F60" s="43">
        <v>0.767</v>
      </c>
      <c r="G60" s="43">
        <v>1.0</v>
      </c>
      <c r="H60" s="43">
        <v>0.857</v>
      </c>
      <c r="I60" s="44" t="str">
        <f>IMAGE("https://drive.google.com/uc?export=view&amp;id=1rhU1hefOTH4hY8P2Z0uRs5QoJPqbnd8f")</f>
        <v/>
      </c>
      <c r="J60" s="19" t="s">
        <v>16</v>
      </c>
    </row>
    <row r="61" hidden="1">
      <c r="A61" s="43">
        <v>60.0</v>
      </c>
      <c r="B61" s="19" t="s">
        <v>223</v>
      </c>
      <c r="C61" s="19" t="s">
        <v>885</v>
      </c>
      <c r="D61" s="19" t="s">
        <v>886</v>
      </c>
      <c r="E61" s="43">
        <v>0.789</v>
      </c>
      <c r="F61" s="43">
        <v>0.772</v>
      </c>
      <c r="G61" s="43">
        <v>1.0</v>
      </c>
      <c r="H61" s="43">
        <v>1.0</v>
      </c>
      <c r="I61" s="44" t="str">
        <f>IMAGE("https://drive.google.com/uc?export=view&amp;id=1HDYH6bbgi8laMWy__x3Ln_7ouahwAEIT")</f>
        <v/>
      </c>
      <c r="J61" s="19" t="s">
        <v>16</v>
      </c>
    </row>
    <row r="62">
      <c r="A62" s="43">
        <v>61.0</v>
      </c>
      <c r="B62" s="19" t="s">
        <v>226</v>
      </c>
      <c r="C62" s="19" t="s">
        <v>887</v>
      </c>
      <c r="D62" s="19" t="s">
        <v>888</v>
      </c>
      <c r="E62" s="43">
        <v>0.625</v>
      </c>
      <c r="F62" s="43">
        <v>0.998</v>
      </c>
      <c r="G62" s="43">
        <v>1.0</v>
      </c>
      <c r="H62" s="43">
        <v>0.5</v>
      </c>
      <c r="I62" s="44" t="str">
        <f>IMAGE("https://drive.google.com/uc?export=view&amp;id=1Ol4wX5WA0a_m9EOns0vrYMQUu3W-0Bhl")</f>
        <v/>
      </c>
      <c r="J62" s="19" t="s">
        <v>17</v>
      </c>
    </row>
    <row r="63" hidden="1">
      <c r="A63" s="43">
        <v>62.0</v>
      </c>
      <c r="B63" s="19" t="s">
        <v>229</v>
      </c>
      <c r="C63" s="19" t="s">
        <v>889</v>
      </c>
      <c r="D63" s="19" t="s">
        <v>890</v>
      </c>
      <c r="E63" s="43">
        <v>0.556</v>
      </c>
      <c r="F63" s="43">
        <v>0.0</v>
      </c>
      <c r="G63" s="43">
        <v>0.0</v>
      </c>
      <c r="H63" s="43">
        <v>0.6</v>
      </c>
      <c r="I63" s="44" t="str">
        <f>IMAGE("https://drive.google.com/uc?export=view&amp;id=1CN4899auXewQjP2K0kdu4r-AjG5qacZC")</f>
        <v/>
      </c>
      <c r="J63" s="19" t="s">
        <v>17</v>
      </c>
    </row>
    <row r="64">
      <c r="A64" s="43">
        <v>63.0</v>
      </c>
      <c r="B64" s="19" t="s">
        <v>232</v>
      </c>
      <c r="C64" s="19" t="s">
        <v>891</v>
      </c>
      <c r="D64" s="19" t="s">
        <v>892</v>
      </c>
      <c r="E64" s="43">
        <v>0.625</v>
      </c>
      <c r="F64" s="43">
        <v>0.992</v>
      </c>
      <c r="G64" s="43">
        <v>0.333</v>
      </c>
      <c r="H64" s="43">
        <v>0.2</v>
      </c>
      <c r="I64" s="44" t="str">
        <f>IMAGE("https://drive.google.com/uc?export=view&amp;id=1KH74X5cvN56sakPCgD8poS5NSrLs7cmP")</f>
        <v/>
      </c>
      <c r="J64" s="19" t="s">
        <v>17</v>
      </c>
    </row>
    <row r="65" hidden="1">
      <c r="A65" s="43">
        <v>64.0</v>
      </c>
      <c r="B65" s="19" t="s">
        <v>235</v>
      </c>
      <c r="C65" s="19" t="s">
        <v>893</v>
      </c>
      <c r="D65" s="19" t="s">
        <v>894</v>
      </c>
      <c r="E65" s="43">
        <v>0.8</v>
      </c>
      <c r="F65" s="43">
        <v>0.993</v>
      </c>
      <c r="G65" s="43">
        <v>1.0</v>
      </c>
      <c r="H65" s="43">
        <v>0.833</v>
      </c>
      <c r="I65" s="44" t="str">
        <f>IMAGE("https://drive.google.com/uc?export=view&amp;id=1pcXyx9GoCrRLTTm-L2P-G_LeyS0zXini")</f>
        <v/>
      </c>
      <c r="J65" s="19" t="s">
        <v>17</v>
      </c>
    </row>
    <row r="66" hidden="1">
      <c r="A66" s="43">
        <v>65.0</v>
      </c>
      <c r="B66" s="19" t="s">
        <v>238</v>
      </c>
      <c r="C66" s="19" t="s">
        <v>895</v>
      </c>
      <c r="D66" s="19" t="s">
        <v>896</v>
      </c>
      <c r="E66" s="43">
        <v>0.833</v>
      </c>
      <c r="F66" s="43">
        <v>0.837</v>
      </c>
      <c r="G66" s="43">
        <v>1.0</v>
      </c>
      <c r="H66" s="43">
        <v>0.75</v>
      </c>
      <c r="I66" s="44" t="str">
        <f>IMAGE("https://drive.google.com/uc?export=view&amp;id=1Y55s46RiOR4trZvlGyKCRfgS06GuyIFP")</f>
        <v/>
      </c>
      <c r="J66" s="19" t="s">
        <v>17</v>
      </c>
    </row>
    <row r="67">
      <c r="A67" s="43">
        <v>66.0</v>
      </c>
      <c r="B67" s="19" t="s">
        <v>241</v>
      </c>
      <c r="C67" s="19" t="s">
        <v>897</v>
      </c>
      <c r="D67" s="19" t="s">
        <v>898</v>
      </c>
      <c r="E67" s="43">
        <v>0.875</v>
      </c>
      <c r="F67" s="43">
        <v>0.0</v>
      </c>
      <c r="G67" s="43">
        <v>0.0</v>
      </c>
      <c r="H67" s="43">
        <v>0.4</v>
      </c>
      <c r="I67" s="44" t="str">
        <f>IMAGE("https://drive.google.com/uc?export=view&amp;id=1LLGLggh50LBlIZI6kdbTbUIAOg5zFz1Y")</f>
        <v/>
      </c>
      <c r="J67" s="19" t="s">
        <v>17</v>
      </c>
    </row>
    <row r="68" hidden="1">
      <c r="A68" s="43">
        <v>67.0</v>
      </c>
      <c r="B68" s="19" t="s">
        <v>244</v>
      </c>
      <c r="C68" s="19" t="s">
        <v>899</v>
      </c>
      <c r="D68" s="19" t="s">
        <v>900</v>
      </c>
      <c r="E68" s="43">
        <v>0.875</v>
      </c>
      <c r="F68" s="43">
        <v>0.724</v>
      </c>
      <c r="G68" s="43">
        <v>0.0</v>
      </c>
      <c r="H68" s="43">
        <v>1.0</v>
      </c>
      <c r="I68" s="44" t="str">
        <f>IMAGE("https://drive.google.com/uc?export=view&amp;id=1wa2HRw412fvcRr3HOuzir9xfMgI8JtZw")</f>
        <v/>
      </c>
      <c r="J68" s="19" t="s">
        <v>17</v>
      </c>
    </row>
    <row r="69" hidden="1">
      <c r="A69" s="43">
        <v>68.0</v>
      </c>
      <c r="B69" s="19" t="s">
        <v>247</v>
      </c>
      <c r="C69" s="19" t="s">
        <v>901</v>
      </c>
      <c r="D69" s="19" t="s">
        <v>902</v>
      </c>
      <c r="E69" s="43">
        <v>0.556</v>
      </c>
      <c r="F69" s="43">
        <v>0.99</v>
      </c>
      <c r="G69" s="43">
        <v>1.0</v>
      </c>
      <c r="H69" s="43">
        <v>0.8</v>
      </c>
      <c r="I69" s="44" t="str">
        <f>IMAGE("https://drive.google.com/uc?export=view&amp;id=1tTSgdU_LCdDYaB5L3BbIoGSMpVdNCiaP")</f>
        <v/>
      </c>
      <c r="J69" s="19" t="s">
        <v>17</v>
      </c>
    </row>
    <row r="70">
      <c r="A70" s="43">
        <v>69.0</v>
      </c>
      <c r="B70" s="19" t="s">
        <v>253</v>
      </c>
      <c r="C70" s="19" t="s">
        <v>903</v>
      </c>
      <c r="D70" s="19" t="s">
        <v>904</v>
      </c>
      <c r="E70" s="43">
        <v>0.846</v>
      </c>
      <c r="F70" s="43">
        <v>0.0</v>
      </c>
      <c r="G70" s="43">
        <v>0.0</v>
      </c>
      <c r="H70" s="43">
        <v>0.143</v>
      </c>
      <c r="I70" s="44" t="str">
        <f>IMAGE("https://drive.google.com/uc?export=view&amp;id=1a6Zn7omks5pgSzuBD3Nd_x2bjbbchHc6")</f>
        <v/>
      </c>
      <c r="J70" s="19" t="s">
        <v>17</v>
      </c>
    </row>
    <row r="71" hidden="1">
      <c r="A71" s="43">
        <v>70.0</v>
      </c>
      <c r="B71" s="19" t="s">
        <v>256</v>
      </c>
      <c r="C71" s="19" t="s">
        <v>905</v>
      </c>
      <c r="D71" s="19" t="s">
        <v>906</v>
      </c>
      <c r="E71" s="43">
        <v>0.714</v>
      </c>
      <c r="F71" s="43">
        <v>1.0</v>
      </c>
      <c r="G71" s="43">
        <v>1.0</v>
      </c>
      <c r="H71" s="43">
        <v>1.0</v>
      </c>
      <c r="I71" s="44" t="str">
        <f>IMAGE("https://drive.google.com/uc?export=view&amp;id=1Gqj31IWJh70y3Svoei5RATSRNahkHYDQ")</f>
        <v/>
      </c>
      <c r="J71" s="19" t="s">
        <v>17</v>
      </c>
    </row>
    <row r="72">
      <c r="A72" s="43">
        <v>71.0</v>
      </c>
      <c r="B72" s="19" t="s">
        <v>259</v>
      </c>
      <c r="C72" s="19" t="s">
        <v>907</v>
      </c>
      <c r="D72" s="19" t="s">
        <v>908</v>
      </c>
      <c r="E72" s="43">
        <v>0.647</v>
      </c>
      <c r="F72" s="43">
        <v>1.0</v>
      </c>
      <c r="G72" s="43">
        <v>1.0</v>
      </c>
      <c r="H72" s="43">
        <v>0.4</v>
      </c>
      <c r="I72" s="44" t="str">
        <f>IMAGE("https://drive.google.com/uc?export=view&amp;id=17Tynj0eWp4g1za_tot9rF_2WiNjIyzNs")</f>
        <v/>
      </c>
      <c r="J72" s="19" t="s">
        <v>17</v>
      </c>
    </row>
    <row r="73" hidden="1">
      <c r="A73" s="43">
        <v>72.0</v>
      </c>
      <c r="B73" s="19" t="s">
        <v>262</v>
      </c>
      <c r="C73" s="19" t="s">
        <v>909</v>
      </c>
      <c r="D73" s="19" t="s">
        <v>910</v>
      </c>
      <c r="E73" s="43">
        <v>0.286</v>
      </c>
      <c r="F73" s="43">
        <v>0.893</v>
      </c>
      <c r="G73" s="43">
        <v>0.833</v>
      </c>
      <c r="H73" s="43">
        <v>1.0</v>
      </c>
      <c r="I73" s="44" t="str">
        <f>IMAGE("https://drive.google.com/uc?export=view&amp;id=12nKLlr5AhITsYG3bp4lPj4F4-fCfg6SP")</f>
        <v/>
      </c>
      <c r="J73" s="19" t="s">
        <v>17</v>
      </c>
    </row>
    <row r="74" hidden="1">
      <c r="A74" s="43">
        <v>73.0</v>
      </c>
      <c r="B74" s="19" t="s">
        <v>268</v>
      </c>
      <c r="C74" s="19" t="s">
        <v>911</v>
      </c>
      <c r="D74" s="19" t="s">
        <v>912</v>
      </c>
      <c r="E74" s="43">
        <v>1.0</v>
      </c>
      <c r="F74" s="43">
        <v>0.764</v>
      </c>
      <c r="G74" s="43">
        <v>1.0</v>
      </c>
      <c r="H74" s="43">
        <v>1.0</v>
      </c>
      <c r="I74" s="44" t="str">
        <f>IMAGE("https://drive.google.com/uc?export=view&amp;id=1pa2Nj6dFbeUAL__w_BO83B3EW1bL1QCG")</f>
        <v/>
      </c>
      <c r="J74" s="19" t="s">
        <v>17</v>
      </c>
    </row>
    <row r="75">
      <c r="A75" s="43">
        <v>74.0</v>
      </c>
      <c r="B75" s="19" t="s">
        <v>265</v>
      </c>
      <c r="C75" s="19" t="s">
        <v>913</v>
      </c>
      <c r="D75" s="19" t="s">
        <v>914</v>
      </c>
      <c r="E75" s="43">
        <v>0.692</v>
      </c>
      <c r="F75" s="43">
        <v>0.996</v>
      </c>
      <c r="G75" s="43">
        <v>1.0</v>
      </c>
      <c r="H75" s="43">
        <v>0.25</v>
      </c>
      <c r="I75" s="44" t="str">
        <f>IMAGE("https://drive.google.com/uc?export=view&amp;id=1-8qOT0Dn2g4TudZRtROB0_sBVPl_XjQa")</f>
        <v/>
      </c>
      <c r="J75" s="19" t="s">
        <v>17</v>
      </c>
    </row>
    <row r="76" hidden="1">
      <c r="A76" s="43">
        <v>75.0</v>
      </c>
      <c r="B76" s="19" t="s">
        <v>250</v>
      </c>
      <c r="C76" s="19" t="s">
        <v>915</v>
      </c>
      <c r="D76" s="19" t="s">
        <v>916</v>
      </c>
      <c r="E76" s="43">
        <v>1.0</v>
      </c>
      <c r="F76" s="43">
        <v>0.862</v>
      </c>
      <c r="G76" s="43">
        <v>1.0</v>
      </c>
      <c r="H76" s="43">
        <v>1.0</v>
      </c>
      <c r="I76" s="44" t="str">
        <f>IMAGE("https://drive.google.com/uc?export=view&amp;id=10grtAqu12-TJDJhE3UhqZFy_mAJ_nQgr")</f>
        <v/>
      </c>
      <c r="J76" s="19" t="s">
        <v>17</v>
      </c>
    </row>
    <row r="77" hidden="1">
      <c r="A77" s="43">
        <v>76.0</v>
      </c>
      <c r="B77" s="19" t="s">
        <v>271</v>
      </c>
      <c r="C77" s="19" t="s">
        <v>917</v>
      </c>
      <c r="D77" s="19" t="s">
        <v>918</v>
      </c>
      <c r="E77" s="43">
        <v>0.625</v>
      </c>
      <c r="F77" s="43">
        <v>0.906</v>
      </c>
      <c r="G77" s="43">
        <v>1.0</v>
      </c>
      <c r="H77" s="43">
        <v>1.0</v>
      </c>
      <c r="I77" s="44" t="str">
        <f>IMAGE("https://drive.google.com/uc?export=view&amp;id=1CC2zcYQ1G1Df1VUvvZ5vOIbKjbEXz9UL")</f>
        <v/>
      </c>
      <c r="J77" s="19" t="s">
        <v>17</v>
      </c>
    </row>
    <row r="78" hidden="1">
      <c r="A78" s="43">
        <v>77.0</v>
      </c>
      <c r="B78" s="19" t="s">
        <v>274</v>
      </c>
      <c r="C78" s="19" t="s">
        <v>919</v>
      </c>
      <c r="D78" s="19" t="s">
        <v>920</v>
      </c>
      <c r="E78" s="43">
        <v>1.0</v>
      </c>
      <c r="F78" s="43">
        <v>0.986</v>
      </c>
      <c r="G78" s="43">
        <v>0.583</v>
      </c>
      <c r="H78" s="43">
        <v>1.0</v>
      </c>
      <c r="I78" s="44" t="str">
        <f>IMAGE("https://drive.google.com/uc?export=view&amp;id=1qyz_6imADjBk6I5mwtLi6eXLKqTeToDh")</f>
        <v/>
      </c>
      <c r="J78" s="19" t="s">
        <v>17</v>
      </c>
    </row>
    <row r="79" hidden="1">
      <c r="A79" s="43">
        <v>78.0</v>
      </c>
      <c r="B79" s="19" t="s">
        <v>277</v>
      </c>
      <c r="C79" s="19" t="s">
        <v>921</v>
      </c>
      <c r="D79" s="19" t="s">
        <v>922</v>
      </c>
      <c r="E79" s="43">
        <v>0.667</v>
      </c>
      <c r="F79" s="43">
        <v>0.955</v>
      </c>
      <c r="G79" s="43">
        <v>0.0</v>
      </c>
      <c r="H79" s="43">
        <v>1.0</v>
      </c>
      <c r="I79" s="44" t="str">
        <f>IMAGE("https://drive.google.com/uc?export=view&amp;id=11KtXyO1i_P-iN_KlwepJzAgyQUq1SFIP")</f>
        <v/>
      </c>
      <c r="J79" s="19" t="s">
        <v>17</v>
      </c>
    </row>
    <row r="80">
      <c r="A80" s="43">
        <v>79.0</v>
      </c>
      <c r="B80" s="19" t="s">
        <v>280</v>
      </c>
      <c r="C80" s="19" t="s">
        <v>923</v>
      </c>
      <c r="D80" s="19" t="s">
        <v>924</v>
      </c>
      <c r="E80" s="43">
        <v>0.5</v>
      </c>
      <c r="F80" s="43">
        <v>0.727</v>
      </c>
      <c r="G80" s="43">
        <v>1.0</v>
      </c>
      <c r="H80" s="43">
        <v>0.2</v>
      </c>
      <c r="I80" s="44" t="str">
        <f>IMAGE("https://drive.google.com/uc?export=view&amp;id=1LohwVOmtjTejMi6SmrpGgWfMXG_ujspB")</f>
        <v/>
      </c>
      <c r="J80" s="19" t="s">
        <v>17</v>
      </c>
    </row>
    <row r="81" hidden="1">
      <c r="A81" s="43">
        <v>80.0</v>
      </c>
      <c r="B81" s="19" t="s">
        <v>283</v>
      </c>
      <c r="C81" s="19" t="s">
        <v>925</v>
      </c>
      <c r="D81" s="19" t="s">
        <v>926</v>
      </c>
      <c r="E81" s="43">
        <v>0.7</v>
      </c>
      <c r="F81" s="43">
        <v>1.0</v>
      </c>
      <c r="G81" s="43">
        <v>1.0</v>
      </c>
      <c r="H81" s="43">
        <v>0.8</v>
      </c>
      <c r="I81" s="44" t="str">
        <f>IMAGE("https://drive.google.com/uc?export=view&amp;id=1J7Fqqfq9MlntuX2IxCfOJsst9saFwYj_")</f>
        <v/>
      </c>
      <c r="J81" s="19" t="s">
        <v>17</v>
      </c>
    </row>
  </sheetData>
  <autoFilter ref="$A$1:$J$81">
    <filterColumn colId="7">
      <customFilters>
        <customFilter operator="lessThanOrEqual" val="0.5"/>
      </customFilters>
    </filterColumn>
  </autoFilter>
  <dataValidations>
    <dataValidation type="list" allowBlank="1" showErrorMessage="1" sqref="J2:J81">
      <formula1>"Trend Analysis ,Gap Detection,Evidence-based QA,Comparative Synthesis"</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13"/>
    <col customWidth="1" min="2" max="2" width="23.38"/>
    <col customWidth="1" min="3" max="3" width="37.63"/>
    <col customWidth="1" min="4" max="4" width="21.25"/>
    <col customWidth="1" min="5" max="5" width="15.75"/>
    <col customWidth="1" min="6" max="6" width="23.75"/>
    <col customWidth="1" min="7" max="7" width="21.88"/>
    <col customWidth="1" min="8" max="8" width="15.75"/>
    <col customWidth="1" min="9" max="9" width="77.13"/>
    <col customWidth="1" min="10" max="10" width="45.38"/>
  </cols>
  <sheetData>
    <row r="1">
      <c r="A1" s="41" t="s">
        <v>41</v>
      </c>
      <c r="B1" s="32" t="s">
        <v>42</v>
      </c>
      <c r="C1" s="32" t="s">
        <v>43</v>
      </c>
      <c r="D1" s="41" t="s">
        <v>44</v>
      </c>
      <c r="E1" s="32" t="s">
        <v>3</v>
      </c>
      <c r="F1" s="32" t="s">
        <v>4</v>
      </c>
      <c r="G1" s="32" t="s">
        <v>5</v>
      </c>
      <c r="H1" s="32" t="s">
        <v>6</v>
      </c>
      <c r="I1" s="41" t="s">
        <v>45</v>
      </c>
      <c r="J1" s="19" t="s">
        <v>1406</v>
      </c>
    </row>
    <row r="2">
      <c r="A2" s="49">
        <v>1.0</v>
      </c>
      <c r="B2" s="37" t="s">
        <v>46</v>
      </c>
      <c r="C2" s="37" t="s">
        <v>927</v>
      </c>
      <c r="D2" s="47" t="s">
        <v>928</v>
      </c>
      <c r="E2" s="49">
        <v>0.615</v>
      </c>
      <c r="F2" s="49">
        <v>0.969</v>
      </c>
      <c r="G2" s="49">
        <v>1.0</v>
      </c>
      <c r="H2" s="49">
        <v>0.833</v>
      </c>
      <c r="I2" s="44" t="str">
        <f>IMAGE("https://drive.google.com/uc?export=view&amp;id=18lTJiiu7JcDjbUYrM9YeUpnfOO7882If")</f>
        <v/>
      </c>
      <c r="J2" s="19" t="s">
        <v>14</v>
      </c>
    </row>
    <row r="3">
      <c r="A3" s="49">
        <v>2.0</v>
      </c>
      <c r="B3" s="37" t="s">
        <v>49</v>
      </c>
      <c r="C3" s="37" t="s">
        <v>929</v>
      </c>
      <c r="D3" s="47" t="s">
        <v>930</v>
      </c>
      <c r="E3" s="49">
        <v>0.636</v>
      </c>
      <c r="F3" s="49">
        <v>0.994</v>
      </c>
      <c r="G3" s="49">
        <v>0.95</v>
      </c>
      <c r="H3" s="49">
        <v>0.0</v>
      </c>
      <c r="I3" s="44" t="str">
        <f>IMAGE("https://drive.google.com/uc?export=view&amp;id=14oz2lb2aZjha-5E5VrnwpQkOcCbgmQOm")</f>
        <v/>
      </c>
      <c r="J3" s="19" t="s">
        <v>14</v>
      </c>
    </row>
    <row r="4">
      <c r="A4" s="49">
        <v>3.0</v>
      </c>
      <c r="B4" s="37" t="s">
        <v>52</v>
      </c>
      <c r="C4" s="37" t="s">
        <v>931</v>
      </c>
      <c r="D4" s="47" t="s">
        <v>932</v>
      </c>
      <c r="E4" s="49">
        <v>0.867</v>
      </c>
      <c r="F4" s="49">
        <v>0.889</v>
      </c>
      <c r="G4" s="49">
        <v>1.0</v>
      </c>
      <c r="H4" s="49">
        <v>0.167</v>
      </c>
      <c r="I4" s="44" t="str">
        <f>IMAGE("https://drive.google.com/uc?export=view&amp;id=13RgsPMzP6lrit8Ym4p8ZGjKnwoqoNNsY")</f>
        <v/>
      </c>
      <c r="J4" s="19" t="s">
        <v>14</v>
      </c>
    </row>
    <row r="5">
      <c r="A5" s="49">
        <v>4.0</v>
      </c>
      <c r="B5" s="37" t="s">
        <v>55</v>
      </c>
      <c r="C5" s="37" t="s">
        <v>933</v>
      </c>
      <c r="D5" s="47" t="s">
        <v>934</v>
      </c>
      <c r="E5" s="49">
        <v>1.0</v>
      </c>
      <c r="F5" s="49">
        <v>1.0</v>
      </c>
      <c r="G5" s="49">
        <v>1.0</v>
      </c>
      <c r="H5" s="49">
        <v>0.667</v>
      </c>
      <c r="I5" s="44" t="str">
        <f>IMAGE("https://drive.google.com/uc?export=view&amp;id=1Bc_QYAfpauaa0lCnjngEjjVdermlbqJU")</f>
        <v/>
      </c>
      <c r="J5" s="19" t="s">
        <v>14</v>
      </c>
    </row>
    <row r="6">
      <c r="A6" s="49">
        <v>5.0</v>
      </c>
      <c r="B6" s="37" t="s">
        <v>58</v>
      </c>
      <c r="C6" s="37" t="s">
        <v>935</v>
      </c>
      <c r="D6" s="47" t="s">
        <v>936</v>
      </c>
      <c r="E6" s="49">
        <v>0.75</v>
      </c>
      <c r="F6" s="49">
        <v>0.876</v>
      </c>
      <c r="G6" s="49">
        <v>1.0</v>
      </c>
      <c r="H6" s="49">
        <v>1.0</v>
      </c>
      <c r="I6" s="44" t="str">
        <f>IMAGE("https://drive.google.com/uc?export=view&amp;id=10unCpBKBqig_6AGWyG4ePEKr7GYhmld-")</f>
        <v/>
      </c>
      <c r="J6" s="19" t="s">
        <v>14</v>
      </c>
    </row>
    <row r="7">
      <c r="A7" s="49">
        <v>6.0</v>
      </c>
      <c r="B7" s="37" t="s">
        <v>61</v>
      </c>
      <c r="C7" s="37" t="s">
        <v>937</v>
      </c>
      <c r="D7" s="47" t="s">
        <v>938</v>
      </c>
      <c r="E7" s="49">
        <v>1.0</v>
      </c>
      <c r="F7" s="49">
        <v>0.989</v>
      </c>
      <c r="G7" s="49">
        <v>1.0</v>
      </c>
      <c r="H7" s="49">
        <v>0.833</v>
      </c>
      <c r="I7" s="44" t="str">
        <f>IMAGE("https://drive.google.com/uc?export=view&amp;id=1uHKdG2xnoP0o2ggbH9y5dU_GhKEd4x-A")</f>
        <v/>
      </c>
      <c r="J7" s="19" t="s">
        <v>14</v>
      </c>
    </row>
    <row r="8">
      <c r="A8" s="49">
        <v>7.0</v>
      </c>
      <c r="B8" s="37" t="s">
        <v>64</v>
      </c>
      <c r="C8" s="37" t="s">
        <v>939</v>
      </c>
      <c r="D8" s="47" t="s">
        <v>940</v>
      </c>
      <c r="E8" s="49">
        <v>0.9</v>
      </c>
      <c r="F8" s="49">
        <v>0.711</v>
      </c>
      <c r="G8" s="49">
        <v>0.478</v>
      </c>
      <c r="H8" s="49">
        <v>0.2</v>
      </c>
      <c r="I8" s="44" t="str">
        <f>IMAGE("https://drive.google.com/uc?export=view&amp;id=16BzSGCFfXduoqJGZiot9U2RVdBDYvxTi")</f>
        <v/>
      </c>
      <c r="J8" s="19" t="s">
        <v>14</v>
      </c>
    </row>
    <row r="9">
      <c r="A9" s="49">
        <v>8.0</v>
      </c>
      <c r="B9" s="37" t="s">
        <v>67</v>
      </c>
      <c r="C9" s="37" t="s">
        <v>941</v>
      </c>
      <c r="D9" s="47" t="s">
        <v>942</v>
      </c>
      <c r="E9" s="49">
        <v>0.931</v>
      </c>
      <c r="F9" s="49">
        <v>0.842</v>
      </c>
      <c r="G9" s="49">
        <v>1.0</v>
      </c>
      <c r="H9" s="49">
        <v>0.6</v>
      </c>
      <c r="I9" s="44" t="str">
        <f>IMAGE("https://drive.google.com/uc?export=view&amp;id=1-Cmmnso1qwh7Ir_pHVm7ISTaFFcTACRh")</f>
        <v/>
      </c>
      <c r="J9" s="19" t="s">
        <v>14</v>
      </c>
    </row>
    <row r="10">
      <c r="A10" s="49">
        <v>9.0</v>
      </c>
      <c r="B10" s="37" t="s">
        <v>70</v>
      </c>
      <c r="C10" s="37" t="s">
        <v>943</v>
      </c>
      <c r="D10" s="47" t="s">
        <v>944</v>
      </c>
      <c r="E10" s="49">
        <v>0.417</v>
      </c>
      <c r="F10" s="49">
        <v>0.874</v>
      </c>
      <c r="G10" s="49">
        <v>1.0</v>
      </c>
      <c r="H10" s="49">
        <v>0.2</v>
      </c>
      <c r="I10" s="44" t="str">
        <f>IMAGE("https://drive.google.com/uc?export=view&amp;id=1gBb8ws7EtW_CyGYnxtgxyJQYNQ9MhtCU")</f>
        <v/>
      </c>
      <c r="J10" s="19" t="s">
        <v>14</v>
      </c>
    </row>
    <row r="11">
      <c r="A11" s="49">
        <v>10.0</v>
      </c>
      <c r="B11" s="37" t="s">
        <v>73</v>
      </c>
      <c r="C11" s="37" t="s">
        <v>945</v>
      </c>
      <c r="D11" s="47" t="s">
        <v>946</v>
      </c>
      <c r="E11" s="49">
        <v>0.7</v>
      </c>
      <c r="F11" s="49">
        <v>0.876</v>
      </c>
      <c r="G11" s="49">
        <v>0.0</v>
      </c>
      <c r="H11" s="49">
        <v>0.8</v>
      </c>
      <c r="I11" s="44" t="str">
        <f>IMAGE("https://drive.google.com/uc?export=view&amp;id=1Dv6aLHEK7oThahA3cUPMw0Oe65p29aWK")</f>
        <v/>
      </c>
      <c r="J11" s="19" t="s">
        <v>14</v>
      </c>
    </row>
    <row r="12">
      <c r="A12" s="49">
        <v>11.0</v>
      </c>
      <c r="B12" s="37" t="s">
        <v>76</v>
      </c>
      <c r="C12" s="37" t="s">
        <v>947</v>
      </c>
      <c r="D12" s="47" t="s">
        <v>948</v>
      </c>
      <c r="E12" s="49">
        <v>0.733</v>
      </c>
      <c r="F12" s="49">
        <v>0.741</v>
      </c>
      <c r="G12" s="49">
        <v>1.0</v>
      </c>
      <c r="H12" s="49">
        <v>1.0</v>
      </c>
      <c r="I12" s="44" t="str">
        <f>IMAGE("https://drive.google.com/uc?export=view&amp;id=1XdMg5_bhM4eZQ9kxfPhqUx-pqXZJx-R_")</f>
        <v/>
      </c>
      <c r="J12" s="19" t="s">
        <v>14</v>
      </c>
    </row>
    <row r="13">
      <c r="A13" s="49">
        <v>12.0</v>
      </c>
      <c r="B13" s="37" t="s">
        <v>79</v>
      </c>
      <c r="C13" s="37" t="s">
        <v>949</v>
      </c>
      <c r="D13" s="47" t="s">
        <v>950</v>
      </c>
      <c r="E13" s="49">
        <v>0.938</v>
      </c>
      <c r="F13" s="49">
        <v>1.0</v>
      </c>
      <c r="G13" s="49">
        <v>0.95</v>
      </c>
      <c r="H13" s="49">
        <v>0.8</v>
      </c>
      <c r="I13" s="44" t="str">
        <f>IMAGE("https://drive.google.com/uc?export=view&amp;id=1kYcEmSygLNlsxSIBSI8L-szZDQ72RETJ")</f>
        <v/>
      </c>
      <c r="J13" s="19" t="s">
        <v>14</v>
      </c>
    </row>
    <row r="14">
      <c r="A14" s="49">
        <v>13.0</v>
      </c>
      <c r="B14" s="37" t="s">
        <v>82</v>
      </c>
      <c r="C14" s="37" t="s">
        <v>951</v>
      </c>
      <c r="D14" s="47" t="s">
        <v>952</v>
      </c>
      <c r="E14" s="49">
        <v>1.0</v>
      </c>
      <c r="F14" s="49">
        <v>0.791</v>
      </c>
      <c r="G14" s="49">
        <v>1.0</v>
      </c>
      <c r="H14" s="49">
        <v>1.0</v>
      </c>
      <c r="I14" s="44" t="str">
        <f>IMAGE("https://drive.google.com/uc?export=view&amp;id=1unMd-u7Ca4m3xRNlgb6oi-UWettuEtE6")</f>
        <v/>
      </c>
      <c r="J14" s="19" t="s">
        <v>14</v>
      </c>
    </row>
    <row r="15">
      <c r="A15" s="49">
        <v>14.0</v>
      </c>
      <c r="B15" s="37" t="s">
        <v>85</v>
      </c>
      <c r="C15" s="37" t="s">
        <v>953</v>
      </c>
      <c r="D15" s="47" t="s">
        <v>954</v>
      </c>
      <c r="E15" s="49">
        <v>1.0</v>
      </c>
      <c r="F15" s="49">
        <v>0.987</v>
      </c>
      <c r="G15" s="49">
        <v>1.0</v>
      </c>
      <c r="H15" s="49">
        <v>0.8</v>
      </c>
      <c r="I15" s="44" t="str">
        <f>IMAGE("https://drive.google.com/uc?export=view&amp;id=1HIJ1dim8BRjWh5EhqA0uTMQDhFw--qZh")</f>
        <v/>
      </c>
      <c r="J15" s="19" t="s">
        <v>14</v>
      </c>
    </row>
    <row r="16">
      <c r="A16" s="49">
        <v>15.0</v>
      </c>
      <c r="B16" s="37" t="s">
        <v>88</v>
      </c>
      <c r="C16" s="37" t="s">
        <v>955</v>
      </c>
      <c r="D16" s="47" t="s">
        <v>956</v>
      </c>
      <c r="E16" s="49">
        <v>0.688</v>
      </c>
      <c r="F16" s="49">
        <v>0.721</v>
      </c>
      <c r="G16" s="49">
        <v>1.0</v>
      </c>
      <c r="H16" s="49">
        <v>1.0</v>
      </c>
      <c r="I16" s="44" t="str">
        <f>IMAGE("https://drive.google.com/uc?export=view&amp;id=1AjG8k-8wSdxSLWpHNEgU9vh2VMhwXduJ")</f>
        <v/>
      </c>
      <c r="J16" s="19" t="s">
        <v>14</v>
      </c>
    </row>
    <row r="17">
      <c r="A17" s="49">
        <v>16.0</v>
      </c>
      <c r="B17" s="37" t="s">
        <v>91</v>
      </c>
      <c r="C17" s="37" t="s">
        <v>957</v>
      </c>
      <c r="D17" s="47" t="s">
        <v>958</v>
      </c>
      <c r="E17" s="49">
        <v>0.5</v>
      </c>
      <c r="F17" s="49">
        <v>0.827</v>
      </c>
      <c r="G17" s="49">
        <v>0.867</v>
      </c>
      <c r="H17" s="49">
        <v>1.0</v>
      </c>
      <c r="I17" s="44" t="str">
        <f>IMAGE("https://drive.google.com/uc?export=view&amp;id=18x7iF4biX8wd-fWs7mWtj5ZmyC1Z4Fek")</f>
        <v/>
      </c>
      <c r="J17" s="19" t="s">
        <v>14</v>
      </c>
    </row>
    <row r="18">
      <c r="A18" s="49">
        <v>17.0</v>
      </c>
      <c r="B18" s="37" t="s">
        <v>94</v>
      </c>
      <c r="C18" s="37" t="s">
        <v>959</v>
      </c>
      <c r="D18" s="47" t="s">
        <v>960</v>
      </c>
      <c r="E18" s="49">
        <v>0.462</v>
      </c>
      <c r="F18" s="49">
        <v>0.912</v>
      </c>
      <c r="G18" s="49">
        <v>1.0</v>
      </c>
      <c r="H18" s="49">
        <v>0.286</v>
      </c>
      <c r="I18" s="44" t="str">
        <f>IMAGE("https://drive.google.com/uc?export=view&amp;id=1CVx1t0gqwd4kbgOX6WZNWgr-PLQFbK6B")</f>
        <v/>
      </c>
      <c r="J18" s="19" t="s">
        <v>14</v>
      </c>
    </row>
    <row r="19">
      <c r="A19" s="49">
        <v>18.0</v>
      </c>
      <c r="B19" s="37" t="s">
        <v>97</v>
      </c>
      <c r="C19" s="37" t="s">
        <v>961</v>
      </c>
      <c r="D19" s="47" t="s">
        <v>962</v>
      </c>
      <c r="E19" s="49">
        <v>1.0</v>
      </c>
      <c r="F19" s="49">
        <v>0.886</v>
      </c>
      <c r="G19" s="49">
        <v>0.5</v>
      </c>
      <c r="H19" s="49">
        <v>0.286</v>
      </c>
      <c r="I19" s="44" t="str">
        <f>IMAGE("https://drive.google.com/uc?export=view&amp;id=1FqMLXWWx0kPLk6KOt7GEnhCl63-cS6uM")</f>
        <v/>
      </c>
      <c r="J19" s="19" t="s">
        <v>14</v>
      </c>
    </row>
    <row r="20">
      <c r="A20" s="49">
        <v>19.0</v>
      </c>
      <c r="B20" s="37" t="s">
        <v>100</v>
      </c>
      <c r="C20" s="37" t="s">
        <v>963</v>
      </c>
      <c r="D20" s="47" t="s">
        <v>964</v>
      </c>
      <c r="E20" s="49">
        <v>0.955</v>
      </c>
      <c r="F20" s="49">
        <v>0.784</v>
      </c>
      <c r="G20" s="49">
        <v>1.0</v>
      </c>
      <c r="H20" s="49">
        <v>1.0</v>
      </c>
      <c r="I20" s="44" t="str">
        <f>IMAGE("https://drive.google.com/uc?export=view&amp;id=1K3lGRViw-G41fpgnhM_j-9RHMQCmtD3x")</f>
        <v/>
      </c>
      <c r="J20" s="19" t="s">
        <v>14</v>
      </c>
    </row>
    <row r="21">
      <c r="A21" s="49">
        <v>20.0</v>
      </c>
      <c r="B21" s="37" t="s">
        <v>115</v>
      </c>
      <c r="C21" s="37" t="s">
        <v>965</v>
      </c>
      <c r="D21" s="47" t="s">
        <v>966</v>
      </c>
      <c r="E21" s="49">
        <v>0.733</v>
      </c>
      <c r="F21" s="49">
        <v>0.979</v>
      </c>
      <c r="G21" s="49">
        <v>1.0</v>
      </c>
      <c r="H21" s="49">
        <v>0.8</v>
      </c>
      <c r="I21" s="44" t="str">
        <f>IMAGE("https://drive.google.com/uc?export=view&amp;id=1f7T1Kb2mmg_zNrq8lE7ZnIGvhK4gq5Qp")</f>
        <v/>
      </c>
      <c r="J21" s="19" t="s">
        <v>14</v>
      </c>
    </row>
    <row r="22">
      <c r="A22" s="49">
        <v>21.0</v>
      </c>
      <c r="B22" s="37" t="s">
        <v>103</v>
      </c>
      <c r="C22" s="37" t="s">
        <v>967</v>
      </c>
      <c r="D22" s="47" t="s">
        <v>968</v>
      </c>
      <c r="E22" s="49">
        <v>1.0</v>
      </c>
      <c r="F22" s="49">
        <v>0.976</v>
      </c>
      <c r="G22" s="49">
        <v>1.0</v>
      </c>
      <c r="H22" s="49">
        <v>0.8</v>
      </c>
      <c r="I22" s="44" t="str">
        <f>IMAGE("https://drive.google.com/uc?export=view&amp;id=1dGbB1D5iSk7KQhQJvVLbn1RKf6kr-Eh2")</f>
        <v/>
      </c>
      <c r="J22" s="19" t="s">
        <v>15</v>
      </c>
    </row>
    <row r="23">
      <c r="A23" s="49">
        <v>22.0</v>
      </c>
      <c r="B23" s="37" t="s">
        <v>109</v>
      </c>
      <c r="C23" s="37" t="s">
        <v>969</v>
      </c>
      <c r="D23" s="47" t="s">
        <v>970</v>
      </c>
      <c r="E23" s="49">
        <v>0.9</v>
      </c>
      <c r="F23" s="49">
        <v>0.673</v>
      </c>
      <c r="G23" s="49">
        <v>1.0</v>
      </c>
      <c r="H23" s="49">
        <v>0.333</v>
      </c>
      <c r="I23" s="44" t="str">
        <f>IMAGE("https://drive.google.com/uc?export=view&amp;id=1X72mqjzgiqhrG7O0umxf3-26oUDwLeAb")</f>
        <v/>
      </c>
      <c r="J23" s="19" t="s">
        <v>15</v>
      </c>
    </row>
    <row r="24">
      <c r="A24" s="49">
        <v>23.0</v>
      </c>
      <c r="B24" s="37" t="s">
        <v>112</v>
      </c>
      <c r="C24" s="37" t="s">
        <v>971</v>
      </c>
      <c r="D24" s="47" t="s">
        <v>972</v>
      </c>
      <c r="E24" s="49">
        <v>1.0</v>
      </c>
      <c r="F24" s="49">
        <v>0.987</v>
      </c>
      <c r="G24" s="49">
        <v>1.0</v>
      </c>
      <c r="H24" s="49">
        <v>1.0</v>
      </c>
      <c r="I24" s="44" t="str">
        <f>IMAGE("https://drive.google.com/uc?export=view&amp;id=1MJzmX8_n9mb4qzFLspp5q9HDlTv-gSbB")</f>
        <v/>
      </c>
      <c r="J24" s="19" t="s">
        <v>15</v>
      </c>
    </row>
    <row r="25">
      <c r="A25" s="49">
        <v>24.0</v>
      </c>
      <c r="B25" s="37" t="s">
        <v>106</v>
      </c>
      <c r="C25" s="37" t="s">
        <v>973</v>
      </c>
      <c r="D25" s="47" t="s">
        <v>974</v>
      </c>
      <c r="E25" s="49">
        <v>0.875</v>
      </c>
      <c r="F25" s="49">
        <v>0.998</v>
      </c>
      <c r="G25" s="49">
        <v>0.45</v>
      </c>
      <c r="H25" s="49">
        <v>0.286</v>
      </c>
      <c r="I25" s="44" t="str">
        <f>IMAGE("https://drive.google.com/uc?export=view&amp;id=1B7l99DXqjtT47plpm8eYOkG5lyX2MFRR")</f>
        <v/>
      </c>
      <c r="J25" s="19" t="s">
        <v>15</v>
      </c>
    </row>
    <row r="26">
      <c r="A26" s="49">
        <v>25.0</v>
      </c>
      <c r="B26" s="37" t="s">
        <v>118</v>
      </c>
      <c r="C26" s="37" t="s">
        <v>975</v>
      </c>
      <c r="D26" s="47" t="s">
        <v>976</v>
      </c>
      <c r="E26" s="49">
        <v>1.0</v>
      </c>
      <c r="F26" s="49">
        <v>0.0</v>
      </c>
      <c r="G26" s="49">
        <v>0.0</v>
      </c>
      <c r="H26" s="49">
        <v>0.833</v>
      </c>
      <c r="I26" s="44" t="str">
        <f>IMAGE("https://drive.google.com/uc?export=view&amp;id=1TFYNewob2IEn3mdfnA2RtzSXbODWN8Lz")</f>
        <v/>
      </c>
      <c r="J26" s="19" t="s">
        <v>15</v>
      </c>
    </row>
    <row r="27">
      <c r="A27" s="49">
        <v>26.0</v>
      </c>
      <c r="B27" s="37" t="s">
        <v>121</v>
      </c>
      <c r="C27" s="37" t="s">
        <v>977</v>
      </c>
      <c r="D27" s="47" t="s">
        <v>978</v>
      </c>
      <c r="E27" s="49">
        <v>1.0</v>
      </c>
      <c r="F27" s="49">
        <v>0.978</v>
      </c>
      <c r="G27" s="49">
        <v>0.804</v>
      </c>
      <c r="H27" s="49">
        <v>1.0</v>
      </c>
      <c r="I27" s="44" t="str">
        <f>IMAGE("https://drive.google.com/uc?export=view&amp;id=1OZ4hSlnMk5Pl8QAKFkZZ7lPJhNvYYQOn")</f>
        <v/>
      </c>
      <c r="J27" s="19" t="s">
        <v>15</v>
      </c>
    </row>
    <row r="28">
      <c r="A28" s="49">
        <v>27.0</v>
      </c>
      <c r="B28" s="37" t="s">
        <v>124</v>
      </c>
      <c r="C28" s="37" t="s">
        <v>979</v>
      </c>
      <c r="D28" s="47" t="s">
        <v>980</v>
      </c>
      <c r="E28" s="49">
        <v>0.944</v>
      </c>
      <c r="F28" s="49">
        <v>0.909</v>
      </c>
      <c r="G28" s="49">
        <v>0.804</v>
      </c>
      <c r="H28" s="49">
        <v>0.8</v>
      </c>
      <c r="I28" s="44" t="str">
        <f>IMAGE("https://drive.google.com/uc?export=view&amp;id=1eStE-0Rv6l5wCKWdDCHMFYgbk0cFTMfY")</f>
        <v/>
      </c>
      <c r="J28" s="19" t="s">
        <v>15</v>
      </c>
    </row>
    <row r="29">
      <c r="A29" s="49">
        <v>28.0</v>
      </c>
      <c r="B29" s="37" t="s">
        <v>127</v>
      </c>
      <c r="C29" s="37" t="s">
        <v>981</v>
      </c>
      <c r="D29" s="47" t="s">
        <v>982</v>
      </c>
      <c r="E29" s="49">
        <v>1.0</v>
      </c>
      <c r="F29" s="49">
        <v>0.89</v>
      </c>
      <c r="G29" s="49">
        <v>0.533</v>
      </c>
      <c r="H29" s="49">
        <v>0.75</v>
      </c>
      <c r="I29" s="44" t="str">
        <f>IMAGE("https://drive.google.com/uc?export=view&amp;id=13UNIXMM0dJAVLWr5gucKOt-v1qZkWDJj")</f>
        <v/>
      </c>
      <c r="J29" s="19" t="s">
        <v>15</v>
      </c>
    </row>
    <row r="30">
      <c r="A30" s="49">
        <v>29.0</v>
      </c>
      <c r="B30" s="37" t="s">
        <v>130</v>
      </c>
      <c r="C30" s="37" t="s">
        <v>983</v>
      </c>
      <c r="D30" s="47" t="s">
        <v>984</v>
      </c>
      <c r="E30" s="49">
        <v>0.75</v>
      </c>
      <c r="F30" s="49">
        <v>0.848</v>
      </c>
      <c r="G30" s="49">
        <v>1.0</v>
      </c>
      <c r="H30" s="49">
        <v>1.0</v>
      </c>
      <c r="I30" s="44" t="str">
        <f>IMAGE("https://drive.google.com/uc?export=view&amp;id=1pItN91M1n3FPARixGjfeQh_H3ZstebXV")</f>
        <v/>
      </c>
      <c r="J30" s="19" t="s">
        <v>15</v>
      </c>
    </row>
    <row r="31">
      <c r="A31" s="49">
        <v>30.0</v>
      </c>
      <c r="B31" s="37" t="s">
        <v>133</v>
      </c>
      <c r="C31" s="37" t="s">
        <v>985</v>
      </c>
      <c r="D31" s="47" t="s">
        <v>986</v>
      </c>
      <c r="E31" s="49">
        <v>0.833</v>
      </c>
      <c r="F31" s="49">
        <v>0.905</v>
      </c>
      <c r="G31" s="49">
        <v>0.95</v>
      </c>
      <c r="H31" s="49">
        <v>0.0</v>
      </c>
      <c r="I31" s="44" t="str">
        <f>IMAGE("https://drive.google.com/uc?export=view&amp;id=1A8PE5QV41Brl6bNTOxJJcNkzESoUilZi")</f>
        <v/>
      </c>
      <c r="J31" s="19" t="s">
        <v>15</v>
      </c>
    </row>
    <row r="32">
      <c r="A32" s="49">
        <v>31.0</v>
      </c>
      <c r="B32" s="37" t="s">
        <v>136</v>
      </c>
      <c r="C32" s="37" t="s">
        <v>987</v>
      </c>
      <c r="D32" s="47" t="s">
        <v>988</v>
      </c>
      <c r="E32" s="49">
        <v>0.941</v>
      </c>
      <c r="F32" s="49">
        <v>0.999</v>
      </c>
      <c r="G32" s="49">
        <v>1.0</v>
      </c>
      <c r="H32" s="49">
        <v>0.417</v>
      </c>
      <c r="I32" s="44" t="str">
        <f>IMAGE("https://drive.google.com/uc?export=view&amp;id=1aR9Y_UtAeUsH7F1B4PIYicVtr4NR6AC6")</f>
        <v/>
      </c>
      <c r="J32" s="19" t="s">
        <v>15</v>
      </c>
    </row>
    <row r="33">
      <c r="A33" s="49">
        <v>32.0</v>
      </c>
      <c r="B33" s="37" t="s">
        <v>139</v>
      </c>
      <c r="C33" s="37" t="s">
        <v>989</v>
      </c>
      <c r="D33" s="47" t="s">
        <v>990</v>
      </c>
      <c r="E33" s="49">
        <v>0.6</v>
      </c>
      <c r="F33" s="49">
        <v>0.916</v>
      </c>
      <c r="G33" s="49">
        <v>1.0</v>
      </c>
      <c r="H33" s="49">
        <v>1.0</v>
      </c>
      <c r="I33" s="44" t="str">
        <f>IMAGE("https://drive.google.com/uc?export=view&amp;id=1RY30n3af--8qvNEaYhVhiNaNdbV9_6SJ")</f>
        <v/>
      </c>
      <c r="J33" s="19" t="s">
        <v>15</v>
      </c>
    </row>
    <row r="34">
      <c r="A34" s="49">
        <v>33.0</v>
      </c>
      <c r="B34" s="37" t="s">
        <v>142</v>
      </c>
      <c r="C34" s="37" t="s">
        <v>991</v>
      </c>
      <c r="D34" s="47" t="s">
        <v>992</v>
      </c>
      <c r="E34" s="49">
        <v>1.0</v>
      </c>
      <c r="F34" s="49">
        <v>0.641</v>
      </c>
      <c r="G34" s="49">
        <v>1.0</v>
      </c>
      <c r="H34" s="49">
        <v>0.8</v>
      </c>
      <c r="I34" s="44" t="str">
        <f>IMAGE("https://drive.google.com/uc?export=view&amp;id=15XsvGbu8vPLQGbmT3S2L05BBPhauxWgJ")</f>
        <v/>
      </c>
      <c r="J34" s="19" t="s">
        <v>15</v>
      </c>
    </row>
    <row r="35">
      <c r="A35" s="49">
        <v>34.0</v>
      </c>
      <c r="B35" s="37" t="s">
        <v>145</v>
      </c>
      <c r="C35" s="37" t="s">
        <v>993</v>
      </c>
      <c r="D35" s="47" t="s">
        <v>994</v>
      </c>
      <c r="E35" s="49">
        <v>1.0</v>
      </c>
      <c r="F35" s="49">
        <v>0.783</v>
      </c>
      <c r="G35" s="49">
        <v>0.7</v>
      </c>
      <c r="H35" s="49">
        <v>0.857</v>
      </c>
      <c r="I35" s="44" t="str">
        <f>IMAGE("https://drive.google.com/uc?export=view&amp;id=1xwVwcWYdazyioGcN0i8856zALlrsOZla")</f>
        <v/>
      </c>
      <c r="J35" s="19" t="s">
        <v>15</v>
      </c>
    </row>
    <row r="36">
      <c r="A36" s="49">
        <v>35.0</v>
      </c>
      <c r="B36" s="37" t="s">
        <v>148</v>
      </c>
      <c r="C36" s="37" t="s">
        <v>995</v>
      </c>
      <c r="D36" s="47" t="s">
        <v>996</v>
      </c>
      <c r="E36" s="49">
        <v>0.714</v>
      </c>
      <c r="F36" s="49">
        <v>0.805</v>
      </c>
      <c r="G36" s="49">
        <v>0.756</v>
      </c>
      <c r="H36" s="49">
        <v>1.0</v>
      </c>
      <c r="I36" s="44" t="str">
        <f>IMAGE("https://drive.google.com/uc?export=view&amp;id=1cvQDuKU-f7uDk3XLPNoL-7woqVNHfRpv")</f>
        <v/>
      </c>
      <c r="J36" s="19" t="s">
        <v>15</v>
      </c>
    </row>
    <row r="37">
      <c r="A37" s="49">
        <v>36.0</v>
      </c>
      <c r="B37" s="37" t="s">
        <v>151</v>
      </c>
      <c r="C37" s="37" t="s">
        <v>997</v>
      </c>
      <c r="D37" s="47" t="s">
        <v>998</v>
      </c>
      <c r="E37" s="49">
        <v>1.0</v>
      </c>
      <c r="F37" s="49">
        <v>0.914</v>
      </c>
      <c r="G37" s="49">
        <v>1.0</v>
      </c>
      <c r="H37" s="49">
        <v>1.0</v>
      </c>
      <c r="I37" s="44" t="str">
        <f>IMAGE("https://drive.google.com/uc?export=view&amp;id=1VawKCncjD3pwBXgk_nExX4T3eatoQc0U")</f>
        <v/>
      </c>
      <c r="J37" s="19" t="s">
        <v>15</v>
      </c>
    </row>
    <row r="38">
      <c r="A38" s="49">
        <v>37.0</v>
      </c>
      <c r="B38" s="37" t="s">
        <v>154</v>
      </c>
      <c r="C38" s="37" t="s">
        <v>999</v>
      </c>
      <c r="D38" s="47" t="s">
        <v>1000</v>
      </c>
      <c r="E38" s="49">
        <v>0.909</v>
      </c>
      <c r="F38" s="49">
        <v>0.752</v>
      </c>
      <c r="G38" s="49">
        <v>1.0</v>
      </c>
      <c r="H38" s="49">
        <v>1.0</v>
      </c>
      <c r="I38" s="44" t="str">
        <f>IMAGE("https://drive.google.com/uc?export=view&amp;id=1bnWTdTX4-Y9WUzhxjElD-JBicO1h72Sj")</f>
        <v/>
      </c>
      <c r="J38" s="19" t="s">
        <v>15</v>
      </c>
    </row>
    <row r="39">
      <c r="A39" s="49">
        <v>38.0</v>
      </c>
      <c r="B39" s="37" t="s">
        <v>160</v>
      </c>
      <c r="C39" s="37" t="s">
        <v>1001</v>
      </c>
      <c r="D39" s="47" t="s">
        <v>1002</v>
      </c>
      <c r="E39" s="49">
        <v>0.786</v>
      </c>
      <c r="F39" s="49">
        <v>0.66</v>
      </c>
      <c r="G39" s="49">
        <v>1.0</v>
      </c>
      <c r="H39" s="49">
        <v>0.4</v>
      </c>
      <c r="I39" s="44" t="str">
        <f>IMAGE("https://drive.google.com/uc?export=view&amp;id=1FsfVS64lOoV44plj4nGIdpvyKiXux3Ua")</f>
        <v/>
      </c>
      <c r="J39" s="19" t="s">
        <v>15</v>
      </c>
    </row>
    <row r="40">
      <c r="A40" s="49">
        <v>39.0</v>
      </c>
      <c r="B40" s="37" t="s">
        <v>163</v>
      </c>
      <c r="C40" s="37" t="s">
        <v>1003</v>
      </c>
      <c r="D40" s="47" t="s">
        <v>1004</v>
      </c>
      <c r="E40" s="49">
        <v>0.25</v>
      </c>
      <c r="F40" s="49">
        <v>0.665</v>
      </c>
      <c r="G40" s="49">
        <v>1.0</v>
      </c>
      <c r="H40" s="49">
        <v>1.0</v>
      </c>
      <c r="I40" s="44" t="str">
        <f>IMAGE("https://drive.google.com/uc?export=view&amp;id=12vRggH4pAXvCLRZvrARpEUMUsZgQyl8k")</f>
        <v/>
      </c>
      <c r="J40" s="19" t="s">
        <v>15</v>
      </c>
    </row>
    <row r="41">
      <c r="A41" s="49">
        <v>40.0</v>
      </c>
      <c r="B41" s="37" t="s">
        <v>157</v>
      </c>
      <c r="C41" s="37" t="s">
        <v>1005</v>
      </c>
      <c r="D41" s="47" t="s">
        <v>1006</v>
      </c>
      <c r="E41" s="49">
        <v>0.545</v>
      </c>
      <c r="F41" s="49">
        <v>0.771</v>
      </c>
      <c r="G41" s="49">
        <v>1.0</v>
      </c>
      <c r="H41" s="49">
        <v>1.0</v>
      </c>
      <c r="I41" s="44" t="str">
        <f>IMAGE("https://drive.google.com/uc?export=view&amp;id=1Qh5zAhn-lQzW0kQmr8aYTi3APLk3Bf-x")</f>
        <v/>
      </c>
      <c r="J41" s="19" t="s">
        <v>15</v>
      </c>
    </row>
    <row r="42">
      <c r="A42" s="49">
        <v>41.0</v>
      </c>
      <c r="B42" s="37" t="s">
        <v>166</v>
      </c>
      <c r="C42" s="37" t="s">
        <v>1007</v>
      </c>
      <c r="D42" s="47" t="s">
        <v>1008</v>
      </c>
      <c r="E42" s="49">
        <v>0.067</v>
      </c>
      <c r="F42" s="49">
        <v>0.986</v>
      </c>
      <c r="G42" s="49">
        <v>1.0</v>
      </c>
      <c r="H42" s="49">
        <v>0.75</v>
      </c>
      <c r="I42" s="44" t="str">
        <f>IMAGE("https://drive.google.com/uc?export=view&amp;id=1a6UmUHfPo64YPVcg4gSuSDoffShUg1zv")</f>
        <v/>
      </c>
      <c r="J42" s="19" t="s">
        <v>16</v>
      </c>
    </row>
    <row r="43">
      <c r="A43" s="49">
        <v>42.0</v>
      </c>
      <c r="B43" s="37" t="s">
        <v>169</v>
      </c>
      <c r="C43" s="37" t="s">
        <v>1009</v>
      </c>
      <c r="D43" s="47" t="s">
        <v>1010</v>
      </c>
      <c r="E43" s="49">
        <v>0.6</v>
      </c>
      <c r="F43" s="49">
        <v>0.895</v>
      </c>
      <c r="G43" s="49">
        <v>1.0</v>
      </c>
      <c r="H43" s="49">
        <v>1.0</v>
      </c>
      <c r="I43" s="44" t="str">
        <f>IMAGE("https://drive.google.com/uc?export=view&amp;id=1FtYvFLhzivgdHAIMRd9b3VDZ0WntPDNA")</f>
        <v/>
      </c>
      <c r="J43" s="19" t="s">
        <v>16</v>
      </c>
    </row>
    <row r="44">
      <c r="A44" s="49">
        <v>43.0</v>
      </c>
      <c r="B44" s="37" t="s">
        <v>172</v>
      </c>
      <c r="C44" s="37" t="s">
        <v>1011</v>
      </c>
      <c r="D44" s="47" t="s">
        <v>1012</v>
      </c>
      <c r="E44" s="49">
        <v>0.688</v>
      </c>
      <c r="F44" s="49">
        <v>0.999</v>
      </c>
      <c r="G44" s="49">
        <v>0.533</v>
      </c>
      <c r="H44" s="49">
        <v>0.0</v>
      </c>
      <c r="I44" s="44" t="str">
        <f>IMAGE("https://drive.google.com/uc?export=view&amp;id=1MfHJbbLRmeXLK08_31YR5EZxVuiFQBBN")</f>
        <v/>
      </c>
      <c r="J44" s="19" t="s">
        <v>16</v>
      </c>
    </row>
    <row r="45">
      <c r="A45" s="49">
        <v>44.0</v>
      </c>
      <c r="B45" s="37" t="s">
        <v>175</v>
      </c>
      <c r="C45" s="37" t="s">
        <v>1013</v>
      </c>
      <c r="D45" s="47" t="s">
        <v>1014</v>
      </c>
      <c r="E45" s="49">
        <v>0.571</v>
      </c>
      <c r="F45" s="49">
        <v>0.794</v>
      </c>
      <c r="G45" s="49">
        <v>0.2</v>
      </c>
      <c r="H45" s="49">
        <v>0.167</v>
      </c>
      <c r="I45" s="44" t="str">
        <f>IMAGE("https://drive.google.com/uc?export=view&amp;id=1v8_8ubZKQMgOwU3_PMJdFPJs-1ob_lue")</f>
        <v/>
      </c>
      <c r="J45" s="19" t="s">
        <v>16</v>
      </c>
    </row>
    <row r="46">
      <c r="A46" s="49">
        <v>45.0</v>
      </c>
      <c r="B46" s="37" t="s">
        <v>178</v>
      </c>
      <c r="C46" s="37" t="s">
        <v>1015</v>
      </c>
      <c r="D46" s="47" t="s">
        <v>1016</v>
      </c>
      <c r="E46" s="49">
        <v>0.571</v>
      </c>
      <c r="F46" s="49">
        <v>0.947</v>
      </c>
      <c r="G46" s="49">
        <v>0.5</v>
      </c>
      <c r="H46" s="49">
        <v>0.0</v>
      </c>
      <c r="I46" s="44" t="str">
        <f>IMAGE("https://drive.google.com/uc?export=view&amp;id=1QKWetDRqb3n5jLFoi7bGT9p_RVJm87vL")</f>
        <v/>
      </c>
      <c r="J46" s="19" t="s">
        <v>16</v>
      </c>
    </row>
    <row r="47">
      <c r="A47" s="49">
        <v>46.0</v>
      </c>
      <c r="B47" s="37" t="s">
        <v>181</v>
      </c>
      <c r="C47" s="37" t="s">
        <v>1017</v>
      </c>
      <c r="D47" s="47" t="s">
        <v>1018</v>
      </c>
      <c r="E47" s="49">
        <v>0.125</v>
      </c>
      <c r="F47" s="49">
        <v>0.895</v>
      </c>
      <c r="G47" s="49">
        <v>1.0</v>
      </c>
      <c r="H47" s="49">
        <v>1.0</v>
      </c>
      <c r="I47" s="44" t="str">
        <f>IMAGE("https://drive.google.com/uc?export=view&amp;id=1upTlu8wXyRVyo7DPAZeftk9UHD9cW-S2")</f>
        <v/>
      </c>
      <c r="J47" s="19" t="s">
        <v>16</v>
      </c>
    </row>
    <row r="48">
      <c r="A48" s="49">
        <v>47.0</v>
      </c>
      <c r="B48" s="37" t="s">
        <v>187</v>
      </c>
      <c r="C48" s="37" t="s">
        <v>1019</v>
      </c>
      <c r="D48" s="47" t="s">
        <v>1020</v>
      </c>
      <c r="E48" s="49">
        <v>0.727</v>
      </c>
      <c r="F48" s="49">
        <v>0.84</v>
      </c>
      <c r="G48" s="49">
        <v>0.887</v>
      </c>
      <c r="H48" s="49">
        <v>0.8</v>
      </c>
      <c r="I48" s="44" t="str">
        <f>IMAGE("https://drive.google.com/uc?export=view&amp;id=16HE-4yaAObWHI6qVjNA6MZy5ypiaqVAz")</f>
        <v/>
      </c>
      <c r="J48" s="19" t="s">
        <v>16</v>
      </c>
    </row>
    <row r="49">
      <c r="A49" s="49">
        <v>48.0</v>
      </c>
      <c r="B49" s="37" t="s">
        <v>190</v>
      </c>
      <c r="C49" s="37" t="s">
        <v>1021</v>
      </c>
      <c r="D49" s="47" t="s">
        <v>1022</v>
      </c>
      <c r="E49" s="49">
        <v>1.0</v>
      </c>
      <c r="F49" s="49">
        <v>0.892</v>
      </c>
      <c r="G49" s="49">
        <v>1.0</v>
      </c>
      <c r="H49" s="49">
        <v>0.167</v>
      </c>
      <c r="I49" s="44" t="str">
        <f>IMAGE("https://drive.google.com/uc?export=view&amp;id=1XcB3Yxq8p6FSp2xy13Gg3Yf2M_yfJNXH")</f>
        <v/>
      </c>
      <c r="J49" s="19" t="s">
        <v>16</v>
      </c>
    </row>
    <row r="50">
      <c r="A50" s="49">
        <v>49.0</v>
      </c>
      <c r="B50" s="37" t="s">
        <v>193</v>
      </c>
      <c r="C50" s="37" t="s">
        <v>1023</v>
      </c>
      <c r="D50" s="47" t="s">
        <v>1024</v>
      </c>
      <c r="E50" s="49">
        <v>0.75</v>
      </c>
      <c r="F50" s="49">
        <v>0.839</v>
      </c>
      <c r="G50" s="49">
        <v>0.7</v>
      </c>
      <c r="H50" s="49">
        <v>0.0</v>
      </c>
      <c r="I50" s="44" t="str">
        <f>IMAGE("https://drive.google.com/uc?export=view&amp;id=1gi_g1Ky9OiURcsIammGeVkLk4gCfFsWa")</f>
        <v/>
      </c>
      <c r="J50" s="19" t="s">
        <v>16</v>
      </c>
    </row>
    <row r="51">
      <c r="A51" s="49">
        <v>50.0</v>
      </c>
      <c r="B51" s="37" t="s">
        <v>196</v>
      </c>
      <c r="C51" s="37" t="s">
        <v>1025</v>
      </c>
      <c r="D51" s="47" t="s">
        <v>1026</v>
      </c>
      <c r="E51" s="49">
        <v>0.643</v>
      </c>
      <c r="F51" s="49">
        <v>0.945</v>
      </c>
      <c r="G51" s="49">
        <v>0.756</v>
      </c>
      <c r="H51" s="49">
        <v>0.5</v>
      </c>
      <c r="I51" s="44" t="str">
        <f>IMAGE("https://drive.google.com/uc?export=view&amp;id=1Ef0-Tp_BxK1WkIQ7V5bn1dd8ClIpdSW7")</f>
        <v/>
      </c>
      <c r="J51" s="19" t="s">
        <v>16</v>
      </c>
    </row>
    <row r="52">
      <c r="A52" s="49">
        <v>51.0</v>
      </c>
      <c r="B52" s="37" t="s">
        <v>199</v>
      </c>
      <c r="C52" s="37" t="s">
        <v>1027</v>
      </c>
      <c r="D52" s="47" t="s">
        <v>1028</v>
      </c>
      <c r="E52" s="49">
        <v>1.0</v>
      </c>
      <c r="F52" s="49">
        <v>0.767</v>
      </c>
      <c r="G52" s="49">
        <v>1.0</v>
      </c>
      <c r="H52" s="49">
        <v>1.0</v>
      </c>
      <c r="I52" s="44" t="str">
        <f>IMAGE("https://drive.google.com/uc?export=view&amp;id=1slpN5SehV_eCiyW8DKE8OoF3SMlo_Wuy")</f>
        <v/>
      </c>
      <c r="J52" s="19" t="s">
        <v>16</v>
      </c>
    </row>
    <row r="53">
      <c r="A53" s="49">
        <v>52.0</v>
      </c>
      <c r="B53" s="37" t="s">
        <v>202</v>
      </c>
      <c r="C53" s="37" t="s">
        <v>1029</v>
      </c>
      <c r="D53" s="47" t="s">
        <v>1030</v>
      </c>
      <c r="E53" s="49">
        <v>0.929</v>
      </c>
      <c r="F53" s="49">
        <v>0.875</v>
      </c>
      <c r="G53" s="49">
        <v>0.533</v>
      </c>
      <c r="H53" s="49">
        <v>0.125</v>
      </c>
      <c r="I53" s="44" t="str">
        <f>IMAGE("https://drive.google.com/uc?export=view&amp;id=15C1kGWRUZYnCP4pyxB5CcMFiBi0N-s74")</f>
        <v/>
      </c>
      <c r="J53" s="19" t="s">
        <v>16</v>
      </c>
    </row>
    <row r="54">
      <c r="A54" s="49">
        <v>53.0</v>
      </c>
      <c r="B54" s="37" t="s">
        <v>205</v>
      </c>
      <c r="C54" s="37" t="s">
        <v>1031</v>
      </c>
      <c r="D54" s="47" t="s">
        <v>1032</v>
      </c>
      <c r="E54" s="49">
        <v>0.091</v>
      </c>
      <c r="F54" s="49">
        <v>1.0</v>
      </c>
      <c r="G54" s="49">
        <v>0.95</v>
      </c>
      <c r="H54" s="49">
        <v>1.0</v>
      </c>
      <c r="I54" s="44" t="str">
        <f>IMAGE("https://drive.google.com/uc?export=view&amp;id=1mt2Avd-p5JQB1eKc0tsyY-R0pq2zfIkY")</f>
        <v/>
      </c>
      <c r="J54" s="19" t="s">
        <v>16</v>
      </c>
    </row>
    <row r="55">
      <c r="A55" s="49">
        <v>54.0</v>
      </c>
      <c r="B55" s="37" t="s">
        <v>208</v>
      </c>
      <c r="C55" s="37" t="s">
        <v>1033</v>
      </c>
      <c r="D55" s="47" t="s">
        <v>1034</v>
      </c>
      <c r="E55" s="49">
        <v>0.9</v>
      </c>
      <c r="F55" s="49">
        <v>0.736</v>
      </c>
      <c r="G55" s="49">
        <v>0.639</v>
      </c>
      <c r="H55" s="49">
        <v>1.0</v>
      </c>
      <c r="I55" s="44" t="str">
        <f>IMAGE("https://drive.google.com/uc?export=view&amp;id=1MaGRg1vngVpYbcjeRyeUw6bh2zPrWkP_")</f>
        <v/>
      </c>
      <c r="J55" s="19" t="s">
        <v>16</v>
      </c>
    </row>
    <row r="56">
      <c r="A56" s="49">
        <v>55.0</v>
      </c>
      <c r="B56" s="37" t="s">
        <v>211</v>
      </c>
      <c r="C56" s="37" t="s">
        <v>1035</v>
      </c>
      <c r="D56" s="47" t="s">
        <v>1036</v>
      </c>
      <c r="E56" s="49">
        <v>0.923</v>
      </c>
      <c r="F56" s="49">
        <v>0.671</v>
      </c>
      <c r="G56" s="49">
        <v>1.0</v>
      </c>
      <c r="H56" s="49">
        <v>1.0</v>
      </c>
      <c r="I56" s="44" t="str">
        <f>IMAGE("https://drive.google.com/uc?export=view&amp;id=1vXbygMtnhRudaI07zecRda_rBenka3j7")</f>
        <v/>
      </c>
      <c r="J56" s="19" t="s">
        <v>16</v>
      </c>
    </row>
    <row r="57">
      <c r="A57" s="49">
        <v>56.0</v>
      </c>
      <c r="B57" s="37" t="s">
        <v>214</v>
      </c>
      <c r="C57" s="37" t="s">
        <v>1037</v>
      </c>
      <c r="D57" s="47" t="s">
        <v>1038</v>
      </c>
      <c r="E57" s="49">
        <v>1.0</v>
      </c>
      <c r="F57" s="49">
        <v>0.885</v>
      </c>
      <c r="G57" s="49">
        <v>0.679</v>
      </c>
      <c r="H57" s="49">
        <v>0.0</v>
      </c>
      <c r="I57" s="44" t="str">
        <f>IMAGE("https://drive.google.com/uc?export=view&amp;id=1Z-FUmbRfF4S6VRlJO8lSX1pPCJh9Qwal")</f>
        <v/>
      </c>
      <c r="J57" s="19" t="s">
        <v>16</v>
      </c>
    </row>
    <row r="58">
      <c r="A58" s="49">
        <v>57.0</v>
      </c>
      <c r="B58" s="37" t="s">
        <v>220</v>
      </c>
      <c r="C58" s="37" t="s">
        <v>1039</v>
      </c>
      <c r="D58" s="47" t="s">
        <v>1040</v>
      </c>
      <c r="E58" s="49">
        <v>0.889</v>
      </c>
      <c r="F58" s="49">
        <v>0.932</v>
      </c>
      <c r="G58" s="49">
        <v>1.0</v>
      </c>
      <c r="H58" s="49">
        <v>1.0</v>
      </c>
      <c r="I58" s="44" t="str">
        <f>IMAGE("https://drive.google.com/uc?export=view&amp;id=1itoS_cHaifBbGQ7SADxn4saIeFMPBSWX")</f>
        <v/>
      </c>
      <c r="J58" s="19" t="s">
        <v>16</v>
      </c>
    </row>
    <row r="59">
      <c r="A59" s="49">
        <v>58.0</v>
      </c>
      <c r="B59" s="37" t="s">
        <v>223</v>
      </c>
      <c r="C59" s="37" t="s">
        <v>1041</v>
      </c>
      <c r="D59" s="47" t="s">
        <v>1042</v>
      </c>
      <c r="E59" s="49">
        <v>0.667</v>
      </c>
      <c r="F59" s="49">
        <v>0.723</v>
      </c>
      <c r="G59" s="49">
        <v>1.0</v>
      </c>
      <c r="H59" s="49">
        <v>1.0</v>
      </c>
      <c r="I59" s="44" t="str">
        <f>IMAGE("https://drive.google.com/uc?export=view&amp;id=1JSO7NpxZ0NFdZhBeqkv10x6zoUy9a6cL")</f>
        <v/>
      </c>
      <c r="J59" s="19" t="s">
        <v>16</v>
      </c>
    </row>
    <row r="60">
      <c r="A60" s="49">
        <v>59.0</v>
      </c>
      <c r="B60" s="37" t="s">
        <v>184</v>
      </c>
      <c r="C60" s="37" t="s">
        <v>1043</v>
      </c>
      <c r="D60" s="47" t="s">
        <v>1044</v>
      </c>
      <c r="E60" s="49">
        <v>0.733</v>
      </c>
      <c r="F60" s="49">
        <v>0.938</v>
      </c>
      <c r="G60" s="49">
        <v>0.95</v>
      </c>
      <c r="H60" s="49">
        <v>0.4</v>
      </c>
      <c r="I60" s="44" t="str">
        <f>IMAGE("https://drive.google.com/uc?export=view&amp;id=1IfJbmzDU0SFvDxHZdQadclBgelYbfBx2")</f>
        <v/>
      </c>
      <c r="J60" s="19" t="s">
        <v>16</v>
      </c>
    </row>
    <row r="61">
      <c r="A61" s="53">
        <v>60.0</v>
      </c>
      <c r="B61" s="37" t="s">
        <v>187</v>
      </c>
      <c r="C61" s="37" t="s">
        <v>1019</v>
      </c>
      <c r="D61" s="47" t="s">
        <v>1020</v>
      </c>
      <c r="E61" s="49">
        <v>0.727</v>
      </c>
      <c r="F61" s="49">
        <v>0.84</v>
      </c>
      <c r="G61" s="49">
        <v>0.887</v>
      </c>
      <c r="H61" s="49">
        <v>0.8</v>
      </c>
      <c r="I61" s="44" t="str">
        <f>IMAGE("https://drive.google.com/uc?export=view&amp;id=1Q5J2G59NTD1ETQ3k21sOkHwK-9f7njc8")</f>
        <v/>
      </c>
      <c r="J61" s="19" t="s">
        <v>16</v>
      </c>
    </row>
    <row r="62">
      <c r="A62" s="53">
        <v>61.0</v>
      </c>
      <c r="B62" s="37" t="s">
        <v>226</v>
      </c>
      <c r="C62" s="37" t="s">
        <v>1045</v>
      </c>
      <c r="D62" s="47" t="s">
        <v>1046</v>
      </c>
      <c r="E62" s="49">
        <v>0.571</v>
      </c>
      <c r="F62" s="49">
        <v>0.0</v>
      </c>
      <c r="G62" s="49">
        <v>0.583</v>
      </c>
      <c r="H62" s="49">
        <v>1.0</v>
      </c>
      <c r="I62" s="44" t="str">
        <f>IMAGE("https://drive.google.com/uc?export=view&amp;id=1PKSjRJQshmqEv0b20O5wptBFJFZJLPL4")</f>
        <v/>
      </c>
      <c r="J62" s="19" t="s">
        <v>17</v>
      </c>
    </row>
    <row r="63">
      <c r="A63" s="53">
        <v>62.0</v>
      </c>
      <c r="B63" s="37" t="s">
        <v>229</v>
      </c>
      <c r="C63" s="37" t="s">
        <v>1047</v>
      </c>
      <c r="D63" s="47" t="s">
        <v>1048</v>
      </c>
      <c r="E63" s="49">
        <v>1.0</v>
      </c>
      <c r="F63" s="49">
        <v>0.992</v>
      </c>
      <c r="G63" s="49">
        <v>0.0</v>
      </c>
      <c r="H63" s="49">
        <v>0.833</v>
      </c>
      <c r="I63" s="44" t="str">
        <f>IMAGE("https://drive.google.com/uc?export=view&amp;id=1PEEJUdtdtyZnn8ZbJB6ewkvsVzoMcWUO")</f>
        <v/>
      </c>
      <c r="J63" s="19" t="s">
        <v>17</v>
      </c>
    </row>
    <row r="64">
      <c r="A64" s="49">
        <v>64.0</v>
      </c>
      <c r="B64" s="37" t="s">
        <v>232</v>
      </c>
      <c r="C64" s="37" t="s">
        <v>1049</v>
      </c>
      <c r="D64" s="47" t="s">
        <v>1050</v>
      </c>
      <c r="E64" s="49">
        <v>1.0</v>
      </c>
      <c r="F64" s="49">
        <v>0.992</v>
      </c>
      <c r="G64" s="49">
        <v>0.333</v>
      </c>
      <c r="H64" s="49">
        <v>1.0</v>
      </c>
      <c r="I64" s="44" t="str">
        <f>IMAGE("https://drive.google.com/uc?export=view&amp;id=1BDtDqRDrKNxL-hr9H1cnCWGDkumodxUz")</f>
        <v/>
      </c>
      <c r="J64" s="19" t="s">
        <v>17</v>
      </c>
    </row>
    <row r="65">
      <c r="A65" s="49">
        <v>64.0</v>
      </c>
      <c r="B65" s="37" t="s">
        <v>235</v>
      </c>
      <c r="C65" s="37" t="s">
        <v>1051</v>
      </c>
      <c r="D65" s="47" t="s">
        <v>1052</v>
      </c>
      <c r="E65" s="49">
        <v>1.0</v>
      </c>
      <c r="F65" s="49">
        <v>0.993</v>
      </c>
      <c r="G65" s="49">
        <v>1.0</v>
      </c>
      <c r="H65" s="49">
        <v>0.857</v>
      </c>
      <c r="I65" s="44" t="str">
        <f>IMAGE("https://drive.google.com/uc?export=view&amp;id=1cof0_kapLmIGgYTtcBrCme0UqU5kkXsT")</f>
        <v/>
      </c>
      <c r="J65" s="19" t="s">
        <v>17</v>
      </c>
    </row>
    <row r="66">
      <c r="A66" s="49">
        <v>65.0</v>
      </c>
      <c r="B66" s="37" t="s">
        <v>238</v>
      </c>
      <c r="C66" s="37" t="s">
        <v>1053</v>
      </c>
      <c r="D66" s="47" t="s">
        <v>1054</v>
      </c>
      <c r="E66" s="49">
        <v>0.5</v>
      </c>
      <c r="F66" s="49">
        <v>0.817</v>
      </c>
      <c r="G66" s="49">
        <v>1.0</v>
      </c>
      <c r="H66" s="49">
        <v>0.8</v>
      </c>
      <c r="I66" s="44" t="str">
        <f>IMAGE("https://drive.google.com/uc?export=view&amp;id=1dA69W_32D3QnjGN4zzpueefJwvIbxCb5")</f>
        <v/>
      </c>
      <c r="J66" s="19" t="s">
        <v>17</v>
      </c>
    </row>
    <row r="67">
      <c r="A67" s="49">
        <v>66.0</v>
      </c>
      <c r="B67" s="37" t="s">
        <v>241</v>
      </c>
      <c r="C67" s="37" t="s">
        <v>1055</v>
      </c>
      <c r="D67" s="47" t="s">
        <v>1056</v>
      </c>
      <c r="E67" s="49">
        <v>0.8</v>
      </c>
      <c r="F67" s="49">
        <v>0.982</v>
      </c>
      <c r="G67" s="49">
        <v>0.679</v>
      </c>
      <c r="H67" s="49">
        <v>0.75</v>
      </c>
      <c r="I67" s="44" t="str">
        <f>IMAGE("https://drive.google.com/uc?export=view&amp;id=15op180H5sPvR6joWPgeUYN7oFENYLZ7I")</f>
        <v/>
      </c>
      <c r="J67" s="19" t="s">
        <v>17</v>
      </c>
    </row>
    <row r="68">
      <c r="A68" s="49">
        <v>67.0</v>
      </c>
      <c r="B68" s="37" t="s">
        <v>244</v>
      </c>
      <c r="C68" s="37" t="s">
        <v>1057</v>
      </c>
      <c r="D68" s="47" t="s">
        <v>1058</v>
      </c>
      <c r="E68" s="49">
        <v>0.5</v>
      </c>
      <c r="F68" s="49">
        <v>0.992</v>
      </c>
      <c r="G68" s="49">
        <v>0.2</v>
      </c>
      <c r="H68" s="49">
        <v>0.25</v>
      </c>
      <c r="I68" s="44" t="str">
        <f>IMAGE("https://drive.google.com/uc?export=view&amp;id=1xXoaOyfzPug3cAXGMDKaAV-pzEtU_jpc")</f>
        <v/>
      </c>
      <c r="J68" s="19" t="s">
        <v>17</v>
      </c>
    </row>
    <row r="69">
      <c r="A69" s="49">
        <v>68.0</v>
      </c>
      <c r="B69" s="37" t="s">
        <v>247</v>
      </c>
      <c r="C69" s="37" t="s">
        <v>1059</v>
      </c>
      <c r="D69" s="47" t="s">
        <v>1060</v>
      </c>
      <c r="E69" s="49">
        <v>0.684</v>
      </c>
      <c r="F69" s="49">
        <v>0.99</v>
      </c>
      <c r="G69" s="49">
        <v>1.0</v>
      </c>
      <c r="H69" s="49">
        <v>1.0</v>
      </c>
      <c r="I69" s="44" t="str">
        <f>IMAGE("https://drive.google.com/uc?export=view&amp;id=1fPr1rgzbZZU_rATMffjIfPG7Ab1pXYq2")</f>
        <v/>
      </c>
      <c r="J69" s="19" t="s">
        <v>17</v>
      </c>
    </row>
    <row r="70">
      <c r="A70" s="49">
        <v>69.0</v>
      </c>
      <c r="B70" s="37" t="s">
        <v>250</v>
      </c>
      <c r="C70" s="37" t="s">
        <v>1061</v>
      </c>
      <c r="D70" s="47" t="s">
        <v>1062</v>
      </c>
      <c r="E70" s="49">
        <v>0.857</v>
      </c>
      <c r="F70" s="49">
        <v>0.901</v>
      </c>
      <c r="G70" s="49">
        <v>1.0</v>
      </c>
      <c r="H70" s="49">
        <v>0.8</v>
      </c>
      <c r="I70" s="44" t="str">
        <f>IMAGE("https://drive.google.com/uc?export=view&amp;id=1BE9j-rQj3YK8YesGXDbQuhbut3q864LN")</f>
        <v/>
      </c>
      <c r="J70" s="19" t="s">
        <v>17</v>
      </c>
    </row>
    <row r="71">
      <c r="A71" s="49">
        <v>70.0</v>
      </c>
      <c r="B71" s="37" t="s">
        <v>253</v>
      </c>
      <c r="C71" s="37" t="s">
        <v>1063</v>
      </c>
      <c r="D71" s="47" t="s">
        <v>1064</v>
      </c>
      <c r="E71" s="49">
        <v>0.769</v>
      </c>
      <c r="F71" s="49">
        <v>0.97</v>
      </c>
      <c r="G71" s="49">
        <v>0.75</v>
      </c>
      <c r="H71" s="49">
        <v>0.571</v>
      </c>
      <c r="I71" s="44" t="str">
        <f>IMAGE("https://drive.google.com/uc?export=view&amp;id=1_fKMWQ67cvCnU70_8nzxq8SMYfD2kvQY")</f>
        <v/>
      </c>
      <c r="J71" s="19" t="s">
        <v>17</v>
      </c>
    </row>
    <row r="72">
      <c r="A72" s="49">
        <v>71.0</v>
      </c>
      <c r="B72" s="37" t="s">
        <v>256</v>
      </c>
      <c r="C72" s="37" t="s">
        <v>1065</v>
      </c>
      <c r="D72" s="47" t="s">
        <v>1066</v>
      </c>
      <c r="E72" s="49">
        <v>1.0</v>
      </c>
      <c r="F72" s="49">
        <v>1.0</v>
      </c>
      <c r="G72" s="49">
        <v>0.533</v>
      </c>
      <c r="H72" s="49">
        <v>0.75</v>
      </c>
      <c r="I72" s="44" t="str">
        <f>IMAGE("https://drive.google.com/uc?export=view&amp;id=1E8-hprSQ3raemnPJrr3N1r9og9n_J-Ez")</f>
        <v/>
      </c>
      <c r="J72" s="19" t="s">
        <v>17</v>
      </c>
    </row>
    <row r="73">
      <c r="A73" s="49">
        <v>72.0</v>
      </c>
      <c r="B73" s="37" t="s">
        <v>259</v>
      </c>
      <c r="C73" s="37" t="s">
        <v>1067</v>
      </c>
      <c r="D73" s="47" t="s">
        <v>1068</v>
      </c>
      <c r="E73" s="49">
        <v>0.8</v>
      </c>
      <c r="F73" s="49">
        <v>0.996</v>
      </c>
      <c r="G73" s="49">
        <v>0.804</v>
      </c>
      <c r="H73" s="49">
        <v>0.8</v>
      </c>
      <c r="I73" s="44" t="str">
        <f>IMAGE("https://drive.google.com/uc?export=view&amp;id=12Syhs6A6r-lrZzIyGP7KjAHp39pAy8n6")</f>
        <v/>
      </c>
      <c r="J73" s="19" t="s">
        <v>17</v>
      </c>
    </row>
    <row r="74">
      <c r="A74" s="49">
        <v>73.0</v>
      </c>
      <c r="B74" s="37" t="s">
        <v>262</v>
      </c>
      <c r="C74" s="37" t="s">
        <v>1069</v>
      </c>
      <c r="D74" s="47" t="s">
        <v>1070</v>
      </c>
      <c r="E74" s="49">
        <v>0.667</v>
      </c>
      <c r="F74" s="49">
        <v>1.0</v>
      </c>
      <c r="G74" s="49">
        <v>0.7</v>
      </c>
      <c r="H74" s="49">
        <v>1.0</v>
      </c>
      <c r="I74" s="44" t="str">
        <f>IMAGE("https://drive.google.com/uc?export=view&amp;id=1VLf7IOJyhirBw7lnU8DE0hjP0bmV0Ytq")</f>
        <v/>
      </c>
      <c r="J74" s="19" t="s">
        <v>17</v>
      </c>
    </row>
    <row r="75">
      <c r="A75" s="49">
        <v>74.0</v>
      </c>
      <c r="B75" s="37" t="s">
        <v>265</v>
      </c>
      <c r="C75" s="37" t="s">
        <v>1071</v>
      </c>
      <c r="D75" s="47" t="s">
        <v>1072</v>
      </c>
      <c r="E75" s="49">
        <v>0.167</v>
      </c>
      <c r="F75" s="49">
        <v>0.875</v>
      </c>
      <c r="G75" s="49">
        <v>0.75</v>
      </c>
      <c r="H75" s="49">
        <v>0.75</v>
      </c>
      <c r="I75" s="44" t="str">
        <f>IMAGE("https://drive.google.com/uc?export=view&amp;id=1HFkD3qTOM_neGuYNF4Yb194t--DPZiiY")</f>
        <v/>
      </c>
      <c r="J75" s="19" t="s">
        <v>17</v>
      </c>
    </row>
    <row r="76">
      <c r="A76" s="49">
        <v>75.0</v>
      </c>
      <c r="B76" s="37" t="s">
        <v>268</v>
      </c>
      <c r="C76" s="37" t="s">
        <v>1073</v>
      </c>
      <c r="D76" s="47" t="s">
        <v>1074</v>
      </c>
      <c r="E76" s="49">
        <v>0.81</v>
      </c>
      <c r="F76" s="49">
        <v>0.859</v>
      </c>
      <c r="G76" s="49">
        <v>1.0</v>
      </c>
      <c r="H76" s="49">
        <v>1.0</v>
      </c>
      <c r="I76" s="44" t="str">
        <f>IMAGE("https://drive.google.com/uc?export=view&amp;id=1XT2IDBAQU35ToGtmoQBap6ytmnTClLP0")</f>
        <v/>
      </c>
      <c r="J76" s="19" t="s">
        <v>17</v>
      </c>
    </row>
    <row r="77">
      <c r="A77" s="49">
        <v>76.0</v>
      </c>
      <c r="B77" s="37" t="s">
        <v>271</v>
      </c>
      <c r="C77" s="37" t="s">
        <v>1075</v>
      </c>
      <c r="D77" s="47" t="s">
        <v>1076</v>
      </c>
      <c r="E77" s="49">
        <v>0.765</v>
      </c>
      <c r="F77" s="49">
        <v>0.906</v>
      </c>
      <c r="G77" s="49">
        <v>1.0</v>
      </c>
      <c r="H77" s="49">
        <v>0.571</v>
      </c>
      <c r="I77" s="44" t="str">
        <f>IMAGE("https://drive.google.com/uc?export=view&amp;id=1SsLF84TuSy9lXvBj45oT2cBj8BOQIq0X")</f>
        <v/>
      </c>
      <c r="J77" s="19" t="s">
        <v>17</v>
      </c>
    </row>
    <row r="78">
      <c r="A78" s="49">
        <v>77.0</v>
      </c>
      <c r="B78" s="37" t="s">
        <v>274</v>
      </c>
      <c r="C78" s="37" t="s">
        <v>1077</v>
      </c>
      <c r="D78" s="47" t="s">
        <v>1078</v>
      </c>
      <c r="E78" s="49">
        <v>0.0</v>
      </c>
      <c r="F78" s="49">
        <v>0.622</v>
      </c>
      <c r="G78" s="49">
        <v>0.0</v>
      </c>
      <c r="H78" s="49">
        <v>1.0</v>
      </c>
      <c r="I78" s="44" t="str">
        <f>IMAGE("https://drive.google.com/uc?export=view&amp;id=1TYLpXJRFHhns-YiMRl-OQz1HyMqdvGFS")</f>
        <v/>
      </c>
      <c r="J78" s="19" t="s">
        <v>17</v>
      </c>
    </row>
    <row r="79">
      <c r="A79" s="49">
        <v>78.0</v>
      </c>
      <c r="B79" s="37" t="s">
        <v>277</v>
      </c>
      <c r="C79" s="37" t="s">
        <v>1079</v>
      </c>
      <c r="D79" s="47" t="s">
        <v>1080</v>
      </c>
      <c r="E79" s="49">
        <v>0.875</v>
      </c>
      <c r="F79" s="49">
        <v>0.721</v>
      </c>
      <c r="G79" s="49">
        <v>0.325</v>
      </c>
      <c r="H79" s="49">
        <v>1.0</v>
      </c>
      <c r="I79" s="44" t="str">
        <f>IMAGE("https://drive.google.com/uc?export=view&amp;id=1pEWdmlOwV0a6FqNzDAYWY-L6XNEYZ5nf")</f>
        <v/>
      </c>
      <c r="J79" s="19" t="s">
        <v>17</v>
      </c>
    </row>
    <row r="80">
      <c r="A80" s="49">
        <v>79.0</v>
      </c>
      <c r="B80" s="37" t="s">
        <v>280</v>
      </c>
      <c r="C80" s="37" t="s">
        <v>1081</v>
      </c>
      <c r="D80" s="47" t="s">
        <v>1082</v>
      </c>
      <c r="E80" s="49">
        <v>1.0</v>
      </c>
      <c r="F80" s="49">
        <v>0.803</v>
      </c>
      <c r="G80" s="49">
        <v>1.0</v>
      </c>
      <c r="H80" s="49">
        <v>0.167</v>
      </c>
      <c r="I80" s="44" t="str">
        <f>IMAGE("https://drive.google.com/uc?export=view&amp;id=10ideIKge0MCTAdh-brdwzwkvozRdUpMD")</f>
        <v/>
      </c>
      <c r="J80" s="19" t="s">
        <v>17</v>
      </c>
    </row>
    <row r="81">
      <c r="A81" s="49">
        <v>80.0</v>
      </c>
      <c r="B81" s="37" t="s">
        <v>283</v>
      </c>
      <c r="C81" s="37" t="s">
        <v>1083</v>
      </c>
      <c r="D81" s="47" t="s">
        <v>1084</v>
      </c>
      <c r="E81" s="49">
        <v>0.727</v>
      </c>
      <c r="F81" s="49">
        <v>1.0</v>
      </c>
      <c r="G81" s="49">
        <v>0.45</v>
      </c>
      <c r="H81" s="49">
        <v>1.0</v>
      </c>
      <c r="I81" s="44" t="str">
        <f>IMAGE("https://drive.google.com/uc?export=view&amp;id=1jtPIcBcfTp-FJGydL_bvr3hL7_QcrN3i")</f>
        <v/>
      </c>
      <c r="J81" s="19" t="s">
        <v>17</v>
      </c>
    </row>
    <row r="82">
      <c r="A82" s="54"/>
      <c r="B82" s="36"/>
      <c r="C82" s="36"/>
      <c r="D82" s="50"/>
      <c r="E82" s="54"/>
      <c r="F82" s="54"/>
      <c r="G82" s="54"/>
      <c r="H82" s="54"/>
    </row>
    <row r="83">
      <c r="A83" s="54"/>
      <c r="B83" s="36"/>
      <c r="C83" s="36"/>
      <c r="D83" s="50"/>
      <c r="E83" s="54"/>
      <c r="F83" s="54"/>
      <c r="G83" s="54"/>
      <c r="H83" s="54"/>
    </row>
    <row r="84">
      <c r="A84" s="54"/>
      <c r="B84" s="36"/>
      <c r="C84" s="36"/>
      <c r="D84" s="50"/>
      <c r="E84" s="54"/>
      <c r="F84" s="54"/>
      <c r="G84" s="54"/>
      <c r="H84" s="54"/>
    </row>
    <row r="85">
      <c r="A85" s="54"/>
      <c r="B85" s="36"/>
      <c r="C85" s="36"/>
      <c r="D85" s="50"/>
      <c r="E85" s="54"/>
      <c r="F85" s="54"/>
      <c r="G85" s="54"/>
      <c r="H85" s="54"/>
    </row>
    <row r="86">
      <c r="A86" s="54"/>
      <c r="B86" s="36"/>
      <c r="C86" s="36"/>
      <c r="D86" s="50"/>
      <c r="E86" s="54"/>
      <c r="F86" s="54"/>
      <c r="G86" s="54"/>
      <c r="H86" s="54"/>
    </row>
    <row r="87">
      <c r="A87" s="54"/>
      <c r="B87" s="36"/>
      <c r="C87" s="36"/>
      <c r="D87" s="50"/>
      <c r="E87" s="54"/>
      <c r="F87" s="54"/>
      <c r="G87" s="54"/>
      <c r="H87" s="54"/>
    </row>
    <row r="88">
      <c r="A88" s="54"/>
      <c r="B88" s="36"/>
      <c r="C88" s="36"/>
      <c r="D88" s="50"/>
      <c r="E88" s="54"/>
      <c r="F88" s="54"/>
      <c r="G88" s="54"/>
      <c r="H88" s="54"/>
    </row>
    <row r="89">
      <c r="A89" s="54"/>
      <c r="B89" s="36"/>
      <c r="C89" s="36"/>
      <c r="D89" s="50"/>
      <c r="E89" s="54"/>
      <c r="F89" s="54"/>
      <c r="G89" s="54"/>
      <c r="H89" s="54"/>
    </row>
    <row r="90">
      <c r="A90" s="54"/>
      <c r="B90" s="36"/>
      <c r="C90" s="36"/>
      <c r="D90" s="50"/>
      <c r="E90" s="54"/>
      <c r="F90" s="54"/>
      <c r="G90" s="54"/>
      <c r="H90" s="54"/>
    </row>
    <row r="91">
      <c r="A91" s="54"/>
      <c r="B91" s="36"/>
      <c r="C91" s="36"/>
      <c r="D91" s="50"/>
      <c r="E91" s="54"/>
      <c r="F91" s="54"/>
      <c r="G91" s="54"/>
      <c r="H91" s="54"/>
    </row>
    <row r="92">
      <c r="A92" s="54"/>
      <c r="B92" s="36"/>
      <c r="C92" s="36"/>
      <c r="D92" s="50"/>
      <c r="E92" s="54"/>
      <c r="F92" s="54"/>
      <c r="G92" s="54"/>
      <c r="H92" s="54"/>
    </row>
    <row r="93">
      <c r="A93" s="54"/>
      <c r="B93" s="36"/>
      <c r="C93" s="36"/>
      <c r="D93" s="50"/>
      <c r="E93" s="54"/>
      <c r="F93" s="54"/>
      <c r="G93" s="54"/>
      <c r="H93" s="54"/>
    </row>
    <row r="94">
      <c r="A94" s="54"/>
      <c r="B94" s="36"/>
      <c r="C94" s="36"/>
      <c r="D94" s="50"/>
      <c r="E94" s="54"/>
      <c r="F94" s="54"/>
      <c r="G94" s="54"/>
      <c r="H94" s="54"/>
    </row>
    <row r="95">
      <c r="A95" s="54"/>
      <c r="B95" s="36"/>
      <c r="C95" s="36"/>
      <c r="D95" s="50"/>
      <c r="E95" s="54"/>
      <c r="F95" s="54"/>
      <c r="G95" s="54"/>
      <c r="H95" s="54"/>
    </row>
    <row r="96">
      <c r="A96" s="54"/>
      <c r="B96" s="36"/>
      <c r="C96" s="36"/>
      <c r="D96" s="50"/>
      <c r="E96" s="54"/>
      <c r="F96" s="54"/>
      <c r="G96" s="54"/>
      <c r="H96" s="54"/>
    </row>
    <row r="97">
      <c r="A97" s="54"/>
      <c r="B97" s="36"/>
      <c r="C97" s="36"/>
      <c r="D97" s="50"/>
      <c r="E97" s="54"/>
      <c r="F97" s="54"/>
      <c r="G97" s="54"/>
      <c r="H97" s="54"/>
    </row>
    <row r="98">
      <c r="A98" s="54"/>
      <c r="B98" s="36"/>
      <c r="C98" s="36"/>
      <c r="D98" s="50"/>
      <c r="E98" s="54"/>
      <c r="F98" s="54"/>
      <c r="G98" s="54"/>
      <c r="H98" s="54"/>
    </row>
    <row r="99">
      <c r="A99" s="54"/>
      <c r="B99" s="36"/>
      <c r="C99" s="36"/>
      <c r="D99" s="50"/>
      <c r="E99" s="54"/>
      <c r="F99" s="54"/>
      <c r="G99" s="54"/>
      <c r="H99" s="54"/>
    </row>
    <row r="100">
      <c r="A100" s="54"/>
      <c r="B100" s="36"/>
      <c r="C100" s="36"/>
      <c r="D100" s="50"/>
      <c r="E100" s="54"/>
      <c r="F100" s="54"/>
      <c r="G100" s="54"/>
      <c r="H100" s="54"/>
    </row>
    <row r="101">
      <c r="A101" s="54"/>
      <c r="B101" s="36"/>
      <c r="C101" s="36"/>
      <c r="D101" s="50"/>
      <c r="E101" s="54"/>
      <c r="F101" s="54"/>
      <c r="G101" s="54"/>
      <c r="H101" s="54"/>
    </row>
    <row r="102">
      <c r="A102" s="54"/>
      <c r="B102" s="36"/>
      <c r="C102" s="36"/>
      <c r="D102" s="50"/>
      <c r="E102" s="54"/>
      <c r="F102" s="54"/>
      <c r="G102" s="54"/>
      <c r="H102" s="54"/>
    </row>
    <row r="103">
      <c r="A103" s="54"/>
      <c r="B103" s="36"/>
      <c r="C103" s="36"/>
      <c r="D103" s="50"/>
      <c r="E103" s="54"/>
      <c r="F103" s="54"/>
      <c r="G103" s="54"/>
      <c r="H103" s="54"/>
    </row>
    <row r="104">
      <c r="A104" s="54"/>
      <c r="B104" s="36"/>
      <c r="C104" s="36"/>
      <c r="D104" s="50"/>
      <c r="E104" s="54"/>
      <c r="F104" s="54"/>
      <c r="G104" s="54"/>
      <c r="H104" s="54"/>
    </row>
    <row r="105">
      <c r="A105" s="54"/>
      <c r="B105" s="36"/>
      <c r="C105" s="36"/>
      <c r="D105" s="50"/>
      <c r="E105" s="54"/>
      <c r="F105" s="54"/>
      <c r="G105" s="54"/>
      <c r="H105" s="54"/>
    </row>
    <row r="106">
      <c r="A106" s="54"/>
      <c r="B106" s="36"/>
      <c r="C106" s="36"/>
      <c r="D106" s="50"/>
      <c r="E106" s="54"/>
      <c r="F106" s="54"/>
      <c r="G106" s="54"/>
      <c r="H106" s="54"/>
    </row>
    <row r="107">
      <c r="A107" s="54"/>
      <c r="B107" s="36"/>
      <c r="C107" s="36"/>
      <c r="D107" s="50"/>
      <c r="E107" s="54"/>
      <c r="F107" s="54"/>
      <c r="G107" s="54"/>
      <c r="H107" s="54"/>
    </row>
    <row r="108">
      <c r="A108" s="54"/>
      <c r="B108" s="36"/>
      <c r="C108" s="36"/>
      <c r="D108" s="50"/>
      <c r="E108" s="54"/>
      <c r="F108" s="54"/>
      <c r="G108" s="54"/>
      <c r="H108" s="54"/>
    </row>
    <row r="109">
      <c r="A109" s="54"/>
      <c r="B109" s="36"/>
      <c r="C109" s="36"/>
      <c r="D109" s="50"/>
      <c r="E109" s="54"/>
      <c r="F109" s="54"/>
      <c r="G109" s="54"/>
      <c r="H109" s="54"/>
    </row>
    <row r="110">
      <c r="A110" s="54"/>
      <c r="B110" s="36"/>
      <c r="C110" s="36"/>
      <c r="D110" s="50"/>
      <c r="E110" s="54"/>
      <c r="F110" s="54"/>
      <c r="G110" s="54"/>
      <c r="H110" s="54"/>
    </row>
    <row r="111">
      <c r="A111" s="54"/>
      <c r="B111" s="36"/>
      <c r="C111" s="36"/>
      <c r="D111" s="50"/>
      <c r="E111" s="54"/>
      <c r="F111" s="54"/>
      <c r="G111" s="54"/>
      <c r="H111" s="54"/>
    </row>
    <row r="112">
      <c r="A112" s="54"/>
      <c r="B112" s="36"/>
      <c r="C112" s="36"/>
      <c r="D112" s="50"/>
      <c r="E112" s="54"/>
      <c r="F112" s="54"/>
      <c r="G112" s="54"/>
      <c r="H112" s="54"/>
    </row>
    <row r="113">
      <c r="A113" s="54"/>
      <c r="B113" s="36"/>
      <c r="C113" s="36"/>
      <c r="D113" s="50"/>
      <c r="E113" s="54"/>
      <c r="F113" s="54"/>
      <c r="G113" s="54"/>
      <c r="H113" s="54"/>
    </row>
    <row r="114">
      <c r="A114" s="54"/>
      <c r="B114" s="36"/>
      <c r="C114" s="36"/>
      <c r="D114" s="50"/>
      <c r="E114" s="54"/>
      <c r="F114" s="54"/>
      <c r="G114" s="54"/>
      <c r="H114" s="54"/>
    </row>
    <row r="115">
      <c r="A115" s="54"/>
      <c r="B115" s="36"/>
      <c r="C115" s="36"/>
      <c r="D115" s="50"/>
      <c r="E115" s="54"/>
      <c r="F115" s="54"/>
      <c r="G115" s="54"/>
      <c r="H115" s="54"/>
    </row>
    <row r="116">
      <c r="A116" s="54"/>
      <c r="B116" s="36"/>
      <c r="C116" s="36"/>
      <c r="D116" s="50"/>
      <c r="E116" s="54"/>
      <c r="F116" s="54"/>
      <c r="G116" s="54"/>
      <c r="H116" s="54"/>
    </row>
    <row r="117">
      <c r="A117" s="54"/>
      <c r="B117" s="36"/>
      <c r="C117" s="36"/>
      <c r="D117" s="50"/>
      <c r="E117" s="54"/>
      <c r="F117" s="54"/>
      <c r="G117" s="54"/>
      <c r="H117" s="54"/>
    </row>
    <row r="118">
      <c r="A118" s="54"/>
      <c r="B118" s="36"/>
      <c r="C118" s="36"/>
      <c r="D118" s="50"/>
      <c r="E118" s="54"/>
      <c r="F118" s="54"/>
      <c r="G118" s="54"/>
      <c r="H118" s="54"/>
    </row>
    <row r="119">
      <c r="A119" s="54"/>
      <c r="B119" s="36"/>
      <c r="C119" s="36"/>
      <c r="D119" s="50"/>
      <c r="E119" s="54"/>
      <c r="F119" s="54"/>
      <c r="G119" s="54"/>
      <c r="H119" s="54"/>
    </row>
    <row r="120">
      <c r="A120" s="54"/>
      <c r="B120" s="36"/>
      <c r="C120" s="36"/>
      <c r="D120" s="50"/>
      <c r="E120" s="54"/>
      <c r="F120" s="54"/>
      <c r="G120" s="54"/>
      <c r="H120" s="54"/>
    </row>
    <row r="121">
      <c r="A121" s="54"/>
      <c r="B121" s="36"/>
      <c r="C121" s="36"/>
      <c r="D121" s="50"/>
      <c r="E121" s="54"/>
      <c r="F121" s="54"/>
      <c r="G121" s="54"/>
      <c r="H121" s="54"/>
    </row>
    <row r="122">
      <c r="A122" s="54"/>
      <c r="B122" s="36"/>
      <c r="C122" s="36"/>
      <c r="D122" s="50"/>
      <c r="E122" s="54"/>
      <c r="F122" s="54"/>
      <c r="G122" s="54"/>
      <c r="H122" s="54"/>
    </row>
    <row r="123">
      <c r="A123" s="54"/>
      <c r="B123" s="36"/>
      <c r="C123" s="36"/>
      <c r="D123" s="50"/>
      <c r="E123" s="54"/>
      <c r="F123" s="54"/>
      <c r="G123" s="54"/>
      <c r="H123" s="54"/>
    </row>
    <row r="124">
      <c r="A124" s="54"/>
      <c r="B124" s="36"/>
      <c r="C124" s="36"/>
      <c r="D124" s="50"/>
      <c r="E124" s="54"/>
      <c r="F124" s="54"/>
      <c r="G124" s="54"/>
      <c r="H124" s="54"/>
    </row>
    <row r="125">
      <c r="A125" s="54"/>
      <c r="B125" s="36"/>
      <c r="C125" s="36"/>
      <c r="D125" s="50"/>
      <c r="E125" s="54"/>
      <c r="F125" s="54"/>
      <c r="G125" s="54"/>
      <c r="H125" s="54"/>
    </row>
    <row r="126">
      <c r="A126" s="54"/>
      <c r="B126" s="36"/>
      <c r="C126" s="36"/>
      <c r="D126" s="50"/>
      <c r="E126" s="54"/>
      <c r="F126" s="54"/>
      <c r="G126" s="54"/>
      <c r="H126" s="54"/>
    </row>
    <row r="127">
      <c r="A127" s="54"/>
      <c r="B127" s="36"/>
      <c r="C127" s="36"/>
      <c r="D127" s="50"/>
      <c r="E127" s="54"/>
      <c r="F127" s="54"/>
      <c r="G127" s="54"/>
      <c r="H127" s="54"/>
    </row>
    <row r="128">
      <c r="A128" s="54"/>
      <c r="B128" s="36"/>
      <c r="C128" s="36"/>
      <c r="D128" s="50"/>
      <c r="E128" s="54"/>
      <c r="F128" s="54"/>
      <c r="G128" s="54"/>
      <c r="H128" s="54"/>
    </row>
    <row r="129">
      <c r="A129" s="54"/>
      <c r="B129" s="36"/>
      <c r="C129" s="36"/>
      <c r="D129" s="50"/>
      <c r="E129" s="54"/>
      <c r="F129" s="54"/>
      <c r="G129" s="54"/>
      <c r="H129" s="54"/>
    </row>
    <row r="130">
      <c r="A130" s="54"/>
      <c r="B130" s="36"/>
      <c r="C130" s="36"/>
      <c r="D130" s="50"/>
      <c r="E130" s="54"/>
      <c r="F130" s="54"/>
      <c r="G130" s="54"/>
      <c r="H130" s="54"/>
    </row>
    <row r="131">
      <c r="A131" s="54"/>
      <c r="B131" s="36"/>
      <c r="C131" s="36"/>
      <c r="D131" s="50"/>
      <c r="E131" s="54"/>
      <c r="F131" s="54"/>
      <c r="G131" s="54"/>
      <c r="H131" s="54"/>
    </row>
    <row r="132">
      <c r="A132" s="54"/>
      <c r="B132" s="36"/>
      <c r="C132" s="36"/>
      <c r="D132" s="50"/>
      <c r="E132" s="54"/>
      <c r="F132" s="54"/>
      <c r="G132" s="54"/>
      <c r="H132" s="54"/>
    </row>
    <row r="133">
      <c r="A133" s="54"/>
      <c r="B133" s="36"/>
      <c r="C133" s="36"/>
      <c r="D133" s="50"/>
      <c r="E133" s="54"/>
      <c r="F133" s="54"/>
      <c r="G133" s="54"/>
      <c r="H133" s="54"/>
    </row>
    <row r="134">
      <c r="A134" s="54"/>
      <c r="B134" s="36"/>
      <c r="C134" s="36"/>
      <c r="D134" s="50"/>
      <c r="E134" s="54"/>
      <c r="F134" s="54"/>
      <c r="G134" s="54"/>
      <c r="H134" s="54"/>
    </row>
    <row r="135">
      <c r="A135" s="54"/>
      <c r="B135" s="36"/>
      <c r="C135" s="36"/>
      <c r="D135" s="50"/>
      <c r="E135" s="54"/>
      <c r="F135" s="54"/>
      <c r="G135" s="54"/>
      <c r="H135" s="54"/>
    </row>
    <row r="136">
      <c r="A136" s="54"/>
      <c r="B136" s="36"/>
      <c r="C136" s="36"/>
      <c r="D136" s="50"/>
      <c r="E136" s="54"/>
      <c r="F136" s="54"/>
      <c r="G136" s="54"/>
      <c r="H136" s="54"/>
    </row>
    <row r="137">
      <c r="A137" s="54"/>
      <c r="B137" s="36"/>
      <c r="C137" s="36"/>
      <c r="D137" s="50"/>
      <c r="E137" s="54"/>
      <c r="F137" s="54"/>
      <c r="G137" s="54"/>
      <c r="H137" s="54"/>
    </row>
    <row r="138">
      <c r="A138" s="54"/>
      <c r="B138" s="36"/>
      <c r="C138" s="36"/>
      <c r="D138" s="50"/>
      <c r="E138" s="54"/>
      <c r="F138" s="54"/>
      <c r="G138" s="54"/>
      <c r="H138" s="54"/>
    </row>
    <row r="139">
      <c r="A139" s="54"/>
      <c r="B139" s="36"/>
      <c r="C139" s="36"/>
      <c r="D139" s="50"/>
      <c r="E139" s="54"/>
      <c r="F139" s="54"/>
      <c r="G139" s="54"/>
      <c r="H139" s="54"/>
    </row>
    <row r="140">
      <c r="A140" s="54"/>
      <c r="B140" s="36"/>
      <c r="C140" s="36"/>
      <c r="D140" s="50"/>
      <c r="E140" s="54"/>
      <c r="F140" s="54"/>
      <c r="G140" s="54"/>
      <c r="H140" s="54"/>
    </row>
    <row r="141">
      <c r="A141" s="54"/>
      <c r="B141" s="36"/>
      <c r="C141" s="36"/>
      <c r="D141" s="50"/>
      <c r="E141" s="54"/>
      <c r="F141" s="54"/>
      <c r="G141" s="54"/>
      <c r="H141" s="54"/>
    </row>
    <row r="142">
      <c r="A142" s="54"/>
      <c r="B142" s="36"/>
      <c r="C142" s="36"/>
      <c r="D142" s="50"/>
      <c r="E142" s="54"/>
      <c r="F142" s="54"/>
      <c r="G142" s="54"/>
      <c r="H142" s="54"/>
    </row>
    <row r="143">
      <c r="A143" s="54"/>
      <c r="B143" s="36"/>
      <c r="C143" s="36"/>
      <c r="D143" s="50"/>
      <c r="E143" s="54"/>
      <c r="F143" s="54"/>
      <c r="G143" s="54"/>
      <c r="H143" s="54"/>
    </row>
    <row r="144">
      <c r="A144" s="54"/>
      <c r="B144" s="36"/>
      <c r="C144" s="36"/>
      <c r="D144" s="50"/>
      <c r="E144" s="54"/>
      <c r="F144" s="54"/>
      <c r="G144" s="54"/>
      <c r="H144" s="54"/>
    </row>
    <row r="145">
      <c r="A145" s="54"/>
      <c r="B145" s="36"/>
      <c r="C145" s="36"/>
      <c r="D145" s="50"/>
      <c r="E145" s="54"/>
      <c r="F145" s="54"/>
      <c r="G145" s="54"/>
      <c r="H145" s="54"/>
    </row>
    <row r="146">
      <c r="A146" s="54"/>
      <c r="B146" s="36"/>
      <c r="C146" s="36"/>
      <c r="D146" s="50"/>
      <c r="E146" s="54"/>
      <c r="F146" s="54"/>
      <c r="G146" s="54"/>
      <c r="H146" s="54"/>
    </row>
    <row r="147">
      <c r="A147" s="54"/>
      <c r="B147" s="36"/>
      <c r="C147" s="36"/>
      <c r="D147" s="50"/>
      <c r="E147" s="54"/>
      <c r="F147" s="54"/>
      <c r="G147" s="54"/>
      <c r="H147" s="54"/>
    </row>
    <row r="148">
      <c r="A148" s="54"/>
      <c r="B148" s="36"/>
      <c r="C148" s="36"/>
      <c r="D148" s="50"/>
      <c r="E148" s="54"/>
      <c r="F148" s="54"/>
      <c r="G148" s="54"/>
      <c r="H148" s="54"/>
    </row>
    <row r="149">
      <c r="A149" s="54"/>
      <c r="B149" s="36"/>
      <c r="C149" s="36"/>
      <c r="D149" s="50"/>
      <c r="E149" s="54"/>
      <c r="F149" s="54"/>
      <c r="G149" s="54"/>
      <c r="H149" s="54"/>
    </row>
    <row r="150">
      <c r="A150" s="54"/>
      <c r="B150" s="36"/>
      <c r="C150" s="36"/>
      <c r="D150" s="50"/>
      <c r="E150" s="54"/>
      <c r="F150" s="54"/>
      <c r="G150" s="54"/>
      <c r="H150" s="54"/>
    </row>
    <row r="151">
      <c r="A151" s="54"/>
      <c r="B151" s="36"/>
      <c r="C151" s="36"/>
      <c r="D151" s="50"/>
      <c r="E151" s="54"/>
      <c r="F151" s="54"/>
      <c r="G151" s="54"/>
      <c r="H151" s="54"/>
    </row>
    <row r="152">
      <c r="A152" s="54"/>
      <c r="B152" s="36"/>
      <c r="C152" s="36"/>
      <c r="D152" s="50"/>
      <c r="E152" s="54"/>
      <c r="F152" s="54"/>
      <c r="G152" s="54"/>
      <c r="H152" s="54"/>
    </row>
    <row r="153">
      <c r="A153" s="54"/>
      <c r="B153" s="36"/>
      <c r="C153" s="36"/>
      <c r="D153" s="50"/>
      <c r="E153" s="54"/>
      <c r="F153" s="54"/>
      <c r="G153" s="54"/>
      <c r="H153" s="54"/>
    </row>
    <row r="154">
      <c r="A154" s="54"/>
      <c r="B154" s="36"/>
      <c r="C154" s="36"/>
      <c r="D154" s="50"/>
      <c r="E154" s="54"/>
      <c r="F154" s="54"/>
      <c r="G154" s="54"/>
      <c r="H154" s="54"/>
    </row>
    <row r="155">
      <c r="A155" s="54"/>
      <c r="B155" s="36"/>
      <c r="C155" s="36"/>
      <c r="D155" s="50"/>
      <c r="E155" s="54"/>
      <c r="F155" s="54"/>
      <c r="G155" s="54"/>
      <c r="H155" s="54"/>
    </row>
    <row r="156">
      <c r="A156" s="54"/>
      <c r="B156" s="36"/>
      <c r="C156" s="36"/>
      <c r="D156" s="50"/>
      <c r="E156" s="54"/>
      <c r="F156" s="54"/>
      <c r="G156" s="54"/>
      <c r="H156" s="54"/>
    </row>
    <row r="157">
      <c r="A157" s="54"/>
      <c r="B157" s="36"/>
      <c r="C157" s="36"/>
      <c r="D157" s="50"/>
      <c r="E157" s="54"/>
      <c r="F157" s="54"/>
      <c r="G157" s="54"/>
      <c r="H157" s="54"/>
    </row>
    <row r="158">
      <c r="A158" s="54"/>
      <c r="B158" s="36"/>
      <c r="C158" s="36"/>
      <c r="D158" s="50"/>
      <c r="E158" s="54"/>
      <c r="F158" s="54"/>
      <c r="G158" s="54"/>
      <c r="H158" s="54"/>
    </row>
    <row r="159">
      <c r="A159" s="54"/>
      <c r="B159" s="36"/>
      <c r="C159" s="36"/>
      <c r="D159" s="50"/>
      <c r="E159" s="54"/>
      <c r="F159" s="54"/>
      <c r="G159" s="54"/>
      <c r="H159" s="54"/>
    </row>
    <row r="160">
      <c r="A160" s="54"/>
      <c r="B160" s="36"/>
      <c r="C160" s="36"/>
      <c r="D160" s="50"/>
      <c r="E160" s="54"/>
      <c r="F160" s="54"/>
      <c r="G160" s="54"/>
      <c r="H160" s="54"/>
    </row>
    <row r="161">
      <c r="A161" s="54"/>
      <c r="B161" s="36"/>
      <c r="C161" s="36"/>
      <c r="D161" s="50"/>
      <c r="E161" s="54"/>
      <c r="F161" s="54"/>
      <c r="G161" s="54"/>
      <c r="H161" s="54"/>
    </row>
    <row r="162">
      <c r="A162" s="54"/>
      <c r="B162" s="36"/>
      <c r="C162" s="36"/>
      <c r="D162" s="50"/>
      <c r="E162" s="54"/>
      <c r="F162" s="54"/>
      <c r="G162" s="54"/>
      <c r="H162" s="54"/>
    </row>
    <row r="163">
      <c r="A163" s="54"/>
      <c r="B163" s="36"/>
      <c r="C163" s="36"/>
      <c r="D163" s="50"/>
      <c r="E163" s="54"/>
      <c r="F163" s="54"/>
      <c r="G163" s="54"/>
      <c r="H163" s="54"/>
    </row>
    <row r="164">
      <c r="A164" s="54"/>
      <c r="B164" s="36"/>
      <c r="C164" s="36"/>
      <c r="D164" s="50"/>
      <c r="E164" s="54"/>
      <c r="F164" s="54"/>
      <c r="G164" s="54"/>
      <c r="H164" s="54"/>
    </row>
    <row r="165">
      <c r="A165" s="54"/>
      <c r="B165" s="36"/>
      <c r="C165" s="36"/>
      <c r="D165" s="50"/>
      <c r="E165" s="54"/>
      <c r="F165" s="54"/>
      <c r="G165" s="54"/>
      <c r="H165" s="54"/>
    </row>
    <row r="166">
      <c r="A166" s="54"/>
      <c r="B166" s="36"/>
      <c r="C166" s="36"/>
      <c r="D166" s="50"/>
      <c r="E166" s="54"/>
      <c r="F166" s="54"/>
      <c r="G166" s="54"/>
      <c r="H166" s="54"/>
    </row>
    <row r="167">
      <c r="A167" s="54"/>
      <c r="B167" s="36"/>
      <c r="C167" s="36"/>
      <c r="D167" s="50"/>
      <c r="E167" s="54"/>
      <c r="F167" s="54"/>
      <c r="G167" s="54"/>
      <c r="H167" s="54"/>
    </row>
    <row r="168">
      <c r="A168" s="54"/>
      <c r="B168" s="36"/>
      <c r="C168" s="36"/>
      <c r="D168" s="50"/>
      <c r="E168" s="54"/>
      <c r="F168" s="54"/>
      <c r="G168" s="54"/>
      <c r="H168" s="54"/>
    </row>
    <row r="169">
      <c r="A169" s="54"/>
      <c r="B169" s="36"/>
      <c r="C169" s="36"/>
      <c r="D169" s="50"/>
      <c r="E169" s="54"/>
      <c r="F169" s="54"/>
      <c r="G169" s="54"/>
      <c r="H169" s="54"/>
    </row>
    <row r="170">
      <c r="A170" s="54"/>
      <c r="B170" s="36"/>
      <c r="C170" s="36"/>
      <c r="D170" s="50"/>
      <c r="E170" s="54"/>
      <c r="F170" s="54"/>
      <c r="G170" s="54"/>
      <c r="H170" s="54"/>
    </row>
    <row r="171">
      <c r="A171" s="54"/>
      <c r="B171" s="36"/>
      <c r="C171" s="36"/>
      <c r="D171" s="50"/>
      <c r="E171" s="54"/>
      <c r="F171" s="54"/>
      <c r="G171" s="54"/>
      <c r="H171" s="54"/>
    </row>
    <row r="172">
      <c r="A172" s="54"/>
      <c r="B172" s="36"/>
      <c r="C172" s="36"/>
      <c r="D172" s="50"/>
      <c r="E172" s="54"/>
      <c r="F172" s="54"/>
      <c r="G172" s="54"/>
      <c r="H172" s="54"/>
    </row>
    <row r="173">
      <c r="A173" s="54"/>
      <c r="B173" s="36"/>
      <c r="C173" s="36"/>
      <c r="D173" s="50"/>
      <c r="E173" s="54"/>
      <c r="F173" s="54"/>
      <c r="G173" s="54"/>
      <c r="H173" s="54"/>
    </row>
    <row r="174">
      <c r="A174" s="54"/>
      <c r="B174" s="36"/>
      <c r="C174" s="36"/>
      <c r="D174" s="50"/>
      <c r="E174" s="54"/>
      <c r="F174" s="54"/>
      <c r="G174" s="54"/>
      <c r="H174" s="54"/>
    </row>
    <row r="175">
      <c r="A175" s="54"/>
      <c r="B175" s="36"/>
      <c r="C175" s="36"/>
      <c r="D175" s="50"/>
      <c r="E175" s="54"/>
      <c r="F175" s="54"/>
      <c r="G175" s="54"/>
      <c r="H175" s="54"/>
    </row>
    <row r="176">
      <c r="A176" s="54"/>
      <c r="B176" s="36"/>
      <c r="C176" s="36"/>
      <c r="D176" s="50"/>
      <c r="E176" s="54"/>
      <c r="F176" s="54"/>
      <c r="G176" s="54"/>
      <c r="H176" s="54"/>
    </row>
    <row r="177">
      <c r="A177" s="54"/>
      <c r="B177" s="36"/>
      <c r="C177" s="36"/>
      <c r="D177" s="50"/>
      <c r="E177" s="54"/>
      <c r="F177" s="54"/>
      <c r="G177" s="54"/>
      <c r="H177" s="54"/>
    </row>
    <row r="178">
      <c r="A178" s="54"/>
      <c r="B178" s="36"/>
      <c r="C178" s="36"/>
      <c r="D178" s="50"/>
      <c r="E178" s="54"/>
      <c r="F178" s="54"/>
      <c r="G178" s="54"/>
      <c r="H178" s="54"/>
    </row>
    <row r="179">
      <c r="A179" s="54"/>
      <c r="B179" s="36"/>
      <c r="C179" s="36"/>
      <c r="D179" s="50"/>
      <c r="E179" s="54"/>
      <c r="F179" s="54"/>
      <c r="G179" s="54"/>
      <c r="H179" s="54"/>
    </row>
    <row r="180">
      <c r="A180" s="54"/>
      <c r="B180" s="36"/>
      <c r="C180" s="36"/>
      <c r="D180" s="50"/>
      <c r="E180" s="54"/>
      <c r="F180" s="54"/>
      <c r="G180" s="54"/>
      <c r="H180" s="54"/>
    </row>
    <row r="181">
      <c r="A181" s="54"/>
      <c r="B181" s="36"/>
      <c r="C181" s="36"/>
      <c r="D181" s="50"/>
      <c r="E181" s="54"/>
      <c r="F181" s="54"/>
      <c r="G181" s="54"/>
      <c r="H181" s="54"/>
    </row>
    <row r="182">
      <c r="A182" s="54"/>
      <c r="B182" s="36"/>
      <c r="C182" s="36"/>
      <c r="D182" s="50"/>
      <c r="E182" s="54"/>
      <c r="F182" s="54"/>
      <c r="G182" s="54"/>
      <c r="H182" s="54"/>
    </row>
    <row r="183">
      <c r="A183" s="54"/>
      <c r="B183" s="36"/>
      <c r="C183" s="36"/>
      <c r="D183" s="50"/>
      <c r="E183" s="54"/>
      <c r="F183" s="54"/>
      <c r="G183" s="54"/>
      <c r="H183" s="54"/>
    </row>
    <row r="184">
      <c r="A184" s="54"/>
      <c r="B184" s="36"/>
      <c r="C184" s="36"/>
      <c r="D184" s="50"/>
      <c r="E184" s="54"/>
      <c r="F184" s="54"/>
      <c r="G184" s="54"/>
      <c r="H184" s="54"/>
    </row>
    <row r="185">
      <c r="A185" s="54"/>
      <c r="B185" s="36"/>
      <c r="C185" s="36"/>
      <c r="D185" s="50"/>
      <c r="E185" s="54"/>
      <c r="F185" s="54"/>
      <c r="G185" s="54"/>
      <c r="H185" s="54"/>
    </row>
    <row r="186">
      <c r="A186" s="54"/>
      <c r="B186" s="36"/>
      <c r="C186" s="36"/>
      <c r="D186" s="50"/>
      <c r="E186" s="54"/>
      <c r="F186" s="54"/>
      <c r="G186" s="54"/>
      <c r="H186" s="54"/>
    </row>
    <row r="187">
      <c r="A187" s="54"/>
      <c r="B187" s="36"/>
      <c r="C187" s="36"/>
      <c r="D187" s="50"/>
      <c r="E187" s="54"/>
      <c r="F187" s="54"/>
      <c r="G187" s="54"/>
      <c r="H187" s="54"/>
    </row>
    <row r="188">
      <c r="A188" s="54"/>
      <c r="B188" s="36"/>
      <c r="C188" s="36"/>
      <c r="D188" s="50"/>
      <c r="E188" s="54"/>
      <c r="F188" s="54"/>
      <c r="G188" s="54"/>
      <c r="H188" s="54"/>
    </row>
    <row r="189">
      <c r="A189" s="54"/>
      <c r="B189" s="36"/>
      <c r="C189" s="36"/>
      <c r="D189" s="50"/>
      <c r="E189" s="54"/>
      <c r="F189" s="54"/>
      <c r="G189" s="54"/>
      <c r="H189" s="54"/>
    </row>
    <row r="190">
      <c r="A190" s="54"/>
      <c r="B190" s="36"/>
      <c r="C190" s="36"/>
      <c r="D190" s="50"/>
      <c r="E190" s="54"/>
      <c r="F190" s="54"/>
      <c r="G190" s="54"/>
      <c r="H190" s="54"/>
    </row>
    <row r="191">
      <c r="A191" s="54"/>
      <c r="B191" s="36"/>
      <c r="C191" s="36"/>
      <c r="D191" s="50"/>
      <c r="E191" s="54"/>
      <c r="F191" s="54"/>
      <c r="G191" s="54"/>
      <c r="H191" s="54"/>
    </row>
    <row r="192">
      <c r="A192" s="54"/>
      <c r="B192" s="36"/>
      <c r="C192" s="36"/>
      <c r="D192" s="50"/>
      <c r="E192" s="54"/>
      <c r="F192" s="54"/>
      <c r="G192" s="54"/>
      <c r="H192" s="54"/>
    </row>
    <row r="193">
      <c r="A193" s="54"/>
      <c r="B193" s="36"/>
      <c r="C193" s="36"/>
      <c r="D193" s="50"/>
      <c r="E193" s="54"/>
      <c r="F193" s="54"/>
      <c r="G193" s="54"/>
      <c r="H193" s="54"/>
    </row>
    <row r="194">
      <c r="A194" s="54"/>
      <c r="B194" s="36"/>
      <c r="C194" s="36"/>
      <c r="D194" s="50"/>
      <c r="E194" s="54"/>
      <c r="F194" s="54"/>
      <c r="G194" s="54"/>
      <c r="H194" s="54"/>
    </row>
    <row r="195">
      <c r="A195" s="54"/>
      <c r="B195" s="36"/>
      <c r="C195" s="36"/>
      <c r="D195" s="50"/>
      <c r="E195" s="54"/>
      <c r="F195" s="54"/>
      <c r="G195" s="54"/>
      <c r="H195" s="54"/>
    </row>
    <row r="196">
      <c r="A196" s="54"/>
      <c r="B196" s="36"/>
      <c r="C196" s="36"/>
      <c r="D196" s="50"/>
      <c r="E196" s="54"/>
      <c r="F196" s="54"/>
      <c r="G196" s="54"/>
      <c r="H196" s="54"/>
    </row>
    <row r="197">
      <c r="A197" s="54"/>
      <c r="B197" s="36"/>
      <c r="C197" s="36"/>
      <c r="D197" s="50"/>
      <c r="E197" s="54"/>
      <c r="F197" s="54"/>
      <c r="G197" s="54"/>
      <c r="H197" s="54"/>
    </row>
    <row r="198">
      <c r="A198" s="54"/>
      <c r="B198" s="36"/>
      <c r="C198" s="36"/>
      <c r="D198" s="50"/>
      <c r="E198" s="54"/>
      <c r="F198" s="54"/>
      <c r="G198" s="54"/>
      <c r="H198" s="54"/>
    </row>
    <row r="199">
      <c r="A199" s="54"/>
      <c r="B199" s="36"/>
      <c r="C199" s="36"/>
      <c r="D199" s="50"/>
      <c r="E199" s="54"/>
      <c r="F199" s="54"/>
      <c r="G199" s="54"/>
      <c r="H199" s="54"/>
    </row>
    <row r="200">
      <c r="A200" s="54"/>
      <c r="B200" s="36"/>
      <c r="C200" s="36"/>
      <c r="D200" s="50"/>
      <c r="E200" s="54"/>
      <c r="F200" s="54"/>
      <c r="G200" s="54"/>
      <c r="H200" s="54"/>
    </row>
    <row r="201">
      <c r="A201" s="54"/>
      <c r="B201" s="36"/>
      <c r="C201" s="36"/>
      <c r="D201" s="50"/>
      <c r="E201" s="54"/>
      <c r="F201" s="54"/>
      <c r="G201" s="54"/>
      <c r="H201" s="54"/>
    </row>
    <row r="202">
      <c r="A202" s="54"/>
      <c r="B202" s="36"/>
      <c r="C202" s="36"/>
      <c r="D202" s="50"/>
      <c r="E202" s="54"/>
      <c r="F202" s="54"/>
      <c r="G202" s="54"/>
      <c r="H202" s="54"/>
    </row>
    <row r="203">
      <c r="A203" s="54"/>
      <c r="B203" s="36"/>
      <c r="C203" s="36"/>
      <c r="D203" s="50"/>
      <c r="E203" s="54"/>
      <c r="F203" s="54"/>
      <c r="G203" s="54"/>
      <c r="H203" s="54"/>
    </row>
    <row r="204">
      <c r="A204" s="54"/>
      <c r="B204" s="36"/>
      <c r="C204" s="36"/>
      <c r="D204" s="50"/>
      <c r="E204" s="54"/>
      <c r="F204" s="54"/>
      <c r="G204" s="54"/>
      <c r="H204" s="54"/>
    </row>
    <row r="205">
      <c r="A205" s="54"/>
      <c r="B205" s="36"/>
      <c r="C205" s="36"/>
      <c r="D205" s="50"/>
      <c r="E205" s="54"/>
      <c r="F205" s="54"/>
      <c r="G205" s="54"/>
      <c r="H205" s="54"/>
    </row>
    <row r="206">
      <c r="A206" s="54"/>
      <c r="B206" s="36"/>
      <c r="C206" s="36"/>
      <c r="D206" s="50"/>
      <c r="E206" s="54"/>
      <c r="F206" s="54"/>
      <c r="G206" s="54"/>
      <c r="H206" s="54"/>
    </row>
    <row r="207">
      <c r="A207" s="54"/>
      <c r="B207" s="36"/>
      <c r="C207" s="36"/>
      <c r="D207" s="50"/>
      <c r="E207" s="54"/>
      <c r="F207" s="54"/>
      <c r="G207" s="54"/>
      <c r="H207" s="54"/>
    </row>
    <row r="208">
      <c r="A208" s="54"/>
      <c r="B208" s="36"/>
      <c r="C208" s="36"/>
      <c r="D208" s="50"/>
      <c r="E208" s="54"/>
      <c r="F208" s="54"/>
      <c r="G208" s="54"/>
      <c r="H208" s="54"/>
    </row>
    <row r="209">
      <c r="A209" s="54"/>
      <c r="B209" s="36"/>
      <c r="C209" s="36"/>
      <c r="D209" s="50"/>
      <c r="E209" s="54"/>
      <c r="F209" s="54"/>
      <c r="G209" s="54"/>
      <c r="H209" s="54"/>
    </row>
    <row r="210">
      <c r="A210" s="54"/>
      <c r="B210" s="36"/>
      <c r="C210" s="36"/>
      <c r="D210" s="50"/>
      <c r="E210" s="54"/>
      <c r="F210" s="54"/>
      <c r="G210" s="54"/>
      <c r="H210" s="54"/>
    </row>
    <row r="211">
      <c r="A211" s="54"/>
      <c r="B211" s="36"/>
      <c r="C211" s="36"/>
      <c r="D211" s="50"/>
      <c r="E211" s="54"/>
      <c r="F211" s="54"/>
      <c r="G211" s="54"/>
      <c r="H211" s="54"/>
    </row>
    <row r="212">
      <c r="A212" s="54"/>
      <c r="B212" s="36"/>
      <c r="C212" s="36"/>
      <c r="D212" s="50"/>
      <c r="E212" s="54"/>
      <c r="F212" s="54"/>
      <c r="G212" s="54"/>
      <c r="H212" s="54"/>
    </row>
    <row r="213">
      <c r="A213" s="54"/>
      <c r="B213" s="36"/>
      <c r="C213" s="36"/>
      <c r="D213" s="50"/>
      <c r="E213" s="54"/>
      <c r="F213" s="54"/>
      <c r="G213" s="54"/>
      <c r="H213" s="54"/>
    </row>
    <row r="214">
      <c r="A214" s="54"/>
      <c r="B214" s="36"/>
      <c r="C214" s="36"/>
      <c r="D214" s="50"/>
      <c r="E214" s="54"/>
      <c r="F214" s="54"/>
      <c r="G214" s="54"/>
      <c r="H214" s="54"/>
    </row>
    <row r="215">
      <c r="A215" s="54"/>
      <c r="B215" s="36"/>
      <c r="C215" s="36"/>
      <c r="D215" s="50"/>
      <c r="E215" s="54"/>
      <c r="F215" s="54"/>
      <c r="G215" s="54"/>
      <c r="H215" s="54"/>
    </row>
    <row r="216">
      <c r="A216" s="54"/>
      <c r="B216" s="36"/>
      <c r="C216" s="36"/>
      <c r="D216" s="50"/>
      <c r="E216" s="54"/>
      <c r="F216" s="54"/>
      <c r="G216" s="54"/>
      <c r="H216" s="54"/>
    </row>
    <row r="217">
      <c r="A217" s="54"/>
      <c r="B217" s="36"/>
      <c r="C217" s="36"/>
      <c r="D217" s="50"/>
      <c r="E217" s="54"/>
      <c r="F217" s="54"/>
      <c r="G217" s="54"/>
      <c r="H217" s="54"/>
    </row>
    <row r="218">
      <c r="A218" s="54"/>
      <c r="B218" s="36"/>
      <c r="C218" s="36"/>
      <c r="D218" s="50"/>
      <c r="E218" s="54"/>
      <c r="F218" s="54"/>
      <c r="G218" s="54"/>
      <c r="H218" s="54"/>
    </row>
    <row r="219">
      <c r="A219" s="54"/>
      <c r="B219" s="36"/>
      <c r="C219" s="36"/>
      <c r="D219" s="50"/>
      <c r="E219" s="54"/>
      <c r="F219" s="54"/>
      <c r="G219" s="54"/>
      <c r="H219" s="54"/>
    </row>
    <row r="220">
      <c r="A220" s="54"/>
      <c r="B220" s="36"/>
      <c r="C220" s="36"/>
      <c r="D220" s="50"/>
      <c r="E220" s="54"/>
      <c r="F220" s="54"/>
      <c r="G220" s="54"/>
      <c r="H220" s="54"/>
    </row>
    <row r="221">
      <c r="A221" s="54"/>
      <c r="B221" s="36"/>
      <c r="C221" s="36"/>
      <c r="D221" s="50"/>
      <c r="E221" s="54"/>
      <c r="F221" s="54"/>
      <c r="G221" s="54"/>
      <c r="H221" s="54"/>
    </row>
    <row r="222">
      <c r="A222" s="54"/>
      <c r="B222" s="36"/>
      <c r="C222" s="36"/>
      <c r="D222" s="50"/>
      <c r="E222" s="54"/>
      <c r="F222" s="54"/>
      <c r="G222" s="54"/>
      <c r="H222" s="54"/>
    </row>
    <row r="223">
      <c r="A223" s="54"/>
      <c r="B223" s="36"/>
      <c r="C223" s="36"/>
      <c r="D223" s="50"/>
      <c r="E223" s="54"/>
      <c r="F223" s="54"/>
      <c r="G223" s="54"/>
      <c r="H223" s="54"/>
    </row>
    <row r="224">
      <c r="A224" s="54"/>
      <c r="B224" s="36"/>
      <c r="C224" s="36"/>
      <c r="D224" s="50"/>
      <c r="E224" s="54"/>
      <c r="F224" s="54"/>
      <c r="G224" s="54"/>
      <c r="H224" s="54"/>
    </row>
    <row r="225">
      <c r="A225" s="54"/>
      <c r="B225" s="36"/>
      <c r="C225" s="36"/>
      <c r="D225" s="50"/>
      <c r="E225" s="54"/>
      <c r="F225" s="54"/>
      <c r="G225" s="54"/>
      <c r="H225" s="54"/>
    </row>
    <row r="226">
      <c r="A226" s="54"/>
      <c r="B226" s="36"/>
      <c r="C226" s="36"/>
      <c r="D226" s="50"/>
      <c r="E226" s="54"/>
      <c r="F226" s="54"/>
      <c r="G226" s="54"/>
      <c r="H226" s="54"/>
    </row>
    <row r="227">
      <c r="A227" s="54"/>
      <c r="B227" s="36"/>
      <c r="C227" s="36"/>
      <c r="D227" s="50"/>
      <c r="E227" s="54"/>
      <c r="F227" s="54"/>
      <c r="G227" s="54"/>
      <c r="H227" s="54"/>
    </row>
    <row r="228">
      <c r="A228" s="54"/>
      <c r="B228" s="36"/>
      <c r="C228" s="36"/>
      <c r="D228" s="50"/>
      <c r="E228" s="54"/>
      <c r="F228" s="54"/>
      <c r="G228" s="54"/>
      <c r="H228" s="54"/>
    </row>
    <row r="229">
      <c r="A229" s="54"/>
      <c r="B229" s="36"/>
      <c r="C229" s="36"/>
      <c r="D229" s="50"/>
      <c r="E229" s="54"/>
      <c r="F229" s="54"/>
      <c r="G229" s="54"/>
      <c r="H229" s="54"/>
    </row>
    <row r="230">
      <c r="A230" s="54"/>
      <c r="B230" s="36"/>
      <c r="C230" s="36"/>
      <c r="D230" s="50"/>
      <c r="E230" s="54"/>
      <c r="F230" s="54"/>
      <c r="G230" s="54"/>
      <c r="H230" s="54"/>
    </row>
    <row r="231">
      <c r="A231" s="54"/>
      <c r="B231" s="36"/>
      <c r="C231" s="36"/>
      <c r="D231" s="50"/>
      <c r="E231" s="54"/>
      <c r="F231" s="54"/>
      <c r="G231" s="54"/>
      <c r="H231" s="54"/>
    </row>
    <row r="232">
      <c r="A232" s="54"/>
      <c r="B232" s="36"/>
      <c r="C232" s="36"/>
      <c r="D232" s="50"/>
      <c r="E232" s="54"/>
      <c r="F232" s="54"/>
      <c r="G232" s="54"/>
      <c r="H232" s="54"/>
    </row>
    <row r="233">
      <c r="A233" s="54"/>
      <c r="B233" s="36"/>
      <c r="C233" s="36"/>
      <c r="D233" s="50"/>
      <c r="E233" s="54"/>
      <c r="F233" s="54"/>
      <c r="G233" s="54"/>
      <c r="H233" s="54"/>
    </row>
    <row r="234">
      <c r="A234" s="54"/>
      <c r="B234" s="36"/>
      <c r="C234" s="36"/>
      <c r="D234" s="50"/>
      <c r="E234" s="54"/>
      <c r="F234" s="54"/>
      <c r="G234" s="54"/>
      <c r="H234" s="54"/>
    </row>
    <row r="235">
      <c r="A235" s="54"/>
      <c r="B235" s="36"/>
      <c r="C235" s="36"/>
      <c r="D235" s="50"/>
      <c r="E235" s="54"/>
      <c r="F235" s="54"/>
      <c r="G235" s="54"/>
      <c r="H235" s="54"/>
    </row>
    <row r="236">
      <c r="A236" s="54"/>
      <c r="B236" s="36"/>
      <c r="C236" s="36"/>
      <c r="D236" s="50"/>
      <c r="E236" s="54"/>
      <c r="F236" s="54"/>
      <c r="G236" s="54"/>
      <c r="H236" s="54"/>
    </row>
    <row r="237">
      <c r="A237" s="54"/>
      <c r="B237" s="36"/>
      <c r="C237" s="36"/>
      <c r="D237" s="50"/>
      <c r="E237" s="54"/>
      <c r="F237" s="54"/>
      <c r="G237" s="54"/>
      <c r="H237" s="54"/>
    </row>
    <row r="238">
      <c r="A238" s="54"/>
      <c r="B238" s="36"/>
      <c r="C238" s="36"/>
      <c r="D238" s="50"/>
      <c r="E238" s="54"/>
      <c r="F238" s="54"/>
      <c r="G238" s="54"/>
      <c r="H238" s="54"/>
    </row>
    <row r="239">
      <c r="A239" s="54"/>
      <c r="B239" s="36"/>
      <c r="C239" s="36"/>
      <c r="D239" s="50"/>
      <c r="E239" s="54"/>
      <c r="F239" s="54"/>
      <c r="G239" s="54"/>
      <c r="H239" s="54"/>
    </row>
    <row r="240">
      <c r="A240" s="54"/>
      <c r="B240" s="36"/>
      <c r="C240" s="36"/>
      <c r="D240" s="50"/>
      <c r="E240" s="54"/>
      <c r="F240" s="54"/>
      <c r="G240" s="54"/>
      <c r="H240" s="54"/>
    </row>
    <row r="241">
      <c r="A241" s="54"/>
      <c r="B241" s="36"/>
      <c r="C241" s="36"/>
      <c r="D241" s="50"/>
      <c r="E241" s="54"/>
      <c r="F241" s="54"/>
      <c r="G241" s="54"/>
      <c r="H241" s="54"/>
    </row>
    <row r="242">
      <c r="A242" s="54"/>
      <c r="B242" s="36"/>
      <c r="C242" s="36"/>
      <c r="D242" s="50"/>
      <c r="E242" s="54"/>
      <c r="F242" s="54"/>
      <c r="G242" s="54"/>
      <c r="H242" s="54"/>
    </row>
    <row r="243">
      <c r="A243" s="54"/>
      <c r="B243" s="36"/>
      <c r="C243" s="36"/>
      <c r="D243" s="50"/>
      <c r="E243" s="54"/>
      <c r="F243" s="54"/>
      <c r="G243" s="54"/>
      <c r="H243" s="54"/>
    </row>
    <row r="244">
      <c r="A244" s="54"/>
      <c r="B244" s="36"/>
      <c r="C244" s="36"/>
      <c r="D244" s="50"/>
      <c r="E244" s="54"/>
      <c r="F244" s="54"/>
      <c r="G244" s="54"/>
      <c r="H244" s="54"/>
    </row>
    <row r="245">
      <c r="A245" s="54"/>
      <c r="B245" s="36"/>
      <c r="C245" s="36"/>
      <c r="D245" s="50"/>
      <c r="E245" s="54"/>
      <c r="F245" s="54"/>
      <c r="G245" s="54"/>
      <c r="H245" s="54"/>
    </row>
    <row r="246">
      <c r="A246" s="54"/>
      <c r="B246" s="36"/>
      <c r="C246" s="36"/>
      <c r="D246" s="50"/>
      <c r="E246" s="54"/>
      <c r="F246" s="54"/>
      <c r="G246" s="54"/>
      <c r="H246" s="54"/>
    </row>
    <row r="247">
      <c r="A247" s="54"/>
      <c r="B247" s="36"/>
      <c r="C247" s="36"/>
      <c r="D247" s="50"/>
      <c r="E247" s="54"/>
      <c r="F247" s="54"/>
      <c r="G247" s="54"/>
      <c r="H247" s="54"/>
    </row>
    <row r="248">
      <c r="A248" s="54"/>
      <c r="B248" s="36"/>
      <c r="C248" s="36"/>
      <c r="D248" s="50"/>
      <c r="E248" s="54"/>
      <c r="F248" s="54"/>
      <c r="G248" s="54"/>
      <c r="H248" s="54"/>
    </row>
    <row r="249">
      <c r="A249" s="54"/>
      <c r="B249" s="36"/>
      <c r="C249" s="36"/>
      <c r="D249" s="50"/>
      <c r="E249" s="54"/>
      <c r="F249" s="54"/>
      <c r="G249" s="54"/>
      <c r="H249" s="54"/>
    </row>
    <row r="250">
      <c r="A250" s="54"/>
      <c r="B250" s="36"/>
      <c r="C250" s="36"/>
      <c r="D250" s="50"/>
      <c r="E250" s="54"/>
      <c r="F250" s="54"/>
      <c r="G250" s="54"/>
      <c r="H250" s="54"/>
    </row>
    <row r="251">
      <c r="A251" s="54"/>
      <c r="B251" s="36"/>
      <c r="C251" s="36"/>
      <c r="D251" s="50"/>
      <c r="E251" s="54"/>
      <c r="F251" s="54"/>
      <c r="G251" s="54"/>
      <c r="H251" s="54"/>
    </row>
    <row r="252">
      <c r="A252" s="54"/>
      <c r="B252" s="36"/>
      <c r="C252" s="36"/>
      <c r="D252" s="50"/>
      <c r="E252" s="54"/>
      <c r="F252" s="54"/>
      <c r="G252" s="54"/>
      <c r="H252" s="54"/>
    </row>
    <row r="253">
      <c r="A253" s="54"/>
      <c r="B253" s="36"/>
      <c r="C253" s="36"/>
      <c r="D253" s="50"/>
      <c r="E253" s="54"/>
      <c r="F253" s="54"/>
      <c r="G253" s="54"/>
      <c r="H253" s="54"/>
    </row>
    <row r="254">
      <c r="A254" s="54"/>
      <c r="B254" s="36"/>
      <c r="C254" s="36"/>
      <c r="D254" s="50"/>
      <c r="E254" s="54"/>
      <c r="F254" s="54"/>
      <c r="G254" s="54"/>
      <c r="H254" s="54"/>
    </row>
    <row r="255">
      <c r="A255" s="54"/>
      <c r="B255" s="36"/>
      <c r="C255" s="36"/>
      <c r="D255" s="50"/>
      <c r="E255" s="54"/>
      <c r="F255" s="54"/>
      <c r="G255" s="54"/>
      <c r="H255" s="54"/>
    </row>
    <row r="256">
      <c r="A256" s="54"/>
      <c r="B256" s="36"/>
      <c r="C256" s="36"/>
      <c r="D256" s="50"/>
      <c r="E256" s="54"/>
      <c r="F256" s="54"/>
      <c r="G256" s="54"/>
      <c r="H256" s="54"/>
    </row>
    <row r="257">
      <c r="A257" s="54"/>
      <c r="B257" s="36"/>
      <c r="C257" s="36"/>
      <c r="D257" s="50"/>
      <c r="E257" s="54"/>
      <c r="F257" s="54"/>
      <c r="G257" s="54"/>
      <c r="H257" s="54"/>
    </row>
    <row r="258">
      <c r="A258" s="54"/>
      <c r="B258" s="36"/>
      <c r="C258" s="36"/>
      <c r="D258" s="50"/>
      <c r="E258" s="54"/>
      <c r="F258" s="54"/>
      <c r="G258" s="54"/>
      <c r="H258" s="54"/>
    </row>
    <row r="259">
      <c r="A259" s="54"/>
      <c r="B259" s="36"/>
      <c r="C259" s="36"/>
      <c r="D259" s="50"/>
      <c r="E259" s="54"/>
      <c r="F259" s="54"/>
      <c r="G259" s="54"/>
      <c r="H259" s="54"/>
    </row>
    <row r="260">
      <c r="A260" s="54"/>
      <c r="B260" s="36"/>
      <c r="C260" s="36"/>
      <c r="D260" s="50"/>
      <c r="E260" s="54"/>
      <c r="F260" s="54"/>
      <c r="G260" s="54"/>
      <c r="H260" s="54"/>
    </row>
    <row r="261">
      <c r="A261" s="54"/>
      <c r="B261" s="36"/>
      <c r="C261" s="36"/>
      <c r="D261" s="50"/>
      <c r="E261" s="54"/>
      <c r="F261" s="54"/>
      <c r="G261" s="54"/>
      <c r="H261" s="54"/>
    </row>
    <row r="262">
      <c r="A262" s="54"/>
      <c r="B262" s="36"/>
      <c r="C262" s="36"/>
      <c r="D262" s="50"/>
      <c r="E262" s="54"/>
      <c r="F262" s="54"/>
      <c r="G262" s="54"/>
      <c r="H262" s="54"/>
    </row>
    <row r="263">
      <c r="A263" s="54"/>
      <c r="B263" s="36"/>
      <c r="C263" s="36"/>
      <c r="D263" s="50"/>
      <c r="E263" s="54"/>
      <c r="F263" s="54"/>
      <c r="G263" s="54"/>
      <c r="H263" s="54"/>
    </row>
    <row r="264">
      <c r="A264" s="54"/>
      <c r="B264" s="36"/>
      <c r="C264" s="36"/>
      <c r="D264" s="50"/>
      <c r="E264" s="54"/>
      <c r="F264" s="54"/>
      <c r="G264" s="54"/>
      <c r="H264" s="54"/>
    </row>
    <row r="265">
      <c r="A265" s="54"/>
      <c r="B265" s="36"/>
      <c r="C265" s="36"/>
      <c r="D265" s="50"/>
      <c r="E265" s="54"/>
      <c r="F265" s="54"/>
      <c r="G265" s="54"/>
      <c r="H265" s="54"/>
    </row>
    <row r="266">
      <c r="A266" s="54"/>
      <c r="B266" s="36"/>
      <c r="C266" s="36"/>
      <c r="D266" s="50"/>
      <c r="E266" s="54"/>
      <c r="F266" s="54"/>
      <c r="G266" s="54"/>
      <c r="H266" s="54"/>
    </row>
    <row r="267">
      <c r="A267" s="54"/>
      <c r="B267" s="36"/>
      <c r="C267" s="36"/>
      <c r="D267" s="50"/>
      <c r="E267" s="54"/>
      <c r="F267" s="54"/>
      <c r="G267" s="54"/>
      <c r="H267" s="54"/>
    </row>
    <row r="268">
      <c r="A268" s="54"/>
      <c r="B268" s="36"/>
      <c r="C268" s="36"/>
      <c r="D268" s="50"/>
      <c r="E268" s="54"/>
      <c r="F268" s="54"/>
      <c r="G268" s="54"/>
      <c r="H268" s="54"/>
    </row>
    <row r="269">
      <c r="A269" s="54"/>
      <c r="B269" s="36"/>
      <c r="C269" s="36"/>
      <c r="D269" s="50"/>
      <c r="E269" s="54"/>
      <c r="F269" s="54"/>
      <c r="G269" s="54"/>
      <c r="H269" s="54"/>
    </row>
    <row r="270">
      <c r="A270" s="54"/>
      <c r="B270" s="36"/>
      <c r="C270" s="36"/>
      <c r="D270" s="50"/>
      <c r="E270" s="54"/>
      <c r="F270" s="54"/>
      <c r="G270" s="54"/>
      <c r="H270" s="54"/>
    </row>
    <row r="271">
      <c r="A271" s="54"/>
      <c r="B271" s="36"/>
      <c r="C271" s="36"/>
      <c r="D271" s="50"/>
      <c r="E271" s="54"/>
      <c r="F271" s="54"/>
      <c r="G271" s="54"/>
      <c r="H271" s="54"/>
    </row>
    <row r="272">
      <c r="A272" s="54"/>
      <c r="B272" s="36"/>
      <c r="C272" s="36"/>
      <c r="D272" s="50"/>
      <c r="E272" s="54"/>
      <c r="F272" s="54"/>
      <c r="G272" s="54"/>
      <c r="H272" s="54"/>
    </row>
    <row r="273">
      <c r="A273" s="54"/>
      <c r="B273" s="36"/>
      <c r="C273" s="36"/>
      <c r="D273" s="50"/>
      <c r="E273" s="54"/>
      <c r="F273" s="54"/>
      <c r="G273" s="54"/>
      <c r="H273" s="54"/>
    </row>
    <row r="274">
      <c r="A274" s="54"/>
      <c r="B274" s="36"/>
      <c r="C274" s="36"/>
      <c r="D274" s="50"/>
      <c r="E274" s="54"/>
      <c r="F274" s="54"/>
      <c r="G274" s="54"/>
      <c r="H274" s="54"/>
    </row>
    <row r="275">
      <c r="A275" s="54"/>
      <c r="B275" s="36"/>
      <c r="C275" s="36"/>
      <c r="D275" s="50"/>
      <c r="E275" s="54"/>
      <c r="F275" s="54"/>
      <c r="G275" s="54"/>
      <c r="H275" s="54"/>
    </row>
    <row r="276">
      <c r="A276" s="54"/>
      <c r="B276" s="36"/>
      <c r="C276" s="36"/>
      <c r="D276" s="50"/>
      <c r="E276" s="54"/>
      <c r="F276" s="54"/>
      <c r="G276" s="54"/>
      <c r="H276" s="54"/>
    </row>
    <row r="277">
      <c r="A277" s="54"/>
      <c r="B277" s="36"/>
      <c r="C277" s="36"/>
      <c r="D277" s="50"/>
      <c r="E277" s="54"/>
      <c r="F277" s="54"/>
      <c r="G277" s="54"/>
      <c r="H277" s="54"/>
    </row>
    <row r="278">
      <c r="A278" s="54"/>
      <c r="B278" s="36"/>
      <c r="C278" s="36"/>
      <c r="D278" s="50"/>
      <c r="E278" s="54"/>
      <c r="F278" s="54"/>
      <c r="G278" s="54"/>
      <c r="H278" s="54"/>
    </row>
    <row r="279">
      <c r="A279" s="54"/>
      <c r="B279" s="36"/>
      <c r="C279" s="36"/>
      <c r="D279" s="50"/>
      <c r="E279" s="54"/>
      <c r="F279" s="54"/>
      <c r="G279" s="54"/>
      <c r="H279" s="54"/>
    </row>
    <row r="280">
      <c r="A280" s="54"/>
      <c r="B280" s="36"/>
      <c r="C280" s="36"/>
      <c r="D280" s="50"/>
      <c r="E280" s="54"/>
      <c r="F280" s="54"/>
      <c r="G280" s="54"/>
      <c r="H280" s="54"/>
    </row>
    <row r="281">
      <c r="A281" s="54"/>
      <c r="B281" s="36"/>
      <c r="C281" s="36"/>
      <c r="D281" s="50"/>
      <c r="E281" s="54"/>
      <c r="F281" s="54"/>
      <c r="G281" s="54"/>
      <c r="H281" s="54"/>
    </row>
    <row r="282">
      <c r="A282" s="54"/>
      <c r="B282" s="36"/>
      <c r="C282" s="36"/>
      <c r="D282" s="50"/>
      <c r="E282" s="54"/>
      <c r="F282" s="54"/>
      <c r="G282" s="54"/>
      <c r="H282" s="54"/>
    </row>
    <row r="283">
      <c r="A283" s="54"/>
      <c r="B283" s="36"/>
      <c r="C283" s="36"/>
      <c r="D283" s="50"/>
      <c r="E283" s="54"/>
      <c r="F283" s="54"/>
      <c r="G283" s="54"/>
      <c r="H283" s="54"/>
    </row>
    <row r="284">
      <c r="A284" s="54"/>
      <c r="B284" s="36"/>
      <c r="C284" s="36"/>
      <c r="D284" s="50"/>
      <c r="E284" s="54"/>
      <c r="F284" s="54"/>
      <c r="G284" s="54"/>
      <c r="H284" s="54"/>
    </row>
    <row r="285">
      <c r="A285" s="54"/>
      <c r="B285" s="36"/>
      <c r="C285" s="36"/>
      <c r="D285" s="50"/>
      <c r="E285" s="54"/>
      <c r="F285" s="54"/>
      <c r="G285" s="54"/>
      <c r="H285" s="54"/>
    </row>
    <row r="286">
      <c r="A286" s="54"/>
      <c r="B286" s="36"/>
      <c r="C286" s="36"/>
      <c r="D286" s="50"/>
      <c r="E286" s="54"/>
      <c r="F286" s="54"/>
      <c r="G286" s="54"/>
      <c r="H286" s="54"/>
    </row>
    <row r="287">
      <c r="A287" s="54"/>
      <c r="B287" s="36"/>
      <c r="C287" s="36"/>
      <c r="D287" s="50"/>
      <c r="E287" s="54"/>
      <c r="F287" s="54"/>
      <c r="G287" s="54"/>
      <c r="H287" s="54"/>
    </row>
    <row r="288">
      <c r="A288" s="54"/>
      <c r="B288" s="36"/>
      <c r="C288" s="36"/>
      <c r="D288" s="50"/>
      <c r="E288" s="54"/>
      <c r="F288" s="54"/>
      <c r="G288" s="54"/>
      <c r="H288" s="54"/>
    </row>
    <row r="289">
      <c r="A289" s="54"/>
      <c r="B289" s="36"/>
      <c r="C289" s="36"/>
      <c r="D289" s="50"/>
      <c r="E289" s="54"/>
      <c r="F289" s="54"/>
      <c r="G289" s="54"/>
      <c r="H289" s="54"/>
    </row>
    <row r="290">
      <c r="A290" s="54"/>
      <c r="B290" s="36"/>
      <c r="C290" s="36"/>
      <c r="D290" s="50"/>
      <c r="E290" s="54"/>
      <c r="F290" s="54"/>
      <c r="G290" s="54"/>
      <c r="H290" s="54"/>
    </row>
    <row r="291">
      <c r="A291" s="54"/>
      <c r="B291" s="36"/>
      <c r="C291" s="36"/>
      <c r="D291" s="50"/>
      <c r="E291" s="54"/>
      <c r="F291" s="54"/>
      <c r="G291" s="54"/>
      <c r="H291" s="54"/>
    </row>
    <row r="292">
      <c r="A292" s="54"/>
      <c r="B292" s="36"/>
      <c r="C292" s="36"/>
      <c r="D292" s="50"/>
      <c r="E292" s="54"/>
      <c r="F292" s="54"/>
      <c r="G292" s="54"/>
      <c r="H292" s="54"/>
    </row>
    <row r="293">
      <c r="A293" s="54"/>
      <c r="B293" s="36"/>
      <c r="C293" s="36"/>
      <c r="D293" s="50"/>
      <c r="E293" s="54"/>
      <c r="F293" s="54"/>
      <c r="G293" s="54"/>
      <c r="H293" s="54"/>
    </row>
    <row r="294">
      <c r="A294" s="54"/>
      <c r="B294" s="36"/>
      <c r="C294" s="36"/>
      <c r="D294" s="50"/>
      <c r="E294" s="54"/>
      <c r="F294" s="54"/>
      <c r="G294" s="54"/>
      <c r="H294" s="54"/>
    </row>
    <row r="295">
      <c r="A295" s="54"/>
      <c r="B295" s="36"/>
      <c r="C295" s="36"/>
      <c r="D295" s="50"/>
      <c r="E295" s="54"/>
      <c r="F295" s="54"/>
      <c r="G295" s="54"/>
      <c r="H295" s="54"/>
    </row>
    <row r="296">
      <c r="A296" s="54"/>
      <c r="B296" s="36"/>
      <c r="C296" s="36"/>
      <c r="D296" s="50"/>
      <c r="E296" s="54"/>
      <c r="F296" s="54"/>
      <c r="G296" s="54"/>
      <c r="H296" s="54"/>
    </row>
    <row r="297">
      <c r="A297" s="54"/>
      <c r="B297" s="36"/>
      <c r="C297" s="36"/>
      <c r="D297" s="50"/>
      <c r="E297" s="54"/>
      <c r="F297" s="54"/>
      <c r="G297" s="54"/>
      <c r="H297" s="54"/>
    </row>
    <row r="298">
      <c r="A298" s="54"/>
      <c r="B298" s="36"/>
      <c r="C298" s="36"/>
      <c r="D298" s="50"/>
      <c r="E298" s="54"/>
      <c r="F298" s="54"/>
      <c r="G298" s="54"/>
      <c r="H298" s="54"/>
    </row>
    <row r="299">
      <c r="A299" s="54"/>
      <c r="B299" s="36"/>
      <c r="C299" s="36"/>
      <c r="D299" s="50"/>
      <c r="E299" s="54"/>
      <c r="F299" s="54"/>
      <c r="G299" s="54"/>
      <c r="H299" s="54"/>
    </row>
    <row r="300">
      <c r="A300" s="54"/>
      <c r="B300" s="36"/>
      <c r="C300" s="36"/>
      <c r="D300" s="50"/>
      <c r="E300" s="54"/>
      <c r="F300" s="54"/>
      <c r="G300" s="54"/>
      <c r="H300" s="54"/>
    </row>
    <row r="301">
      <c r="A301" s="54"/>
      <c r="B301" s="36"/>
      <c r="C301" s="36"/>
      <c r="D301" s="50"/>
      <c r="E301" s="54"/>
      <c r="F301" s="54"/>
      <c r="G301" s="54"/>
      <c r="H301" s="54"/>
    </row>
    <row r="302">
      <c r="A302" s="54"/>
      <c r="B302" s="36"/>
      <c r="C302" s="36"/>
      <c r="D302" s="50"/>
      <c r="E302" s="54"/>
      <c r="F302" s="54"/>
      <c r="G302" s="54"/>
      <c r="H302" s="54"/>
    </row>
    <row r="303">
      <c r="A303" s="54"/>
      <c r="B303" s="36"/>
      <c r="C303" s="36"/>
      <c r="D303" s="50"/>
      <c r="E303" s="54"/>
      <c r="F303" s="54"/>
      <c r="G303" s="54"/>
      <c r="H303" s="54"/>
    </row>
    <row r="304">
      <c r="A304" s="54"/>
      <c r="B304" s="36"/>
      <c r="C304" s="36"/>
      <c r="D304" s="50"/>
      <c r="E304" s="54"/>
      <c r="F304" s="54"/>
      <c r="G304" s="54"/>
      <c r="H304" s="54"/>
    </row>
    <row r="305">
      <c r="A305" s="54"/>
      <c r="B305" s="36"/>
      <c r="C305" s="36"/>
      <c r="D305" s="50"/>
      <c r="E305" s="54"/>
      <c r="F305" s="54"/>
      <c r="G305" s="54"/>
      <c r="H305" s="54"/>
    </row>
    <row r="306">
      <c r="A306" s="54"/>
      <c r="B306" s="36"/>
      <c r="C306" s="36"/>
      <c r="D306" s="50"/>
      <c r="E306" s="54"/>
      <c r="F306" s="54"/>
      <c r="G306" s="54"/>
      <c r="H306" s="54"/>
    </row>
    <row r="307">
      <c r="A307" s="54"/>
      <c r="B307" s="36"/>
      <c r="C307" s="36"/>
      <c r="D307" s="50"/>
      <c r="E307" s="54"/>
      <c r="F307" s="54"/>
      <c r="G307" s="54"/>
      <c r="H307" s="54"/>
    </row>
    <row r="308">
      <c r="A308" s="54"/>
      <c r="B308" s="36"/>
      <c r="C308" s="36"/>
      <c r="D308" s="50"/>
      <c r="E308" s="54"/>
      <c r="F308" s="54"/>
      <c r="G308" s="54"/>
      <c r="H308" s="54"/>
    </row>
    <row r="309">
      <c r="A309" s="54"/>
      <c r="B309" s="36"/>
      <c r="C309" s="36"/>
      <c r="D309" s="50"/>
      <c r="E309" s="54"/>
      <c r="F309" s="54"/>
      <c r="G309" s="54"/>
      <c r="H309" s="54"/>
    </row>
    <row r="310">
      <c r="A310" s="54"/>
      <c r="B310" s="36"/>
      <c r="C310" s="36"/>
      <c r="D310" s="50"/>
      <c r="E310" s="54"/>
      <c r="F310" s="54"/>
      <c r="G310" s="54"/>
      <c r="H310" s="54"/>
    </row>
    <row r="311">
      <c r="A311" s="54"/>
      <c r="B311" s="36"/>
      <c r="C311" s="36"/>
      <c r="D311" s="50"/>
      <c r="E311" s="54"/>
      <c r="F311" s="54"/>
      <c r="G311" s="54"/>
      <c r="H311" s="54"/>
    </row>
    <row r="312">
      <c r="A312" s="54"/>
      <c r="B312" s="36"/>
      <c r="C312" s="36"/>
      <c r="D312" s="50"/>
      <c r="E312" s="54"/>
      <c r="F312" s="54"/>
      <c r="G312" s="54"/>
      <c r="H312" s="54"/>
    </row>
    <row r="313">
      <c r="A313" s="54"/>
      <c r="B313" s="36"/>
      <c r="C313" s="36"/>
      <c r="D313" s="50"/>
      <c r="E313" s="54"/>
      <c r="F313" s="54"/>
      <c r="G313" s="54"/>
      <c r="H313" s="54"/>
    </row>
    <row r="314">
      <c r="A314" s="54"/>
      <c r="B314" s="36"/>
      <c r="C314" s="36"/>
      <c r="D314" s="50"/>
      <c r="E314" s="54"/>
      <c r="F314" s="54"/>
      <c r="G314" s="54"/>
      <c r="H314" s="54"/>
    </row>
    <row r="315">
      <c r="A315" s="54"/>
      <c r="B315" s="36"/>
      <c r="C315" s="36"/>
      <c r="D315" s="50"/>
      <c r="E315" s="54"/>
      <c r="F315" s="54"/>
      <c r="G315" s="54"/>
      <c r="H315" s="54"/>
    </row>
    <row r="316">
      <c r="A316" s="54"/>
      <c r="B316" s="36"/>
      <c r="C316" s="36"/>
      <c r="D316" s="50"/>
      <c r="E316" s="54"/>
      <c r="F316" s="54"/>
      <c r="G316" s="54"/>
      <c r="H316" s="54"/>
    </row>
    <row r="317">
      <c r="A317" s="54"/>
      <c r="B317" s="36"/>
      <c r="C317" s="36"/>
      <c r="D317" s="50"/>
      <c r="E317" s="54"/>
      <c r="F317" s="54"/>
      <c r="G317" s="54"/>
      <c r="H317" s="54"/>
    </row>
    <row r="318">
      <c r="A318" s="54"/>
      <c r="B318" s="36"/>
      <c r="C318" s="36"/>
      <c r="D318" s="50"/>
      <c r="E318" s="54"/>
      <c r="F318" s="54"/>
      <c r="G318" s="54"/>
      <c r="H318" s="54"/>
    </row>
    <row r="319">
      <c r="A319" s="54"/>
      <c r="B319" s="36"/>
      <c r="C319" s="36"/>
      <c r="D319" s="50"/>
      <c r="E319" s="54"/>
      <c r="F319" s="54"/>
      <c r="G319" s="54"/>
      <c r="H319" s="54"/>
    </row>
    <row r="320">
      <c r="A320" s="54"/>
      <c r="B320" s="36"/>
      <c r="C320" s="36"/>
      <c r="D320" s="50"/>
      <c r="E320" s="54"/>
      <c r="F320" s="54"/>
      <c r="G320" s="54"/>
      <c r="H320" s="54"/>
    </row>
    <row r="321">
      <c r="A321" s="54"/>
      <c r="B321" s="36"/>
      <c r="C321" s="36"/>
      <c r="D321" s="50"/>
      <c r="E321" s="54"/>
      <c r="F321" s="54"/>
      <c r="G321" s="54"/>
      <c r="H321" s="54"/>
    </row>
    <row r="322">
      <c r="A322" s="54"/>
      <c r="B322" s="36"/>
      <c r="C322" s="36"/>
      <c r="D322" s="50"/>
      <c r="E322" s="54"/>
      <c r="F322" s="54"/>
      <c r="G322" s="54"/>
      <c r="H322" s="54"/>
    </row>
    <row r="323">
      <c r="A323" s="54"/>
      <c r="B323" s="36"/>
      <c r="C323" s="36"/>
      <c r="D323" s="50"/>
      <c r="E323" s="54"/>
      <c r="F323" s="54"/>
      <c r="G323" s="54"/>
      <c r="H323" s="54"/>
    </row>
    <row r="324">
      <c r="A324" s="54"/>
      <c r="B324" s="36"/>
      <c r="C324" s="36"/>
      <c r="D324" s="50"/>
      <c r="E324" s="54"/>
      <c r="F324" s="54"/>
      <c r="G324" s="54"/>
      <c r="H324" s="54"/>
    </row>
    <row r="325">
      <c r="A325" s="54"/>
      <c r="B325" s="36"/>
      <c r="C325" s="36"/>
      <c r="D325" s="50"/>
      <c r="E325" s="54"/>
      <c r="F325" s="54"/>
      <c r="G325" s="54"/>
      <c r="H325" s="54"/>
    </row>
    <row r="326">
      <c r="A326" s="54"/>
      <c r="B326" s="36"/>
      <c r="C326" s="36"/>
      <c r="D326" s="50"/>
      <c r="E326" s="54"/>
      <c r="F326" s="54"/>
      <c r="G326" s="54"/>
      <c r="H326" s="54"/>
    </row>
    <row r="327">
      <c r="A327" s="54"/>
      <c r="B327" s="36"/>
      <c r="C327" s="36"/>
      <c r="D327" s="50"/>
      <c r="E327" s="54"/>
      <c r="F327" s="54"/>
      <c r="G327" s="54"/>
      <c r="H327" s="54"/>
    </row>
    <row r="328">
      <c r="A328" s="54"/>
      <c r="B328" s="36"/>
      <c r="C328" s="36"/>
      <c r="D328" s="50"/>
      <c r="E328" s="54"/>
      <c r="F328" s="54"/>
      <c r="G328" s="54"/>
      <c r="H328" s="54"/>
    </row>
    <row r="329">
      <c r="A329" s="54"/>
      <c r="B329" s="36"/>
      <c r="C329" s="36"/>
      <c r="D329" s="50"/>
      <c r="E329" s="54"/>
      <c r="F329" s="54"/>
      <c r="G329" s="54"/>
      <c r="H329" s="54"/>
    </row>
    <row r="330">
      <c r="A330" s="54"/>
      <c r="B330" s="36"/>
      <c r="C330" s="36"/>
      <c r="D330" s="50"/>
      <c r="E330" s="54"/>
      <c r="F330" s="54"/>
      <c r="G330" s="54"/>
      <c r="H330" s="54"/>
    </row>
    <row r="331">
      <c r="A331" s="54"/>
      <c r="B331" s="36"/>
      <c r="C331" s="36"/>
      <c r="D331" s="50"/>
      <c r="E331" s="54"/>
      <c r="F331" s="54"/>
      <c r="G331" s="54"/>
      <c r="H331" s="54"/>
    </row>
    <row r="332">
      <c r="A332" s="54"/>
      <c r="B332" s="36"/>
      <c r="C332" s="36"/>
      <c r="D332" s="50"/>
      <c r="E332" s="54"/>
      <c r="F332" s="54"/>
      <c r="G332" s="54"/>
      <c r="H332" s="54"/>
    </row>
    <row r="333">
      <c r="A333" s="54"/>
      <c r="B333" s="36"/>
      <c r="C333" s="36"/>
      <c r="D333" s="50"/>
      <c r="E333" s="54"/>
      <c r="F333" s="54"/>
      <c r="G333" s="54"/>
      <c r="H333" s="54"/>
    </row>
    <row r="334">
      <c r="A334" s="54"/>
      <c r="B334" s="36"/>
      <c r="C334" s="36"/>
      <c r="D334" s="50"/>
      <c r="E334" s="54"/>
      <c r="F334" s="54"/>
      <c r="G334" s="54"/>
      <c r="H334" s="54"/>
    </row>
    <row r="335">
      <c r="A335" s="54"/>
      <c r="B335" s="36"/>
      <c r="C335" s="36"/>
      <c r="D335" s="50"/>
      <c r="E335" s="54"/>
      <c r="F335" s="54"/>
      <c r="G335" s="54"/>
      <c r="H335" s="54"/>
    </row>
    <row r="336">
      <c r="A336" s="54"/>
      <c r="B336" s="36"/>
      <c r="C336" s="36"/>
      <c r="D336" s="50"/>
      <c r="E336" s="54"/>
      <c r="F336" s="54"/>
      <c r="G336" s="54"/>
      <c r="H336" s="54"/>
    </row>
    <row r="337">
      <c r="A337" s="54"/>
      <c r="B337" s="36"/>
      <c r="C337" s="36"/>
      <c r="D337" s="50"/>
      <c r="E337" s="54"/>
      <c r="F337" s="54"/>
      <c r="G337" s="54"/>
      <c r="H337" s="54"/>
    </row>
    <row r="338">
      <c r="A338" s="54"/>
      <c r="B338" s="36"/>
      <c r="C338" s="36"/>
      <c r="D338" s="50"/>
      <c r="E338" s="54"/>
      <c r="F338" s="54"/>
      <c r="G338" s="54"/>
      <c r="H338" s="54"/>
    </row>
    <row r="339">
      <c r="A339" s="54"/>
      <c r="B339" s="36"/>
      <c r="C339" s="36"/>
      <c r="D339" s="50"/>
      <c r="E339" s="54"/>
      <c r="F339" s="54"/>
      <c r="G339" s="54"/>
      <c r="H339" s="54"/>
    </row>
    <row r="340">
      <c r="A340" s="54"/>
      <c r="B340" s="36"/>
      <c r="C340" s="36"/>
      <c r="D340" s="50"/>
      <c r="E340" s="54"/>
      <c r="F340" s="54"/>
      <c r="G340" s="54"/>
      <c r="H340" s="54"/>
    </row>
    <row r="341">
      <c r="A341" s="54"/>
      <c r="B341" s="36"/>
      <c r="C341" s="36"/>
      <c r="D341" s="50"/>
      <c r="E341" s="54"/>
      <c r="F341" s="54"/>
      <c r="G341" s="54"/>
      <c r="H341" s="54"/>
    </row>
    <row r="342">
      <c r="A342" s="54"/>
      <c r="B342" s="36"/>
      <c r="C342" s="36"/>
      <c r="D342" s="50"/>
      <c r="E342" s="54"/>
      <c r="F342" s="54"/>
      <c r="G342" s="54"/>
      <c r="H342" s="54"/>
    </row>
    <row r="343">
      <c r="A343" s="54"/>
      <c r="B343" s="36"/>
      <c r="C343" s="36"/>
      <c r="D343" s="50"/>
      <c r="E343" s="54"/>
      <c r="F343" s="54"/>
      <c r="G343" s="54"/>
      <c r="H343" s="54"/>
    </row>
    <row r="344">
      <c r="A344" s="54"/>
      <c r="B344" s="36"/>
      <c r="C344" s="36"/>
      <c r="D344" s="50"/>
      <c r="E344" s="54"/>
      <c r="F344" s="54"/>
      <c r="G344" s="54"/>
      <c r="H344" s="54"/>
    </row>
    <row r="345">
      <c r="A345" s="54"/>
      <c r="B345" s="36"/>
      <c r="C345" s="36"/>
      <c r="D345" s="50"/>
      <c r="E345" s="54"/>
      <c r="F345" s="54"/>
      <c r="G345" s="54"/>
      <c r="H345" s="54"/>
    </row>
    <row r="346">
      <c r="A346" s="54"/>
      <c r="B346" s="36"/>
      <c r="C346" s="36"/>
      <c r="D346" s="50"/>
      <c r="E346" s="54"/>
      <c r="F346" s="54"/>
      <c r="G346" s="54"/>
      <c r="H346" s="54"/>
    </row>
    <row r="347">
      <c r="A347" s="54"/>
      <c r="B347" s="36"/>
      <c r="C347" s="36"/>
      <c r="D347" s="50"/>
      <c r="E347" s="54"/>
      <c r="F347" s="54"/>
      <c r="G347" s="54"/>
      <c r="H347" s="54"/>
    </row>
    <row r="348">
      <c r="A348" s="54"/>
      <c r="B348" s="36"/>
      <c r="C348" s="36"/>
      <c r="D348" s="50"/>
      <c r="E348" s="54"/>
      <c r="F348" s="54"/>
      <c r="G348" s="54"/>
      <c r="H348" s="54"/>
    </row>
    <row r="349">
      <c r="A349" s="54"/>
      <c r="B349" s="36"/>
      <c r="C349" s="36"/>
      <c r="D349" s="50"/>
      <c r="E349" s="54"/>
      <c r="F349" s="54"/>
      <c r="G349" s="54"/>
      <c r="H349" s="54"/>
    </row>
    <row r="350">
      <c r="A350" s="54"/>
      <c r="B350" s="36"/>
      <c r="C350" s="36"/>
      <c r="D350" s="50"/>
      <c r="E350" s="54"/>
      <c r="F350" s="54"/>
      <c r="G350" s="54"/>
      <c r="H350" s="54"/>
    </row>
    <row r="351">
      <c r="A351" s="54"/>
      <c r="B351" s="36"/>
      <c r="C351" s="36"/>
      <c r="D351" s="50"/>
      <c r="E351" s="54"/>
      <c r="F351" s="54"/>
      <c r="G351" s="54"/>
      <c r="H351" s="54"/>
    </row>
    <row r="352">
      <c r="A352" s="54"/>
      <c r="B352" s="36"/>
      <c r="C352" s="36"/>
      <c r="D352" s="50"/>
      <c r="E352" s="54"/>
      <c r="F352" s="54"/>
      <c r="G352" s="54"/>
      <c r="H352" s="54"/>
    </row>
    <row r="353">
      <c r="A353" s="54"/>
      <c r="B353" s="36"/>
      <c r="C353" s="36"/>
      <c r="D353" s="50"/>
      <c r="E353" s="54"/>
      <c r="F353" s="54"/>
      <c r="G353" s="54"/>
      <c r="H353" s="54"/>
    </row>
    <row r="354">
      <c r="A354" s="54"/>
      <c r="B354" s="36"/>
      <c r="C354" s="36"/>
      <c r="D354" s="50"/>
      <c r="E354" s="54"/>
      <c r="F354" s="54"/>
      <c r="G354" s="54"/>
      <c r="H354" s="54"/>
    </row>
    <row r="355">
      <c r="A355" s="54"/>
      <c r="B355" s="36"/>
      <c r="C355" s="36"/>
      <c r="D355" s="50"/>
      <c r="E355" s="54"/>
      <c r="F355" s="54"/>
      <c r="G355" s="54"/>
      <c r="H355" s="54"/>
    </row>
    <row r="356">
      <c r="A356" s="54"/>
      <c r="B356" s="36"/>
      <c r="C356" s="36"/>
      <c r="D356" s="50"/>
      <c r="E356" s="54"/>
      <c r="F356" s="54"/>
      <c r="G356" s="54"/>
      <c r="H356" s="54"/>
    </row>
    <row r="357">
      <c r="A357" s="54"/>
      <c r="B357" s="36"/>
      <c r="C357" s="36"/>
      <c r="D357" s="50"/>
      <c r="E357" s="54"/>
      <c r="F357" s="54"/>
      <c r="G357" s="54"/>
      <c r="H357" s="54"/>
    </row>
    <row r="358">
      <c r="A358" s="54"/>
      <c r="B358" s="36"/>
      <c r="C358" s="36"/>
      <c r="D358" s="50"/>
      <c r="E358" s="54"/>
      <c r="F358" s="54"/>
      <c r="G358" s="54"/>
      <c r="H358" s="54"/>
    </row>
    <row r="359">
      <c r="A359" s="54"/>
      <c r="B359" s="36"/>
      <c r="C359" s="36"/>
      <c r="D359" s="50"/>
      <c r="E359" s="54"/>
      <c r="F359" s="54"/>
      <c r="G359" s="54"/>
      <c r="H359" s="54"/>
    </row>
    <row r="360">
      <c r="A360" s="54"/>
      <c r="B360" s="36"/>
      <c r="C360" s="36"/>
      <c r="D360" s="50"/>
      <c r="E360" s="54"/>
      <c r="F360" s="54"/>
      <c r="G360" s="54"/>
      <c r="H360" s="54"/>
    </row>
    <row r="361">
      <c r="A361" s="54"/>
      <c r="B361" s="36"/>
      <c r="C361" s="36"/>
      <c r="D361" s="50"/>
      <c r="E361" s="54"/>
      <c r="F361" s="54"/>
      <c r="G361" s="54"/>
      <c r="H361" s="54"/>
    </row>
    <row r="362">
      <c r="A362" s="54"/>
      <c r="B362" s="36"/>
      <c r="C362" s="36"/>
      <c r="D362" s="50"/>
      <c r="E362" s="54"/>
      <c r="F362" s="54"/>
      <c r="G362" s="54"/>
      <c r="H362" s="54"/>
    </row>
    <row r="363">
      <c r="A363" s="54"/>
      <c r="B363" s="36"/>
      <c r="C363" s="36"/>
      <c r="D363" s="50"/>
      <c r="E363" s="54"/>
      <c r="F363" s="54"/>
      <c r="G363" s="54"/>
      <c r="H363" s="54"/>
    </row>
    <row r="364">
      <c r="A364" s="54"/>
      <c r="B364" s="36"/>
      <c r="C364" s="36"/>
      <c r="D364" s="50"/>
      <c r="E364" s="54"/>
      <c r="F364" s="54"/>
      <c r="G364" s="54"/>
      <c r="H364" s="54"/>
    </row>
    <row r="365">
      <c r="A365" s="54"/>
      <c r="B365" s="36"/>
      <c r="C365" s="36"/>
      <c r="D365" s="50"/>
      <c r="E365" s="54"/>
      <c r="F365" s="54"/>
      <c r="G365" s="54"/>
      <c r="H365" s="54"/>
    </row>
    <row r="366">
      <c r="A366" s="54"/>
      <c r="B366" s="36"/>
      <c r="C366" s="36"/>
      <c r="D366" s="50"/>
      <c r="E366" s="54"/>
      <c r="F366" s="54"/>
      <c r="G366" s="54"/>
      <c r="H366" s="54"/>
    </row>
    <row r="367">
      <c r="A367" s="54"/>
      <c r="B367" s="36"/>
      <c r="C367" s="36"/>
      <c r="D367" s="50"/>
      <c r="E367" s="54"/>
      <c r="F367" s="54"/>
      <c r="G367" s="54"/>
      <c r="H367" s="54"/>
    </row>
    <row r="368">
      <c r="A368" s="54"/>
      <c r="B368" s="36"/>
      <c r="C368" s="36"/>
      <c r="D368" s="50"/>
      <c r="E368" s="54"/>
      <c r="F368" s="54"/>
      <c r="G368" s="54"/>
      <c r="H368" s="54"/>
    </row>
    <row r="369">
      <c r="A369" s="54"/>
      <c r="B369" s="36"/>
      <c r="C369" s="36"/>
      <c r="D369" s="50"/>
      <c r="E369" s="54"/>
      <c r="F369" s="54"/>
      <c r="G369" s="54"/>
      <c r="H369" s="54"/>
    </row>
    <row r="370">
      <c r="A370" s="54"/>
      <c r="B370" s="36"/>
      <c r="C370" s="36"/>
      <c r="D370" s="50"/>
      <c r="E370" s="54"/>
      <c r="F370" s="54"/>
      <c r="G370" s="54"/>
      <c r="H370" s="54"/>
    </row>
    <row r="371">
      <c r="A371" s="54"/>
      <c r="B371" s="36"/>
      <c r="C371" s="36"/>
      <c r="D371" s="50"/>
      <c r="E371" s="54"/>
      <c r="F371" s="54"/>
      <c r="G371" s="54"/>
      <c r="H371" s="54"/>
    </row>
    <row r="372">
      <c r="A372" s="54"/>
      <c r="B372" s="36"/>
      <c r="C372" s="36"/>
      <c r="D372" s="50"/>
      <c r="E372" s="54"/>
      <c r="F372" s="54"/>
      <c r="G372" s="54"/>
      <c r="H372" s="54"/>
    </row>
    <row r="373">
      <c r="A373" s="54"/>
      <c r="B373" s="36"/>
      <c r="C373" s="36"/>
      <c r="D373" s="50"/>
      <c r="E373" s="54"/>
      <c r="F373" s="54"/>
      <c r="G373" s="54"/>
      <c r="H373" s="54"/>
    </row>
    <row r="374">
      <c r="A374" s="54"/>
      <c r="B374" s="36"/>
      <c r="C374" s="36"/>
      <c r="D374" s="50"/>
      <c r="E374" s="54"/>
      <c r="F374" s="54"/>
      <c r="G374" s="54"/>
      <c r="H374" s="54"/>
    </row>
    <row r="375">
      <c r="A375" s="54"/>
      <c r="B375" s="36"/>
      <c r="C375" s="36"/>
      <c r="D375" s="50"/>
      <c r="E375" s="54"/>
      <c r="F375" s="54"/>
      <c r="G375" s="54"/>
      <c r="H375" s="54"/>
    </row>
    <row r="376">
      <c r="A376" s="54"/>
      <c r="B376" s="36"/>
      <c r="C376" s="36"/>
      <c r="D376" s="50"/>
      <c r="E376" s="54"/>
      <c r="F376" s="54"/>
      <c r="G376" s="54"/>
      <c r="H376" s="54"/>
    </row>
    <row r="377">
      <c r="A377" s="54"/>
      <c r="B377" s="36"/>
      <c r="C377" s="36"/>
      <c r="D377" s="50"/>
      <c r="E377" s="54"/>
      <c r="F377" s="54"/>
      <c r="G377" s="54"/>
      <c r="H377" s="54"/>
    </row>
    <row r="378">
      <c r="A378" s="54"/>
      <c r="B378" s="36"/>
      <c r="C378" s="36"/>
      <c r="D378" s="50"/>
      <c r="E378" s="54"/>
      <c r="F378" s="54"/>
      <c r="G378" s="54"/>
      <c r="H378" s="54"/>
    </row>
    <row r="379">
      <c r="A379" s="54"/>
      <c r="B379" s="36"/>
      <c r="C379" s="36"/>
      <c r="D379" s="50"/>
      <c r="E379" s="54"/>
      <c r="F379" s="54"/>
      <c r="G379" s="54"/>
      <c r="H379" s="54"/>
    </row>
    <row r="380">
      <c r="A380" s="54"/>
      <c r="B380" s="36"/>
      <c r="C380" s="36"/>
      <c r="D380" s="50"/>
      <c r="E380" s="54"/>
      <c r="F380" s="54"/>
      <c r="G380" s="54"/>
      <c r="H380" s="54"/>
    </row>
    <row r="381">
      <c r="A381" s="54"/>
      <c r="B381" s="36"/>
      <c r="C381" s="36"/>
      <c r="D381" s="50"/>
      <c r="E381" s="54"/>
      <c r="F381" s="54"/>
      <c r="G381" s="54"/>
      <c r="H381" s="54"/>
    </row>
    <row r="382">
      <c r="A382" s="54"/>
      <c r="B382" s="36"/>
      <c r="C382" s="36"/>
      <c r="D382" s="50"/>
      <c r="E382" s="54"/>
      <c r="F382" s="54"/>
      <c r="G382" s="54"/>
      <c r="H382" s="54"/>
    </row>
    <row r="383">
      <c r="A383" s="54"/>
      <c r="B383" s="36"/>
      <c r="C383" s="36"/>
      <c r="D383" s="50"/>
      <c r="E383" s="54"/>
      <c r="F383" s="54"/>
      <c r="G383" s="54"/>
      <c r="H383" s="54"/>
    </row>
    <row r="384">
      <c r="A384" s="54"/>
      <c r="B384" s="36"/>
      <c r="C384" s="36"/>
      <c r="D384" s="50"/>
      <c r="E384" s="54"/>
      <c r="F384" s="54"/>
      <c r="G384" s="54"/>
      <c r="H384" s="54"/>
    </row>
    <row r="385">
      <c r="A385" s="54"/>
      <c r="B385" s="36"/>
      <c r="C385" s="36"/>
      <c r="D385" s="50"/>
      <c r="E385" s="54"/>
      <c r="F385" s="54"/>
      <c r="G385" s="54"/>
      <c r="H385" s="54"/>
    </row>
    <row r="386">
      <c r="A386" s="54"/>
      <c r="B386" s="36"/>
      <c r="C386" s="36"/>
      <c r="D386" s="50"/>
      <c r="E386" s="54"/>
      <c r="F386" s="54"/>
      <c r="G386" s="54"/>
      <c r="H386" s="54"/>
    </row>
    <row r="387">
      <c r="A387" s="54"/>
      <c r="B387" s="36"/>
      <c r="C387" s="36"/>
      <c r="D387" s="50"/>
      <c r="E387" s="54"/>
      <c r="F387" s="54"/>
      <c r="G387" s="54"/>
      <c r="H387" s="54"/>
    </row>
    <row r="388">
      <c r="A388" s="54"/>
      <c r="B388" s="36"/>
      <c r="C388" s="36"/>
      <c r="D388" s="50"/>
      <c r="E388" s="54"/>
      <c r="F388" s="54"/>
      <c r="G388" s="54"/>
      <c r="H388" s="54"/>
    </row>
    <row r="389">
      <c r="A389" s="54"/>
      <c r="B389" s="36"/>
      <c r="C389" s="36"/>
      <c r="D389" s="50"/>
      <c r="E389" s="54"/>
      <c r="F389" s="54"/>
      <c r="G389" s="54"/>
      <c r="H389" s="54"/>
    </row>
    <row r="390">
      <c r="A390" s="54"/>
      <c r="B390" s="36"/>
      <c r="C390" s="36"/>
      <c r="D390" s="50"/>
      <c r="E390" s="54"/>
      <c r="F390" s="54"/>
      <c r="G390" s="54"/>
      <c r="H390" s="54"/>
    </row>
    <row r="391">
      <c r="A391" s="54"/>
      <c r="B391" s="36"/>
      <c r="C391" s="36"/>
      <c r="D391" s="50"/>
      <c r="E391" s="54"/>
      <c r="F391" s="54"/>
      <c r="G391" s="54"/>
      <c r="H391" s="54"/>
    </row>
    <row r="392">
      <c r="A392" s="54"/>
      <c r="B392" s="36"/>
      <c r="C392" s="36"/>
      <c r="D392" s="50"/>
      <c r="E392" s="54"/>
      <c r="F392" s="54"/>
      <c r="G392" s="54"/>
      <c r="H392" s="54"/>
    </row>
    <row r="393">
      <c r="A393" s="54"/>
      <c r="B393" s="36"/>
      <c r="C393" s="36"/>
      <c r="D393" s="50"/>
      <c r="E393" s="54"/>
      <c r="F393" s="54"/>
      <c r="G393" s="54"/>
      <c r="H393" s="54"/>
    </row>
    <row r="394">
      <c r="A394" s="54"/>
      <c r="B394" s="36"/>
      <c r="C394" s="36"/>
      <c r="D394" s="50"/>
      <c r="E394" s="54"/>
      <c r="F394" s="54"/>
      <c r="G394" s="54"/>
      <c r="H394" s="54"/>
    </row>
    <row r="395">
      <c r="A395" s="54"/>
      <c r="B395" s="36"/>
      <c r="C395" s="36"/>
      <c r="D395" s="50"/>
      <c r="E395" s="54"/>
      <c r="F395" s="54"/>
      <c r="G395" s="54"/>
      <c r="H395" s="54"/>
    </row>
    <row r="396">
      <c r="A396" s="54"/>
      <c r="B396" s="36"/>
      <c r="C396" s="36"/>
      <c r="D396" s="50"/>
      <c r="E396" s="54"/>
      <c r="F396" s="54"/>
      <c r="G396" s="54"/>
      <c r="H396" s="54"/>
    </row>
    <row r="397">
      <c r="A397" s="54"/>
      <c r="B397" s="36"/>
      <c r="C397" s="36"/>
      <c r="D397" s="50"/>
      <c r="E397" s="54"/>
      <c r="F397" s="54"/>
      <c r="G397" s="54"/>
      <c r="H397" s="54"/>
    </row>
    <row r="398">
      <c r="A398" s="54"/>
      <c r="B398" s="36"/>
      <c r="C398" s="36"/>
      <c r="D398" s="50"/>
      <c r="E398" s="54"/>
      <c r="F398" s="54"/>
      <c r="G398" s="54"/>
      <c r="H398" s="54"/>
    </row>
    <row r="399">
      <c r="A399" s="54"/>
      <c r="B399" s="36"/>
      <c r="C399" s="36"/>
      <c r="D399" s="50"/>
      <c r="E399" s="54"/>
      <c r="F399" s="54"/>
      <c r="G399" s="54"/>
      <c r="H399" s="54"/>
    </row>
    <row r="400">
      <c r="A400" s="54"/>
      <c r="B400" s="36"/>
      <c r="C400" s="36"/>
      <c r="D400" s="50"/>
      <c r="E400" s="54"/>
      <c r="F400" s="54"/>
      <c r="G400" s="54"/>
      <c r="H400" s="54"/>
    </row>
    <row r="401">
      <c r="A401" s="54"/>
      <c r="B401" s="36"/>
      <c r="C401" s="36"/>
      <c r="D401" s="50"/>
      <c r="E401" s="54"/>
      <c r="F401" s="54"/>
      <c r="G401" s="54"/>
      <c r="H401" s="54"/>
    </row>
    <row r="402">
      <c r="A402" s="54"/>
      <c r="B402" s="36"/>
      <c r="C402" s="36"/>
      <c r="D402" s="50"/>
      <c r="E402" s="54"/>
      <c r="F402" s="54"/>
      <c r="G402" s="54"/>
      <c r="H402" s="54"/>
    </row>
    <row r="403">
      <c r="A403" s="54"/>
      <c r="B403" s="36"/>
      <c r="C403" s="36"/>
      <c r="D403" s="50"/>
      <c r="E403" s="54"/>
      <c r="F403" s="54"/>
      <c r="G403" s="54"/>
      <c r="H403" s="54"/>
    </row>
    <row r="404">
      <c r="A404" s="54"/>
      <c r="B404" s="36"/>
      <c r="C404" s="36"/>
      <c r="D404" s="50"/>
      <c r="E404" s="54"/>
      <c r="F404" s="54"/>
      <c r="G404" s="54"/>
      <c r="H404" s="54"/>
    </row>
    <row r="405">
      <c r="A405" s="54"/>
      <c r="B405" s="36"/>
      <c r="C405" s="36"/>
      <c r="D405" s="50"/>
      <c r="E405" s="54"/>
      <c r="F405" s="54"/>
      <c r="G405" s="54"/>
      <c r="H405" s="54"/>
    </row>
    <row r="406">
      <c r="A406" s="54"/>
      <c r="B406" s="36"/>
      <c r="C406" s="36"/>
      <c r="D406" s="50"/>
      <c r="E406" s="54"/>
      <c r="F406" s="54"/>
      <c r="G406" s="54"/>
      <c r="H406" s="54"/>
    </row>
    <row r="407">
      <c r="A407" s="54"/>
      <c r="B407" s="36"/>
      <c r="C407" s="36"/>
      <c r="D407" s="50"/>
      <c r="E407" s="54"/>
      <c r="F407" s="54"/>
      <c r="G407" s="54"/>
      <c r="H407" s="54"/>
    </row>
    <row r="408">
      <c r="A408" s="54"/>
      <c r="B408" s="36"/>
      <c r="C408" s="36"/>
      <c r="D408" s="50"/>
      <c r="E408" s="54"/>
      <c r="F408" s="54"/>
      <c r="G408" s="54"/>
      <c r="H408" s="54"/>
    </row>
    <row r="409">
      <c r="A409" s="54"/>
      <c r="B409" s="36"/>
      <c r="C409" s="36"/>
      <c r="D409" s="50"/>
      <c r="E409" s="54"/>
      <c r="F409" s="54"/>
      <c r="G409" s="54"/>
      <c r="H409" s="54"/>
    </row>
    <row r="410">
      <c r="A410" s="54"/>
      <c r="B410" s="36"/>
      <c r="C410" s="36"/>
      <c r="D410" s="50"/>
      <c r="E410" s="54"/>
      <c r="F410" s="54"/>
      <c r="G410" s="54"/>
      <c r="H410" s="54"/>
    </row>
    <row r="411">
      <c r="A411" s="54"/>
      <c r="B411" s="36"/>
      <c r="C411" s="36"/>
      <c r="D411" s="50"/>
      <c r="E411" s="54"/>
      <c r="F411" s="54"/>
      <c r="G411" s="54"/>
      <c r="H411" s="54"/>
    </row>
    <row r="412">
      <c r="A412" s="54"/>
      <c r="B412" s="36"/>
      <c r="C412" s="36"/>
      <c r="D412" s="50"/>
      <c r="E412" s="54"/>
      <c r="F412" s="54"/>
      <c r="G412" s="54"/>
      <c r="H412" s="54"/>
    </row>
    <row r="413">
      <c r="A413" s="54"/>
      <c r="B413" s="36"/>
      <c r="C413" s="36"/>
      <c r="D413" s="50"/>
      <c r="E413" s="54"/>
      <c r="F413" s="54"/>
      <c r="G413" s="54"/>
      <c r="H413" s="54"/>
    </row>
    <row r="414">
      <c r="A414" s="54"/>
      <c r="B414" s="36"/>
      <c r="C414" s="36"/>
      <c r="D414" s="50"/>
      <c r="E414" s="54"/>
      <c r="F414" s="54"/>
      <c r="G414" s="54"/>
      <c r="H414" s="54"/>
    </row>
    <row r="415">
      <c r="A415" s="54"/>
      <c r="B415" s="36"/>
      <c r="C415" s="36"/>
      <c r="D415" s="50"/>
      <c r="E415" s="54"/>
      <c r="F415" s="54"/>
      <c r="G415" s="54"/>
      <c r="H415" s="54"/>
    </row>
    <row r="416">
      <c r="A416" s="54"/>
      <c r="B416" s="36"/>
      <c r="C416" s="36"/>
      <c r="D416" s="50"/>
      <c r="E416" s="54"/>
      <c r="F416" s="54"/>
      <c r="G416" s="54"/>
      <c r="H416" s="54"/>
    </row>
    <row r="417">
      <c r="A417" s="54"/>
      <c r="B417" s="36"/>
      <c r="C417" s="36"/>
      <c r="D417" s="50"/>
      <c r="E417" s="54"/>
      <c r="F417" s="54"/>
      <c r="G417" s="54"/>
      <c r="H417" s="54"/>
    </row>
    <row r="418">
      <c r="A418" s="54"/>
      <c r="B418" s="36"/>
      <c r="C418" s="36"/>
      <c r="D418" s="50"/>
      <c r="E418" s="54"/>
      <c r="F418" s="54"/>
      <c r="G418" s="54"/>
      <c r="H418" s="54"/>
    </row>
    <row r="419">
      <c r="A419" s="54"/>
      <c r="B419" s="36"/>
      <c r="C419" s="36"/>
      <c r="D419" s="50"/>
      <c r="E419" s="54"/>
      <c r="F419" s="54"/>
      <c r="G419" s="54"/>
      <c r="H419" s="54"/>
    </row>
    <row r="420">
      <c r="A420" s="54"/>
      <c r="B420" s="36"/>
      <c r="C420" s="36"/>
      <c r="D420" s="50"/>
      <c r="E420" s="54"/>
      <c r="F420" s="54"/>
      <c r="G420" s="54"/>
      <c r="H420" s="54"/>
    </row>
    <row r="421">
      <c r="A421" s="54"/>
      <c r="B421" s="36"/>
      <c r="C421" s="36"/>
      <c r="D421" s="50"/>
      <c r="E421" s="54"/>
      <c r="F421" s="54"/>
      <c r="G421" s="54"/>
      <c r="H421" s="54"/>
    </row>
    <row r="422">
      <c r="A422" s="54"/>
      <c r="B422" s="36"/>
      <c r="C422" s="36"/>
      <c r="D422" s="50"/>
      <c r="E422" s="54"/>
      <c r="F422" s="54"/>
      <c r="G422" s="54"/>
      <c r="H422" s="54"/>
    </row>
    <row r="423">
      <c r="A423" s="54"/>
      <c r="B423" s="36"/>
      <c r="C423" s="36"/>
      <c r="D423" s="50"/>
      <c r="E423" s="54"/>
      <c r="F423" s="54"/>
      <c r="G423" s="54"/>
      <c r="H423" s="54"/>
    </row>
    <row r="424">
      <c r="A424" s="54"/>
      <c r="B424" s="36"/>
      <c r="C424" s="36"/>
      <c r="D424" s="50"/>
      <c r="E424" s="54"/>
      <c r="F424" s="54"/>
      <c r="G424" s="54"/>
      <c r="H424" s="54"/>
    </row>
    <row r="425">
      <c r="A425" s="54"/>
      <c r="B425" s="36"/>
      <c r="C425" s="36"/>
      <c r="D425" s="50"/>
      <c r="E425" s="54"/>
      <c r="F425" s="54"/>
      <c r="G425" s="54"/>
      <c r="H425" s="54"/>
    </row>
    <row r="426">
      <c r="A426" s="54"/>
      <c r="B426" s="36"/>
      <c r="C426" s="36"/>
      <c r="D426" s="50"/>
      <c r="E426" s="54"/>
      <c r="F426" s="54"/>
      <c r="G426" s="54"/>
      <c r="H426" s="54"/>
    </row>
    <row r="427">
      <c r="A427" s="54"/>
      <c r="B427" s="36"/>
      <c r="C427" s="36"/>
      <c r="D427" s="50"/>
      <c r="E427" s="54"/>
      <c r="F427" s="54"/>
      <c r="G427" s="54"/>
      <c r="H427" s="54"/>
    </row>
    <row r="428">
      <c r="A428" s="54"/>
      <c r="B428" s="36"/>
      <c r="C428" s="36"/>
      <c r="D428" s="50"/>
      <c r="E428" s="54"/>
      <c r="F428" s="54"/>
      <c r="G428" s="54"/>
      <c r="H428" s="54"/>
    </row>
    <row r="429">
      <c r="A429" s="54"/>
      <c r="B429" s="36"/>
      <c r="C429" s="36"/>
      <c r="D429" s="50"/>
      <c r="E429" s="54"/>
      <c r="F429" s="54"/>
      <c r="G429" s="54"/>
      <c r="H429" s="54"/>
    </row>
    <row r="430">
      <c r="A430" s="54"/>
      <c r="B430" s="36"/>
      <c r="C430" s="36"/>
      <c r="D430" s="50"/>
      <c r="E430" s="54"/>
      <c r="F430" s="54"/>
      <c r="G430" s="54"/>
      <c r="H430" s="54"/>
    </row>
    <row r="431">
      <c r="A431" s="54"/>
      <c r="B431" s="36"/>
      <c r="C431" s="36"/>
      <c r="D431" s="50"/>
      <c r="E431" s="54"/>
      <c r="F431" s="54"/>
      <c r="G431" s="54"/>
      <c r="H431" s="54"/>
    </row>
    <row r="432">
      <c r="A432" s="54"/>
      <c r="B432" s="36"/>
      <c r="C432" s="36"/>
      <c r="D432" s="50"/>
      <c r="E432" s="54"/>
      <c r="F432" s="54"/>
      <c r="G432" s="54"/>
      <c r="H432" s="54"/>
    </row>
    <row r="433">
      <c r="A433" s="54"/>
      <c r="B433" s="36"/>
      <c r="C433" s="36"/>
      <c r="D433" s="50"/>
      <c r="E433" s="54"/>
      <c r="F433" s="54"/>
      <c r="G433" s="54"/>
      <c r="H433" s="54"/>
    </row>
    <row r="434">
      <c r="A434" s="54"/>
      <c r="B434" s="36"/>
      <c r="C434" s="36"/>
      <c r="D434" s="50"/>
      <c r="E434" s="54"/>
      <c r="F434" s="54"/>
      <c r="G434" s="54"/>
      <c r="H434" s="54"/>
    </row>
    <row r="435">
      <c r="A435" s="54"/>
      <c r="B435" s="36"/>
      <c r="C435" s="36"/>
      <c r="D435" s="50"/>
      <c r="E435" s="54"/>
      <c r="F435" s="54"/>
      <c r="G435" s="54"/>
      <c r="H435" s="54"/>
    </row>
    <row r="436">
      <c r="A436" s="54"/>
      <c r="B436" s="36"/>
      <c r="C436" s="36"/>
      <c r="D436" s="50"/>
      <c r="E436" s="54"/>
      <c r="F436" s="54"/>
      <c r="G436" s="54"/>
      <c r="H436" s="54"/>
    </row>
    <row r="437">
      <c r="A437" s="54"/>
      <c r="B437" s="36"/>
      <c r="C437" s="36"/>
      <c r="D437" s="50"/>
      <c r="E437" s="54"/>
      <c r="F437" s="54"/>
      <c r="G437" s="54"/>
      <c r="H437" s="54"/>
    </row>
    <row r="438">
      <c r="A438" s="54"/>
      <c r="B438" s="36"/>
      <c r="C438" s="36"/>
      <c r="D438" s="50"/>
      <c r="E438" s="54"/>
      <c r="F438" s="54"/>
      <c r="G438" s="54"/>
      <c r="H438" s="54"/>
    </row>
    <row r="439">
      <c r="A439" s="54"/>
      <c r="B439" s="36"/>
      <c r="C439" s="36"/>
      <c r="D439" s="50"/>
      <c r="E439" s="54"/>
      <c r="F439" s="54"/>
      <c r="G439" s="54"/>
      <c r="H439" s="54"/>
    </row>
    <row r="440">
      <c r="A440" s="54"/>
      <c r="B440" s="36"/>
      <c r="C440" s="36"/>
      <c r="D440" s="50"/>
      <c r="E440" s="54"/>
      <c r="F440" s="54"/>
      <c r="G440" s="54"/>
      <c r="H440" s="54"/>
    </row>
    <row r="441">
      <c r="A441" s="54"/>
      <c r="B441" s="36"/>
      <c r="C441" s="36"/>
      <c r="D441" s="50"/>
      <c r="E441" s="54"/>
      <c r="F441" s="54"/>
      <c r="G441" s="54"/>
      <c r="H441" s="54"/>
    </row>
    <row r="442">
      <c r="A442" s="54"/>
      <c r="B442" s="36"/>
      <c r="C442" s="36"/>
      <c r="D442" s="50"/>
      <c r="E442" s="54"/>
      <c r="F442" s="54"/>
      <c r="G442" s="54"/>
      <c r="H442" s="54"/>
    </row>
    <row r="443">
      <c r="A443" s="54"/>
      <c r="B443" s="36"/>
      <c r="C443" s="36"/>
      <c r="D443" s="50"/>
      <c r="E443" s="54"/>
      <c r="F443" s="54"/>
      <c r="G443" s="54"/>
      <c r="H443" s="54"/>
    </row>
    <row r="444">
      <c r="A444" s="54"/>
      <c r="B444" s="36"/>
      <c r="C444" s="36"/>
      <c r="D444" s="50"/>
      <c r="E444" s="54"/>
      <c r="F444" s="54"/>
      <c r="G444" s="54"/>
      <c r="H444" s="54"/>
    </row>
    <row r="445">
      <c r="A445" s="54"/>
      <c r="B445" s="36"/>
      <c r="C445" s="36"/>
      <c r="D445" s="50"/>
      <c r="E445" s="54"/>
      <c r="F445" s="54"/>
      <c r="G445" s="54"/>
      <c r="H445" s="54"/>
    </row>
    <row r="446">
      <c r="A446" s="54"/>
      <c r="B446" s="36"/>
      <c r="C446" s="36"/>
      <c r="D446" s="50"/>
      <c r="E446" s="54"/>
      <c r="F446" s="54"/>
      <c r="G446" s="54"/>
      <c r="H446" s="54"/>
    </row>
    <row r="447">
      <c r="A447" s="54"/>
      <c r="B447" s="36"/>
      <c r="C447" s="36"/>
      <c r="D447" s="50"/>
      <c r="E447" s="54"/>
      <c r="F447" s="54"/>
      <c r="G447" s="54"/>
      <c r="H447" s="54"/>
    </row>
    <row r="448">
      <c r="A448" s="54"/>
      <c r="B448" s="36"/>
      <c r="C448" s="36"/>
      <c r="D448" s="50"/>
      <c r="E448" s="54"/>
      <c r="F448" s="54"/>
      <c r="G448" s="54"/>
      <c r="H448" s="54"/>
    </row>
    <row r="449">
      <c r="A449" s="54"/>
      <c r="B449" s="36"/>
      <c r="C449" s="36"/>
      <c r="D449" s="50"/>
      <c r="E449" s="54"/>
      <c r="F449" s="54"/>
      <c r="G449" s="54"/>
      <c r="H449" s="54"/>
    </row>
    <row r="450">
      <c r="A450" s="54"/>
      <c r="B450" s="36"/>
      <c r="C450" s="36"/>
      <c r="D450" s="50"/>
      <c r="E450" s="54"/>
      <c r="F450" s="54"/>
      <c r="G450" s="54"/>
      <c r="H450" s="54"/>
    </row>
    <row r="451">
      <c r="A451" s="54"/>
      <c r="B451" s="36"/>
      <c r="C451" s="36"/>
      <c r="D451" s="50"/>
      <c r="E451" s="54"/>
      <c r="F451" s="54"/>
      <c r="G451" s="54"/>
      <c r="H451" s="54"/>
    </row>
    <row r="452">
      <c r="A452" s="54"/>
      <c r="B452" s="36"/>
      <c r="C452" s="36"/>
      <c r="D452" s="50"/>
      <c r="E452" s="54"/>
      <c r="F452" s="54"/>
      <c r="G452" s="54"/>
      <c r="H452" s="54"/>
    </row>
    <row r="453">
      <c r="A453" s="54"/>
      <c r="B453" s="36"/>
      <c r="C453" s="36"/>
      <c r="D453" s="50"/>
      <c r="E453" s="54"/>
      <c r="F453" s="54"/>
      <c r="G453" s="54"/>
      <c r="H453" s="54"/>
    </row>
    <row r="454">
      <c r="A454" s="54"/>
      <c r="B454" s="36"/>
      <c r="C454" s="36"/>
      <c r="D454" s="50"/>
      <c r="E454" s="54"/>
      <c r="F454" s="54"/>
      <c r="G454" s="54"/>
      <c r="H454" s="54"/>
    </row>
    <row r="455">
      <c r="A455" s="54"/>
      <c r="B455" s="36"/>
      <c r="C455" s="36"/>
      <c r="D455" s="50"/>
      <c r="E455" s="54"/>
      <c r="F455" s="54"/>
      <c r="G455" s="54"/>
      <c r="H455" s="54"/>
    </row>
    <row r="456">
      <c r="A456" s="54"/>
      <c r="B456" s="36"/>
      <c r="C456" s="36"/>
      <c r="D456" s="50"/>
      <c r="E456" s="54"/>
      <c r="F456" s="54"/>
      <c r="G456" s="54"/>
      <c r="H456" s="54"/>
    </row>
    <row r="457">
      <c r="A457" s="54"/>
      <c r="B457" s="36"/>
      <c r="C457" s="36"/>
      <c r="D457" s="50"/>
      <c r="E457" s="54"/>
      <c r="F457" s="54"/>
      <c r="G457" s="54"/>
      <c r="H457" s="54"/>
    </row>
    <row r="458">
      <c r="A458" s="54"/>
      <c r="B458" s="36"/>
      <c r="C458" s="36"/>
      <c r="D458" s="50"/>
      <c r="E458" s="54"/>
      <c r="F458" s="54"/>
      <c r="G458" s="54"/>
      <c r="H458" s="54"/>
    </row>
    <row r="459">
      <c r="A459" s="54"/>
      <c r="B459" s="36"/>
      <c r="C459" s="36"/>
      <c r="D459" s="50"/>
      <c r="E459" s="54"/>
      <c r="F459" s="54"/>
      <c r="G459" s="54"/>
      <c r="H459" s="54"/>
    </row>
    <row r="460">
      <c r="A460" s="54"/>
      <c r="B460" s="36"/>
      <c r="C460" s="36"/>
      <c r="D460" s="50"/>
      <c r="E460" s="54"/>
      <c r="F460" s="54"/>
      <c r="G460" s="54"/>
      <c r="H460" s="54"/>
    </row>
    <row r="461">
      <c r="A461" s="54"/>
      <c r="B461" s="36"/>
      <c r="C461" s="36"/>
      <c r="D461" s="50"/>
      <c r="E461" s="54"/>
      <c r="F461" s="54"/>
      <c r="G461" s="54"/>
      <c r="H461" s="54"/>
    </row>
    <row r="462">
      <c r="A462" s="54"/>
      <c r="B462" s="36"/>
      <c r="C462" s="36"/>
      <c r="D462" s="50"/>
      <c r="E462" s="54"/>
      <c r="F462" s="54"/>
      <c r="G462" s="54"/>
      <c r="H462" s="54"/>
    </row>
    <row r="463">
      <c r="A463" s="54"/>
      <c r="B463" s="36"/>
      <c r="C463" s="36"/>
      <c r="D463" s="50"/>
      <c r="E463" s="54"/>
      <c r="F463" s="54"/>
      <c r="G463" s="54"/>
      <c r="H463" s="54"/>
    </row>
    <row r="464">
      <c r="A464" s="54"/>
      <c r="B464" s="36"/>
      <c r="C464" s="36"/>
      <c r="D464" s="50"/>
      <c r="E464" s="54"/>
      <c r="F464" s="54"/>
      <c r="G464" s="54"/>
      <c r="H464" s="54"/>
    </row>
    <row r="465">
      <c r="A465" s="54"/>
      <c r="B465" s="36"/>
      <c r="C465" s="36"/>
      <c r="D465" s="50"/>
      <c r="E465" s="54"/>
      <c r="F465" s="54"/>
      <c r="G465" s="54"/>
      <c r="H465" s="54"/>
    </row>
    <row r="466">
      <c r="A466" s="54"/>
      <c r="B466" s="36"/>
      <c r="C466" s="36"/>
      <c r="D466" s="50"/>
      <c r="E466" s="54"/>
      <c r="F466" s="54"/>
      <c r="G466" s="54"/>
      <c r="H466" s="54"/>
    </row>
    <row r="467">
      <c r="A467" s="54"/>
      <c r="B467" s="36"/>
      <c r="C467" s="36"/>
      <c r="D467" s="50"/>
      <c r="E467" s="54"/>
      <c r="F467" s="54"/>
      <c r="G467" s="54"/>
      <c r="H467" s="54"/>
    </row>
    <row r="468">
      <c r="A468" s="54"/>
      <c r="B468" s="36"/>
      <c r="C468" s="36"/>
      <c r="D468" s="50"/>
      <c r="E468" s="54"/>
      <c r="F468" s="54"/>
      <c r="G468" s="54"/>
      <c r="H468" s="54"/>
    </row>
    <row r="469">
      <c r="A469" s="54"/>
      <c r="B469" s="36"/>
      <c r="C469" s="36"/>
      <c r="D469" s="50"/>
      <c r="E469" s="54"/>
      <c r="F469" s="54"/>
      <c r="G469" s="54"/>
      <c r="H469" s="54"/>
    </row>
    <row r="470">
      <c r="A470" s="54"/>
      <c r="B470" s="36"/>
      <c r="C470" s="36"/>
      <c r="D470" s="50"/>
      <c r="E470" s="54"/>
      <c r="F470" s="54"/>
      <c r="G470" s="54"/>
      <c r="H470" s="54"/>
    </row>
    <row r="471">
      <c r="A471" s="54"/>
      <c r="B471" s="36"/>
      <c r="C471" s="36"/>
      <c r="D471" s="50"/>
      <c r="E471" s="54"/>
      <c r="F471" s="54"/>
      <c r="G471" s="54"/>
      <c r="H471" s="54"/>
    </row>
    <row r="472">
      <c r="A472" s="54"/>
      <c r="B472" s="36"/>
      <c r="C472" s="36"/>
      <c r="D472" s="50"/>
      <c r="E472" s="54"/>
      <c r="F472" s="54"/>
      <c r="G472" s="54"/>
      <c r="H472" s="54"/>
    </row>
    <row r="473">
      <c r="A473" s="54"/>
      <c r="B473" s="36"/>
      <c r="C473" s="36"/>
      <c r="D473" s="50"/>
      <c r="E473" s="54"/>
      <c r="F473" s="54"/>
      <c r="G473" s="54"/>
      <c r="H473" s="54"/>
    </row>
    <row r="474">
      <c r="A474" s="54"/>
      <c r="B474" s="36"/>
      <c r="C474" s="36"/>
      <c r="D474" s="50"/>
      <c r="E474" s="54"/>
      <c r="F474" s="54"/>
      <c r="G474" s="54"/>
      <c r="H474" s="54"/>
    </row>
    <row r="475">
      <c r="A475" s="54"/>
      <c r="B475" s="36"/>
      <c r="C475" s="36"/>
      <c r="D475" s="50"/>
      <c r="E475" s="54"/>
      <c r="F475" s="54"/>
      <c r="G475" s="54"/>
      <c r="H475" s="54"/>
    </row>
    <row r="476">
      <c r="A476" s="54"/>
      <c r="B476" s="36"/>
      <c r="C476" s="36"/>
      <c r="D476" s="50"/>
      <c r="E476" s="54"/>
      <c r="F476" s="54"/>
      <c r="G476" s="54"/>
      <c r="H476" s="54"/>
    </row>
    <row r="477">
      <c r="A477" s="54"/>
      <c r="B477" s="36"/>
      <c r="C477" s="36"/>
      <c r="D477" s="50"/>
      <c r="E477" s="54"/>
      <c r="F477" s="54"/>
      <c r="G477" s="54"/>
      <c r="H477" s="54"/>
    </row>
    <row r="478">
      <c r="A478" s="54"/>
      <c r="B478" s="36"/>
      <c r="C478" s="36"/>
      <c r="D478" s="50"/>
      <c r="E478" s="54"/>
      <c r="F478" s="54"/>
      <c r="G478" s="54"/>
      <c r="H478" s="54"/>
    </row>
    <row r="479">
      <c r="A479" s="54"/>
      <c r="B479" s="36"/>
      <c r="C479" s="36"/>
      <c r="D479" s="50"/>
      <c r="E479" s="54"/>
      <c r="F479" s="54"/>
      <c r="G479" s="54"/>
      <c r="H479" s="54"/>
    </row>
    <row r="480">
      <c r="A480" s="54"/>
      <c r="B480" s="36"/>
      <c r="C480" s="36"/>
      <c r="D480" s="50"/>
      <c r="E480" s="54"/>
      <c r="F480" s="54"/>
      <c r="G480" s="54"/>
      <c r="H480" s="54"/>
    </row>
    <row r="481">
      <c r="A481" s="54"/>
      <c r="B481" s="36"/>
      <c r="C481" s="36"/>
      <c r="D481" s="50"/>
      <c r="E481" s="54"/>
      <c r="F481" s="54"/>
      <c r="G481" s="54"/>
      <c r="H481" s="54"/>
    </row>
    <row r="482">
      <c r="A482" s="54"/>
      <c r="B482" s="36"/>
      <c r="C482" s="36"/>
      <c r="D482" s="50"/>
      <c r="E482" s="54"/>
      <c r="F482" s="54"/>
      <c r="G482" s="54"/>
      <c r="H482" s="54"/>
    </row>
    <row r="483">
      <c r="A483" s="54"/>
      <c r="B483" s="36"/>
      <c r="C483" s="36"/>
      <c r="D483" s="50"/>
      <c r="E483" s="54"/>
      <c r="F483" s="54"/>
      <c r="G483" s="54"/>
      <c r="H483" s="54"/>
    </row>
    <row r="484">
      <c r="A484" s="54"/>
      <c r="B484" s="36"/>
      <c r="C484" s="36"/>
      <c r="D484" s="50"/>
      <c r="E484" s="54"/>
      <c r="F484" s="54"/>
      <c r="G484" s="54"/>
      <c r="H484" s="54"/>
    </row>
    <row r="485">
      <c r="A485" s="54"/>
      <c r="B485" s="36"/>
      <c r="C485" s="36"/>
      <c r="D485" s="50"/>
      <c r="E485" s="54"/>
      <c r="F485" s="54"/>
      <c r="G485" s="54"/>
      <c r="H485" s="54"/>
    </row>
    <row r="486">
      <c r="A486" s="54"/>
      <c r="B486" s="36"/>
      <c r="C486" s="36"/>
      <c r="D486" s="50"/>
      <c r="E486" s="54"/>
      <c r="F486" s="54"/>
      <c r="G486" s="54"/>
      <c r="H486" s="54"/>
    </row>
    <row r="487">
      <c r="A487" s="54"/>
      <c r="B487" s="36"/>
      <c r="C487" s="36"/>
      <c r="D487" s="50"/>
      <c r="E487" s="54"/>
      <c r="F487" s="54"/>
      <c r="G487" s="54"/>
      <c r="H487" s="54"/>
    </row>
    <row r="488">
      <c r="A488" s="54"/>
      <c r="B488" s="36"/>
      <c r="C488" s="36"/>
      <c r="D488" s="50"/>
      <c r="E488" s="54"/>
      <c r="F488" s="54"/>
      <c r="G488" s="54"/>
      <c r="H488" s="54"/>
    </row>
    <row r="489">
      <c r="A489" s="54"/>
      <c r="B489" s="36"/>
      <c r="C489" s="36"/>
      <c r="D489" s="50"/>
      <c r="E489" s="54"/>
      <c r="F489" s="54"/>
      <c r="G489" s="54"/>
      <c r="H489" s="54"/>
    </row>
    <row r="490">
      <c r="A490" s="54"/>
      <c r="B490" s="36"/>
      <c r="C490" s="36"/>
      <c r="D490" s="50"/>
      <c r="E490" s="54"/>
      <c r="F490" s="54"/>
      <c r="G490" s="54"/>
      <c r="H490" s="54"/>
    </row>
    <row r="491">
      <c r="A491" s="54"/>
      <c r="B491" s="36"/>
      <c r="C491" s="36"/>
      <c r="D491" s="50"/>
      <c r="E491" s="54"/>
      <c r="F491" s="54"/>
      <c r="G491" s="54"/>
      <c r="H491" s="54"/>
    </row>
    <row r="492">
      <c r="A492" s="54"/>
      <c r="B492" s="36"/>
      <c r="C492" s="36"/>
      <c r="D492" s="50"/>
      <c r="E492" s="54"/>
      <c r="F492" s="54"/>
      <c r="G492" s="54"/>
      <c r="H492" s="54"/>
    </row>
    <row r="493">
      <c r="A493" s="54"/>
      <c r="B493" s="36"/>
      <c r="C493" s="36"/>
      <c r="D493" s="50"/>
      <c r="E493" s="54"/>
      <c r="F493" s="54"/>
      <c r="G493" s="54"/>
      <c r="H493" s="54"/>
    </row>
    <row r="494">
      <c r="A494" s="54"/>
      <c r="B494" s="36"/>
      <c r="C494" s="36"/>
      <c r="D494" s="50"/>
      <c r="E494" s="54"/>
      <c r="F494" s="54"/>
      <c r="G494" s="54"/>
      <c r="H494" s="54"/>
    </row>
    <row r="495">
      <c r="A495" s="54"/>
      <c r="B495" s="36"/>
      <c r="C495" s="36"/>
      <c r="D495" s="50"/>
      <c r="E495" s="54"/>
      <c r="F495" s="54"/>
      <c r="G495" s="54"/>
      <c r="H495" s="54"/>
    </row>
    <row r="496">
      <c r="A496" s="54"/>
      <c r="B496" s="36"/>
      <c r="C496" s="36"/>
      <c r="D496" s="50"/>
      <c r="E496" s="54"/>
      <c r="F496" s="54"/>
      <c r="G496" s="54"/>
      <c r="H496" s="54"/>
    </row>
    <row r="497">
      <c r="A497" s="54"/>
      <c r="B497" s="36"/>
      <c r="C497" s="36"/>
      <c r="D497" s="50"/>
      <c r="E497" s="54"/>
      <c r="F497" s="54"/>
      <c r="G497" s="54"/>
      <c r="H497" s="54"/>
    </row>
    <row r="498">
      <c r="A498" s="54"/>
      <c r="B498" s="36"/>
      <c r="C498" s="36"/>
      <c r="D498" s="50"/>
      <c r="E498" s="54"/>
      <c r="F498" s="54"/>
      <c r="G498" s="54"/>
      <c r="H498" s="54"/>
    </row>
    <row r="499">
      <c r="A499" s="54"/>
      <c r="B499" s="36"/>
      <c r="C499" s="36"/>
      <c r="D499" s="50"/>
      <c r="E499" s="54"/>
      <c r="F499" s="54"/>
      <c r="G499" s="54"/>
      <c r="H499" s="54"/>
    </row>
    <row r="500">
      <c r="A500" s="54"/>
      <c r="B500" s="36"/>
      <c r="C500" s="36"/>
      <c r="D500" s="50"/>
      <c r="E500" s="54"/>
      <c r="F500" s="54"/>
      <c r="G500" s="54"/>
      <c r="H500" s="54"/>
    </row>
    <row r="501">
      <c r="A501" s="54"/>
      <c r="B501" s="36"/>
      <c r="C501" s="36"/>
      <c r="D501" s="50"/>
      <c r="E501" s="54"/>
      <c r="F501" s="54"/>
      <c r="G501" s="54"/>
      <c r="H501" s="54"/>
    </row>
    <row r="502">
      <c r="A502" s="54"/>
      <c r="B502" s="36"/>
      <c r="C502" s="36"/>
      <c r="D502" s="50"/>
      <c r="E502" s="54"/>
      <c r="F502" s="54"/>
      <c r="G502" s="54"/>
      <c r="H502" s="54"/>
    </row>
    <row r="503">
      <c r="A503" s="54"/>
      <c r="B503" s="36"/>
      <c r="C503" s="36"/>
      <c r="D503" s="50"/>
      <c r="E503" s="54"/>
      <c r="F503" s="54"/>
      <c r="G503" s="54"/>
      <c r="H503" s="54"/>
    </row>
    <row r="504">
      <c r="A504" s="54"/>
      <c r="B504" s="36"/>
      <c r="C504" s="36"/>
      <c r="D504" s="50"/>
      <c r="E504" s="54"/>
      <c r="F504" s="54"/>
      <c r="G504" s="54"/>
      <c r="H504" s="54"/>
    </row>
    <row r="505">
      <c r="A505" s="54"/>
      <c r="B505" s="36"/>
      <c r="C505" s="36"/>
      <c r="D505" s="50"/>
      <c r="E505" s="54"/>
      <c r="F505" s="54"/>
      <c r="G505" s="54"/>
      <c r="H505" s="54"/>
    </row>
    <row r="506">
      <c r="A506" s="54"/>
      <c r="B506" s="36"/>
      <c r="C506" s="36"/>
      <c r="D506" s="50"/>
      <c r="E506" s="54"/>
      <c r="F506" s="54"/>
      <c r="G506" s="54"/>
      <c r="H506" s="54"/>
    </row>
    <row r="507">
      <c r="A507" s="54"/>
      <c r="B507" s="36"/>
      <c r="C507" s="36"/>
      <c r="D507" s="50"/>
      <c r="E507" s="54"/>
      <c r="F507" s="54"/>
      <c r="G507" s="54"/>
      <c r="H507" s="54"/>
    </row>
    <row r="508">
      <c r="A508" s="54"/>
      <c r="B508" s="36"/>
      <c r="C508" s="36"/>
      <c r="D508" s="50"/>
      <c r="E508" s="54"/>
      <c r="F508" s="54"/>
      <c r="G508" s="54"/>
      <c r="H508" s="54"/>
    </row>
    <row r="509">
      <c r="A509" s="54"/>
      <c r="B509" s="36"/>
      <c r="C509" s="36"/>
      <c r="D509" s="50"/>
      <c r="E509" s="54"/>
      <c r="F509" s="54"/>
      <c r="G509" s="54"/>
      <c r="H509" s="54"/>
    </row>
    <row r="510">
      <c r="A510" s="54"/>
      <c r="B510" s="36"/>
      <c r="C510" s="36"/>
      <c r="D510" s="50"/>
      <c r="E510" s="54"/>
      <c r="F510" s="54"/>
      <c r="G510" s="54"/>
      <c r="H510" s="54"/>
    </row>
    <row r="511">
      <c r="A511" s="54"/>
      <c r="B511" s="36"/>
      <c r="C511" s="36"/>
      <c r="D511" s="50"/>
      <c r="E511" s="54"/>
      <c r="F511" s="54"/>
      <c r="G511" s="54"/>
      <c r="H511" s="54"/>
    </row>
    <row r="512">
      <c r="A512" s="54"/>
      <c r="B512" s="36"/>
      <c r="C512" s="36"/>
      <c r="D512" s="50"/>
      <c r="E512" s="54"/>
      <c r="F512" s="54"/>
      <c r="G512" s="54"/>
      <c r="H512" s="54"/>
    </row>
    <row r="513">
      <c r="A513" s="54"/>
      <c r="B513" s="36"/>
      <c r="C513" s="36"/>
      <c r="D513" s="50"/>
      <c r="E513" s="54"/>
      <c r="F513" s="54"/>
      <c r="G513" s="54"/>
      <c r="H513" s="54"/>
    </row>
    <row r="514">
      <c r="A514" s="54"/>
      <c r="B514" s="36"/>
      <c r="C514" s="36"/>
      <c r="D514" s="50"/>
      <c r="E514" s="54"/>
      <c r="F514" s="54"/>
      <c r="G514" s="54"/>
      <c r="H514" s="54"/>
    </row>
    <row r="515">
      <c r="A515" s="54"/>
      <c r="B515" s="36"/>
      <c r="C515" s="36"/>
      <c r="D515" s="50"/>
      <c r="E515" s="54"/>
      <c r="F515" s="54"/>
      <c r="G515" s="54"/>
      <c r="H515" s="54"/>
    </row>
    <row r="516">
      <c r="A516" s="54"/>
      <c r="B516" s="36"/>
      <c r="C516" s="36"/>
      <c r="D516" s="50"/>
      <c r="E516" s="54"/>
      <c r="F516" s="54"/>
      <c r="G516" s="54"/>
      <c r="H516" s="54"/>
    </row>
    <row r="517">
      <c r="A517" s="54"/>
      <c r="B517" s="36"/>
      <c r="C517" s="36"/>
      <c r="D517" s="50"/>
      <c r="E517" s="54"/>
      <c r="F517" s="54"/>
      <c r="G517" s="54"/>
      <c r="H517" s="54"/>
    </row>
    <row r="518">
      <c r="A518" s="54"/>
      <c r="B518" s="36"/>
      <c r="C518" s="36"/>
      <c r="D518" s="50"/>
      <c r="E518" s="54"/>
      <c r="F518" s="54"/>
      <c r="G518" s="54"/>
      <c r="H518" s="54"/>
    </row>
    <row r="519">
      <c r="A519" s="54"/>
      <c r="B519" s="36"/>
      <c r="C519" s="36"/>
      <c r="D519" s="50"/>
      <c r="E519" s="54"/>
      <c r="F519" s="54"/>
      <c r="G519" s="54"/>
      <c r="H519" s="54"/>
    </row>
    <row r="520">
      <c r="A520" s="54"/>
      <c r="B520" s="36"/>
      <c r="C520" s="36"/>
      <c r="D520" s="50"/>
      <c r="E520" s="54"/>
      <c r="F520" s="54"/>
      <c r="G520" s="54"/>
      <c r="H520" s="54"/>
    </row>
    <row r="521">
      <c r="A521" s="54"/>
      <c r="B521" s="36"/>
      <c r="C521" s="36"/>
      <c r="D521" s="50"/>
      <c r="E521" s="54"/>
      <c r="F521" s="54"/>
      <c r="G521" s="54"/>
      <c r="H521" s="54"/>
    </row>
    <row r="522">
      <c r="A522" s="54"/>
      <c r="B522" s="36"/>
      <c r="C522" s="36"/>
      <c r="D522" s="50"/>
      <c r="E522" s="54"/>
      <c r="F522" s="54"/>
      <c r="G522" s="54"/>
      <c r="H522" s="54"/>
    </row>
    <row r="523">
      <c r="A523" s="54"/>
      <c r="B523" s="36"/>
      <c r="C523" s="36"/>
      <c r="D523" s="50"/>
      <c r="E523" s="54"/>
      <c r="F523" s="54"/>
      <c r="G523" s="54"/>
      <c r="H523" s="54"/>
    </row>
    <row r="524">
      <c r="A524" s="54"/>
      <c r="B524" s="36"/>
      <c r="C524" s="36"/>
      <c r="D524" s="50"/>
      <c r="E524" s="54"/>
      <c r="F524" s="54"/>
      <c r="G524" s="54"/>
      <c r="H524" s="54"/>
    </row>
    <row r="525">
      <c r="A525" s="54"/>
      <c r="B525" s="36"/>
      <c r="C525" s="36"/>
      <c r="D525" s="50"/>
      <c r="E525" s="54"/>
      <c r="F525" s="54"/>
      <c r="G525" s="54"/>
      <c r="H525" s="54"/>
    </row>
    <row r="526">
      <c r="A526" s="54"/>
      <c r="B526" s="36"/>
      <c r="C526" s="36"/>
      <c r="D526" s="50"/>
      <c r="E526" s="54"/>
      <c r="F526" s="54"/>
      <c r="G526" s="54"/>
      <c r="H526" s="54"/>
    </row>
    <row r="527">
      <c r="A527" s="54"/>
      <c r="B527" s="36"/>
      <c r="C527" s="36"/>
      <c r="D527" s="50"/>
      <c r="E527" s="54"/>
      <c r="F527" s="54"/>
      <c r="G527" s="54"/>
      <c r="H527" s="54"/>
    </row>
    <row r="528">
      <c r="A528" s="54"/>
      <c r="B528" s="36"/>
      <c r="C528" s="36"/>
      <c r="D528" s="50"/>
      <c r="E528" s="54"/>
      <c r="F528" s="54"/>
      <c r="G528" s="54"/>
      <c r="H528" s="54"/>
    </row>
    <row r="529">
      <c r="A529" s="54"/>
      <c r="B529" s="36"/>
      <c r="C529" s="36"/>
      <c r="D529" s="50"/>
      <c r="E529" s="54"/>
      <c r="F529" s="54"/>
      <c r="G529" s="54"/>
      <c r="H529" s="54"/>
    </row>
    <row r="530">
      <c r="A530" s="54"/>
      <c r="B530" s="36"/>
      <c r="C530" s="36"/>
      <c r="D530" s="50"/>
      <c r="E530" s="54"/>
      <c r="F530" s="54"/>
      <c r="G530" s="54"/>
      <c r="H530" s="54"/>
    </row>
    <row r="531">
      <c r="A531" s="54"/>
      <c r="B531" s="36"/>
      <c r="C531" s="36"/>
      <c r="D531" s="50"/>
      <c r="E531" s="54"/>
      <c r="F531" s="54"/>
      <c r="G531" s="54"/>
      <c r="H531" s="54"/>
    </row>
    <row r="532">
      <c r="A532" s="54"/>
      <c r="B532" s="36"/>
      <c r="C532" s="36"/>
      <c r="D532" s="50"/>
      <c r="E532" s="54"/>
      <c r="F532" s="54"/>
      <c r="G532" s="54"/>
      <c r="H532" s="54"/>
    </row>
    <row r="533">
      <c r="A533" s="54"/>
      <c r="B533" s="36"/>
      <c r="C533" s="36"/>
      <c r="D533" s="50"/>
      <c r="E533" s="54"/>
      <c r="F533" s="54"/>
      <c r="G533" s="54"/>
      <c r="H533" s="54"/>
    </row>
    <row r="534">
      <c r="A534" s="54"/>
      <c r="B534" s="36"/>
      <c r="C534" s="36"/>
      <c r="D534" s="50"/>
      <c r="E534" s="54"/>
      <c r="F534" s="54"/>
      <c r="G534" s="54"/>
      <c r="H534" s="54"/>
    </row>
    <row r="535">
      <c r="A535" s="54"/>
      <c r="B535" s="36"/>
      <c r="C535" s="36"/>
      <c r="D535" s="50"/>
      <c r="E535" s="54"/>
      <c r="F535" s="54"/>
      <c r="G535" s="54"/>
      <c r="H535" s="54"/>
    </row>
    <row r="536">
      <c r="A536" s="54"/>
      <c r="B536" s="36"/>
      <c r="C536" s="36"/>
      <c r="D536" s="50"/>
      <c r="E536" s="54"/>
      <c r="F536" s="54"/>
      <c r="G536" s="54"/>
      <c r="H536" s="54"/>
    </row>
    <row r="537">
      <c r="A537" s="54"/>
      <c r="B537" s="36"/>
      <c r="C537" s="36"/>
      <c r="D537" s="50"/>
      <c r="E537" s="54"/>
      <c r="F537" s="54"/>
      <c r="G537" s="54"/>
      <c r="H537" s="54"/>
    </row>
    <row r="538">
      <c r="A538" s="54"/>
      <c r="B538" s="36"/>
      <c r="C538" s="36"/>
      <c r="D538" s="50"/>
      <c r="E538" s="54"/>
      <c r="F538" s="54"/>
      <c r="G538" s="54"/>
      <c r="H538" s="54"/>
    </row>
    <row r="539">
      <c r="A539" s="54"/>
      <c r="B539" s="36"/>
      <c r="C539" s="36"/>
      <c r="D539" s="50"/>
      <c r="E539" s="54"/>
      <c r="F539" s="54"/>
      <c r="G539" s="54"/>
      <c r="H539" s="54"/>
    </row>
    <row r="540">
      <c r="A540" s="54"/>
      <c r="B540" s="36"/>
      <c r="C540" s="36"/>
      <c r="D540" s="50"/>
      <c r="E540" s="54"/>
      <c r="F540" s="54"/>
      <c r="G540" s="54"/>
      <c r="H540" s="54"/>
    </row>
    <row r="541">
      <c r="A541" s="54"/>
      <c r="B541" s="36"/>
      <c r="C541" s="36"/>
      <c r="D541" s="50"/>
      <c r="E541" s="54"/>
      <c r="F541" s="54"/>
      <c r="G541" s="54"/>
      <c r="H541" s="54"/>
    </row>
    <row r="542">
      <c r="A542" s="54"/>
      <c r="B542" s="36"/>
      <c r="C542" s="36"/>
      <c r="D542" s="50"/>
      <c r="E542" s="54"/>
      <c r="F542" s="54"/>
      <c r="G542" s="54"/>
      <c r="H542" s="54"/>
    </row>
    <row r="543">
      <c r="A543" s="54"/>
      <c r="B543" s="36"/>
      <c r="C543" s="36"/>
      <c r="D543" s="50"/>
      <c r="E543" s="54"/>
      <c r="F543" s="54"/>
      <c r="G543" s="54"/>
      <c r="H543" s="54"/>
    </row>
    <row r="544">
      <c r="A544" s="54"/>
      <c r="B544" s="36"/>
      <c r="C544" s="36"/>
      <c r="D544" s="50"/>
      <c r="E544" s="54"/>
      <c r="F544" s="54"/>
      <c r="G544" s="54"/>
      <c r="H544" s="54"/>
    </row>
    <row r="545">
      <c r="A545" s="54"/>
      <c r="B545" s="36"/>
      <c r="C545" s="36"/>
      <c r="D545" s="50"/>
      <c r="E545" s="54"/>
      <c r="F545" s="54"/>
      <c r="G545" s="54"/>
      <c r="H545" s="54"/>
    </row>
    <row r="546">
      <c r="A546" s="54"/>
      <c r="B546" s="36"/>
      <c r="C546" s="36"/>
      <c r="D546" s="50"/>
      <c r="E546" s="54"/>
      <c r="F546" s="54"/>
      <c r="G546" s="54"/>
      <c r="H546" s="54"/>
    </row>
    <row r="547">
      <c r="A547" s="54"/>
      <c r="B547" s="36"/>
      <c r="C547" s="36"/>
      <c r="D547" s="50"/>
      <c r="E547" s="54"/>
      <c r="F547" s="54"/>
      <c r="G547" s="54"/>
      <c r="H547" s="54"/>
    </row>
    <row r="548">
      <c r="A548" s="54"/>
      <c r="B548" s="36"/>
      <c r="C548" s="36"/>
      <c r="D548" s="50"/>
      <c r="E548" s="54"/>
      <c r="F548" s="54"/>
      <c r="G548" s="54"/>
      <c r="H548" s="54"/>
    </row>
    <row r="549">
      <c r="A549" s="54"/>
      <c r="B549" s="36"/>
      <c r="C549" s="36"/>
      <c r="D549" s="50"/>
      <c r="E549" s="54"/>
      <c r="F549" s="54"/>
      <c r="G549" s="54"/>
      <c r="H549" s="54"/>
    </row>
    <row r="550">
      <c r="A550" s="54"/>
      <c r="B550" s="36"/>
      <c r="C550" s="36"/>
      <c r="D550" s="50"/>
      <c r="E550" s="54"/>
      <c r="F550" s="54"/>
      <c r="G550" s="54"/>
      <c r="H550" s="54"/>
    </row>
    <row r="551">
      <c r="A551" s="54"/>
      <c r="B551" s="36"/>
      <c r="C551" s="36"/>
      <c r="D551" s="50"/>
      <c r="E551" s="54"/>
      <c r="F551" s="54"/>
      <c r="G551" s="54"/>
      <c r="H551" s="54"/>
    </row>
    <row r="552">
      <c r="A552" s="54"/>
      <c r="B552" s="36"/>
      <c r="C552" s="36"/>
      <c r="D552" s="50"/>
      <c r="E552" s="54"/>
      <c r="F552" s="54"/>
      <c r="G552" s="54"/>
      <c r="H552" s="54"/>
    </row>
    <row r="553">
      <c r="A553" s="54"/>
      <c r="B553" s="36"/>
      <c r="C553" s="36"/>
      <c r="D553" s="50"/>
      <c r="E553" s="54"/>
      <c r="F553" s="54"/>
      <c r="G553" s="54"/>
      <c r="H553" s="54"/>
    </row>
    <row r="554">
      <c r="A554" s="54"/>
      <c r="B554" s="36"/>
      <c r="C554" s="36"/>
      <c r="D554" s="50"/>
      <c r="E554" s="54"/>
      <c r="F554" s="54"/>
      <c r="G554" s="54"/>
      <c r="H554" s="54"/>
    </row>
    <row r="555">
      <c r="A555" s="54"/>
      <c r="B555" s="36"/>
      <c r="C555" s="36"/>
      <c r="D555" s="50"/>
      <c r="E555" s="54"/>
      <c r="F555" s="54"/>
      <c r="G555" s="54"/>
      <c r="H555" s="54"/>
    </row>
    <row r="556">
      <c r="A556" s="54"/>
      <c r="B556" s="36"/>
      <c r="C556" s="36"/>
      <c r="D556" s="50"/>
      <c r="E556" s="54"/>
      <c r="F556" s="54"/>
      <c r="G556" s="54"/>
      <c r="H556" s="54"/>
    </row>
    <row r="557">
      <c r="A557" s="54"/>
      <c r="B557" s="36"/>
      <c r="C557" s="36"/>
      <c r="D557" s="50"/>
      <c r="E557" s="54"/>
      <c r="F557" s="54"/>
      <c r="G557" s="54"/>
      <c r="H557" s="54"/>
    </row>
    <row r="558">
      <c r="A558" s="54"/>
      <c r="B558" s="36"/>
      <c r="C558" s="36"/>
      <c r="D558" s="50"/>
      <c r="E558" s="54"/>
      <c r="F558" s="54"/>
      <c r="G558" s="54"/>
      <c r="H558" s="54"/>
    </row>
    <row r="559">
      <c r="A559" s="54"/>
      <c r="B559" s="36"/>
      <c r="C559" s="36"/>
      <c r="D559" s="50"/>
      <c r="E559" s="54"/>
      <c r="F559" s="54"/>
      <c r="G559" s="54"/>
      <c r="H559" s="54"/>
    </row>
    <row r="560">
      <c r="A560" s="54"/>
      <c r="B560" s="36"/>
      <c r="C560" s="36"/>
      <c r="D560" s="50"/>
      <c r="E560" s="54"/>
      <c r="F560" s="54"/>
      <c r="G560" s="54"/>
      <c r="H560" s="54"/>
    </row>
    <row r="561">
      <c r="A561" s="54"/>
      <c r="B561" s="36"/>
      <c r="C561" s="36"/>
      <c r="D561" s="50"/>
      <c r="E561" s="54"/>
      <c r="F561" s="54"/>
      <c r="G561" s="54"/>
      <c r="H561" s="54"/>
    </row>
    <row r="562">
      <c r="A562" s="54"/>
      <c r="B562" s="36"/>
      <c r="C562" s="36"/>
      <c r="D562" s="50"/>
      <c r="E562" s="54"/>
      <c r="F562" s="54"/>
      <c r="G562" s="54"/>
      <c r="H562" s="54"/>
    </row>
    <row r="563">
      <c r="A563" s="54"/>
      <c r="B563" s="36"/>
      <c r="C563" s="36"/>
      <c r="D563" s="50"/>
      <c r="E563" s="54"/>
      <c r="F563" s="54"/>
      <c r="G563" s="54"/>
      <c r="H563" s="54"/>
    </row>
    <row r="564">
      <c r="A564" s="54"/>
      <c r="B564" s="36"/>
      <c r="C564" s="36"/>
      <c r="D564" s="50"/>
      <c r="E564" s="54"/>
      <c r="F564" s="54"/>
      <c r="G564" s="54"/>
      <c r="H564" s="54"/>
    </row>
    <row r="565">
      <c r="A565" s="54"/>
      <c r="B565" s="36"/>
      <c r="C565" s="36"/>
      <c r="D565" s="50"/>
      <c r="E565" s="54"/>
      <c r="F565" s="54"/>
      <c r="G565" s="54"/>
      <c r="H565" s="54"/>
    </row>
    <row r="566">
      <c r="A566" s="54"/>
      <c r="B566" s="36"/>
      <c r="C566" s="36"/>
      <c r="D566" s="50"/>
      <c r="E566" s="54"/>
      <c r="F566" s="54"/>
      <c r="G566" s="54"/>
      <c r="H566" s="54"/>
    </row>
    <row r="567">
      <c r="A567" s="54"/>
      <c r="B567" s="36"/>
      <c r="C567" s="36"/>
      <c r="D567" s="50"/>
      <c r="E567" s="54"/>
      <c r="F567" s="54"/>
      <c r="G567" s="54"/>
      <c r="H567" s="54"/>
    </row>
    <row r="568">
      <c r="A568" s="54"/>
      <c r="B568" s="36"/>
      <c r="C568" s="36"/>
      <c r="D568" s="50"/>
      <c r="E568" s="54"/>
      <c r="F568" s="54"/>
      <c r="G568" s="54"/>
      <c r="H568" s="54"/>
    </row>
    <row r="569">
      <c r="A569" s="54"/>
      <c r="B569" s="36"/>
      <c r="C569" s="36"/>
      <c r="D569" s="50"/>
      <c r="E569" s="54"/>
      <c r="F569" s="54"/>
      <c r="G569" s="54"/>
      <c r="H569" s="54"/>
    </row>
    <row r="570">
      <c r="A570" s="54"/>
      <c r="B570" s="36"/>
      <c r="C570" s="36"/>
      <c r="D570" s="50"/>
      <c r="E570" s="54"/>
      <c r="F570" s="54"/>
      <c r="G570" s="54"/>
      <c r="H570" s="54"/>
    </row>
    <row r="571">
      <c r="A571" s="54"/>
      <c r="B571" s="36"/>
      <c r="C571" s="36"/>
      <c r="D571" s="50"/>
      <c r="E571" s="54"/>
      <c r="F571" s="54"/>
      <c r="G571" s="54"/>
      <c r="H571" s="54"/>
    </row>
    <row r="572">
      <c r="A572" s="54"/>
      <c r="B572" s="36"/>
      <c r="C572" s="36"/>
      <c r="D572" s="50"/>
      <c r="E572" s="54"/>
      <c r="F572" s="54"/>
      <c r="G572" s="54"/>
      <c r="H572" s="54"/>
    </row>
    <row r="573">
      <c r="A573" s="54"/>
      <c r="B573" s="36"/>
      <c r="C573" s="36"/>
      <c r="D573" s="50"/>
      <c r="E573" s="54"/>
      <c r="F573" s="54"/>
      <c r="G573" s="54"/>
      <c r="H573" s="54"/>
    </row>
    <row r="574">
      <c r="A574" s="54"/>
      <c r="B574" s="36"/>
      <c r="C574" s="36"/>
      <c r="D574" s="50"/>
      <c r="E574" s="54"/>
      <c r="F574" s="54"/>
      <c r="G574" s="54"/>
      <c r="H574" s="54"/>
    </row>
    <row r="575">
      <c r="A575" s="54"/>
      <c r="B575" s="36"/>
      <c r="C575" s="36"/>
      <c r="D575" s="50"/>
      <c r="E575" s="54"/>
      <c r="F575" s="54"/>
      <c r="G575" s="54"/>
      <c r="H575" s="54"/>
    </row>
    <row r="576">
      <c r="A576" s="54"/>
      <c r="B576" s="36"/>
      <c r="C576" s="36"/>
      <c r="D576" s="50"/>
      <c r="E576" s="54"/>
      <c r="F576" s="54"/>
      <c r="G576" s="54"/>
      <c r="H576" s="54"/>
    </row>
    <row r="577">
      <c r="A577" s="54"/>
      <c r="B577" s="36"/>
      <c r="C577" s="36"/>
      <c r="D577" s="50"/>
      <c r="E577" s="54"/>
      <c r="F577" s="54"/>
      <c r="G577" s="54"/>
      <c r="H577" s="54"/>
    </row>
    <row r="578">
      <c r="A578" s="54"/>
      <c r="B578" s="36"/>
      <c r="C578" s="36"/>
      <c r="D578" s="50"/>
      <c r="E578" s="54"/>
      <c r="F578" s="54"/>
      <c r="G578" s="54"/>
      <c r="H578" s="54"/>
    </row>
    <row r="579">
      <c r="A579" s="54"/>
      <c r="B579" s="36"/>
      <c r="C579" s="36"/>
      <c r="D579" s="50"/>
      <c r="E579" s="54"/>
      <c r="F579" s="54"/>
      <c r="G579" s="54"/>
      <c r="H579" s="54"/>
    </row>
    <row r="580">
      <c r="A580" s="54"/>
      <c r="B580" s="36"/>
      <c r="C580" s="36"/>
      <c r="D580" s="50"/>
      <c r="E580" s="54"/>
      <c r="F580" s="54"/>
      <c r="G580" s="54"/>
      <c r="H580" s="54"/>
    </row>
    <row r="581">
      <c r="A581" s="54"/>
      <c r="B581" s="36"/>
      <c r="C581" s="36"/>
      <c r="D581" s="50"/>
      <c r="E581" s="54"/>
      <c r="F581" s="54"/>
      <c r="G581" s="54"/>
      <c r="H581" s="54"/>
    </row>
    <row r="582">
      <c r="A582" s="54"/>
      <c r="B582" s="36"/>
      <c r="C582" s="36"/>
      <c r="D582" s="50"/>
      <c r="E582" s="54"/>
      <c r="F582" s="54"/>
      <c r="G582" s="54"/>
      <c r="H582" s="54"/>
    </row>
    <row r="583">
      <c r="A583" s="54"/>
      <c r="B583" s="36"/>
      <c r="C583" s="36"/>
      <c r="D583" s="50"/>
      <c r="E583" s="54"/>
      <c r="F583" s="54"/>
      <c r="G583" s="54"/>
      <c r="H583" s="54"/>
    </row>
    <row r="584">
      <c r="A584" s="54"/>
      <c r="B584" s="36"/>
      <c r="C584" s="36"/>
      <c r="D584" s="50"/>
      <c r="E584" s="54"/>
      <c r="F584" s="54"/>
      <c r="G584" s="54"/>
      <c r="H584" s="54"/>
    </row>
    <row r="585">
      <c r="A585" s="54"/>
      <c r="B585" s="36"/>
      <c r="C585" s="36"/>
      <c r="D585" s="50"/>
      <c r="E585" s="54"/>
      <c r="F585" s="54"/>
      <c r="G585" s="54"/>
      <c r="H585" s="54"/>
    </row>
    <row r="586">
      <c r="A586" s="54"/>
      <c r="B586" s="36"/>
      <c r="C586" s="36"/>
      <c r="D586" s="50"/>
      <c r="E586" s="54"/>
      <c r="F586" s="54"/>
      <c r="G586" s="54"/>
      <c r="H586" s="54"/>
    </row>
    <row r="587">
      <c r="A587" s="54"/>
      <c r="B587" s="36"/>
      <c r="C587" s="36"/>
      <c r="D587" s="50"/>
      <c r="E587" s="54"/>
      <c r="F587" s="54"/>
      <c r="G587" s="54"/>
      <c r="H587" s="54"/>
    </row>
    <row r="588">
      <c r="A588" s="54"/>
      <c r="B588" s="36"/>
      <c r="C588" s="36"/>
      <c r="D588" s="50"/>
      <c r="E588" s="54"/>
      <c r="F588" s="54"/>
      <c r="G588" s="54"/>
      <c r="H588" s="54"/>
    </row>
    <row r="589">
      <c r="A589" s="54"/>
      <c r="B589" s="36"/>
      <c r="C589" s="36"/>
      <c r="D589" s="50"/>
      <c r="E589" s="54"/>
      <c r="F589" s="54"/>
      <c r="G589" s="54"/>
      <c r="H589" s="54"/>
    </row>
    <row r="590">
      <c r="A590" s="54"/>
      <c r="B590" s="36"/>
      <c r="C590" s="36"/>
      <c r="D590" s="50"/>
      <c r="E590" s="54"/>
      <c r="F590" s="54"/>
      <c r="G590" s="54"/>
      <c r="H590" s="54"/>
    </row>
    <row r="591">
      <c r="A591" s="54"/>
      <c r="B591" s="36"/>
      <c r="C591" s="36"/>
      <c r="D591" s="50"/>
      <c r="E591" s="54"/>
      <c r="F591" s="54"/>
      <c r="G591" s="54"/>
      <c r="H591" s="54"/>
    </row>
    <row r="592">
      <c r="A592" s="54"/>
      <c r="B592" s="36"/>
      <c r="C592" s="36"/>
      <c r="D592" s="50"/>
      <c r="E592" s="54"/>
      <c r="F592" s="54"/>
      <c r="G592" s="54"/>
      <c r="H592" s="54"/>
    </row>
    <row r="593">
      <c r="A593" s="54"/>
      <c r="B593" s="36"/>
      <c r="C593" s="36"/>
      <c r="D593" s="50"/>
      <c r="E593" s="54"/>
      <c r="F593" s="54"/>
      <c r="G593" s="54"/>
      <c r="H593" s="54"/>
    </row>
    <row r="594">
      <c r="A594" s="54"/>
      <c r="B594" s="36"/>
      <c r="C594" s="36"/>
      <c r="D594" s="50"/>
      <c r="E594" s="54"/>
      <c r="F594" s="54"/>
      <c r="G594" s="54"/>
      <c r="H594" s="54"/>
    </row>
    <row r="595">
      <c r="A595" s="54"/>
      <c r="B595" s="36"/>
      <c r="C595" s="36"/>
      <c r="D595" s="50"/>
      <c r="E595" s="54"/>
      <c r="F595" s="54"/>
      <c r="G595" s="54"/>
      <c r="H595" s="54"/>
    </row>
    <row r="596">
      <c r="A596" s="54"/>
      <c r="B596" s="36"/>
      <c r="C596" s="36"/>
      <c r="D596" s="50"/>
      <c r="E596" s="54"/>
      <c r="F596" s="54"/>
      <c r="G596" s="54"/>
      <c r="H596" s="54"/>
    </row>
    <row r="597">
      <c r="A597" s="54"/>
      <c r="B597" s="36"/>
      <c r="C597" s="36"/>
      <c r="D597" s="50"/>
      <c r="E597" s="54"/>
      <c r="F597" s="54"/>
      <c r="G597" s="54"/>
      <c r="H597" s="54"/>
    </row>
    <row r="598">
      <c r="A598" s="54"/>
      <c r="B598" s="36"/>
      <c r="C598" s="36"/>
      <c r="D598" s="50"/>
      <c r="E598" s="54"/>
      <c r="F598" s="54"/>
      <c r="G598" s="54"/>
      <c r="H598" s="54"/>
    </row>
    <row r="599">
      <c r="A599" s="54"/>
      <c r="B599" s="36"/>
      <c r="C599" s="36"/>
      <c r="D599" s="50"/>
      <c r="E599" s="54"/>
      <c r="F599" s="54"/>
      <c r="G599" s="54"/>
      <c r="H599" s="54"/>
    </row>
    <row r="600">
      <c r="A600" s="54"/>
      <c r="B600" s="36"/>
      <c r="C600" s="36"/>
      <c r="D600" s="50"/>
      <c r="E600" s="54"/>
      <c r="F600" s="54"/>
      <c r="G600" s="54"/>
      <c r="H600" s="54"/>
    </row>
    <row r="601">
      <c r="A601" s="54"/>
      <c r="B601" s="36"/>
      <c r="C601" s="36"/>
      <c r="D601" s="50"/>
      <c r="E601" s="54"/>
      <c r="F601" s="54"/>
      <c r="G601" s="54"/>
      <c r="H601" s="54"/>
    </row>
    <row r="602">
      <c r="A602" s="54"/>
      <c r="B602" s="36"/>
      <c r="C602" s="36"/>
      <c r="D602" s="50"/>
      <c r="E602" s="54"/>
      <c r="F602" s="54"/>
      <c r="G602" s="54"/>
      <c r="H602" s="54"/>
    </row>
    <row r="603">
      <c r="A603" s="54"/>
      <c r="B603" s="36"/>
      <c r="C603" s="36"/>
      <c r="D603" s="50"/>
      <c r="E603" s="54"/>
      <c r="F603" s="54"/>
      <c r="G603" s="54"/>
      <c r="H603" s="54"/>
    </row>
    <row r="604">
      <c r="A604" s="54"/>
      <c r="B604" s="36"/>
      <c r="C604" s="36"/>
      <c r="D604" s="50"/>
      <c r="E604" s="54"/>
      <c r="F604" s="54"/>
      <c r="G604" s="54"/>
      <c r="H604" s="54"/>
    </row>
    <row r="605">
      <c r="A605" s="54"/>
      <c r="B605" s="36"/>
      <c r="C605" s="36"/>
      <c r="D605" s="50"/>
      <c r="E605" s="54"/>
      <c r="F605" s="54"/>
      <c r="G605" s="54"/>
      <c r="H605" s="54"/>
    </row>
    <row r="606">
      <c r="A606" s="54"/>
      <c r="B606" s="36"/>
      <c r="C606" s="36"/>
      <c r="D606" s="50"/>
      <c r="E606" s="54"/>
      <c r="F606" s="54"/>
      <c r="G606" s="54"/>
      <c r="H606" s="54"/>
    </row>
    <row r="607">
      <c r="A607" s="54"/>
      <c r="B607" s="36"/>
      <c r="C607" s="36"/>
      <c r="D607" s="50"/>
      <c r="E607" s="54"/>
      <c r="F607" s="54"/>
      <c r="G607" s="54"/>
      <c r="H607" s="54"/>
    </row>
    <row r="608">
      <c r="A608" s="54"/>
      <c r="B608" s="36"/>
      <c r="C608" s="36"/>
      <c r="D608" s="50"/>
      <c r="E608" s="54"/>
      <c r="F608" s="54"/>
      <c r="G608" s="54"/>
      <c r="H608" s="54"/>
    </row>
    <row r="609">
      <c r="A609" s="54"/>
      <c r="B609" s="36"/>
      <c r="C609" s="36"/>
      <c r="D609" s="50"/>
      <c r="E609" s="54"/>
      <c r="F609" s="54"/>
      <c r="G609" s="54"/>
      <c r="H609" s="54"/>
    </row>
    <row r="610">
      <c r="A610" s="54"/>
      <c r="B610" s="36"/>
      <c r="C610" s="36"/>
      <c r="D610" s="50"/>
      <c r="E610" s="54"/>
      <c r="F610" s="54"/>
      <c r="G610" s="54"/>
      <c r="H610" s="54"/>
    </row>
    <row r="611">
      <c r="A611" s="54"/>
      <c r="B611" s="36"/>
      <c r="C611" s="36"/>
      <c r="D611" s="50"/>
      <c r="E611" s="54"/>
      <c r="F611" s="54"/>
      <c r="G611" s="54"/>
      <c r="H611" s="54"/>
    </row>
    <row r="612">
      <c r="A612" s="54"/>
      <c r="B612" s="36"/>
      <c r="C612" s="36"/>
      <c r="D612" s="50"/>
      <c r="E612" s="54"/>
      <c r="F612" s="54"/>
      <c r="G612" s="54"/>
      <c r="H612" s="54"/>
    </row>
    <row r="613">
      <c r="A613" s="54"/>
      <c r="B613" s="36"/>
      <c r="C613" s="36"/>
      <c r="D613" s="50"/>
      <c r="E613" s="54"/>
      <c r="F613" s="54"/>
      <c r="G613" s="54"/>
      <c r="H613" s="54"/>
    </row>
    <row r="614">
      <c r="A614" s="54"/>
      <c r="B614" s="36"/>
      <c r="C614" s="36"/>
      <c r="D614" s="50"/>
      <c r="E614" s="54"/>
      <c r="F614" s="54"/>
      <c r="G614" s="54"/>
      <c r="H614" s="54"/>
    </row>
    <row r="615">
      <c r="A615" s="54"/>
      <c r="B615" s="36"/>
      <c r="C615" s="36"/>
      <c r="D615" s="50"/>
      <c r="E615" s="54"/>
      <c r="F615" s="54"/>
      <c r="G615" s="54"/>
      <c r="H615" s="54"/>
    </row>
    <row r="616">
      <c r="A616" s="54"/>
      <c r="B616" s="36"/>
      <c r="C616" s="36"/>
      <c r="D616" s="50"/>
      <c r="E616" s="54"/>
      <c r="F616" s="54"/>
      <c r="G616" s="54"/>
      <c r="H616" s="54"/>
    </row>
    <row r="617">
      <c r="A617" s="54"/>
      <c r="B617" s="36"/>
      <c r="C617" s="36"/>
      <c r="D617" s="50"/>
      <c r="E617" s="54"/>
      <c r="F617" s="54"/>
      <c r="G617" s="54"/>
      <c r="H617" s="54"/>
    </row>
    <row r="618">
      <c r="A618" s="54"/>
      <c r="B618" s="36"/>
      <c r="C618" s="36"/>
      <c r="D618" s="50"/>
      <c r="E618" s="54"/>
      <c r="F618" s="54"/>
      <c r="G618" s="54"/>
      <c r="H618" s="54"/>
    </row>
    <row r="619">
      <c r="A619" s="54"/>
      <c r="B619" s="36"/>
      <c r="C619" s="36"/>
      <c r="D619" s="50"/>
      <c r="E619" s="54"/>
      <c r="F619" s="54"/>
      <c r="G619" s="54"/>
      <c r="H619" s="54"/>
    </row>
    <row r="620">
      <c r="A620" s="54"/>
      <c r="B620" s="36"/>
      <c r="C620" s="36"/>
      <c r="D620" s="50"/>
      <c r="E620" s="54"/>
      <c r="F620" s="54"/>
      <c r="G620" s="54"/>
      <c r="H620" s="54"/>
    </row>
    <row r="621">
      <c r="A621" s="54"/>
      <c r="B621" s="36"/>
      <c r="C621" s="36"/>
      <c r="D621" s="50"/>
      <c r="E621" s="54"/>
      <c r="F621" s="54"/>
      <c r="G621" s="54"/>
      <c r="H621" s="54"/>
    </row>
    <row r="622">
      <c r="A622" s="54"/>
      <c r="B622" s="36"/>
      <c r="C622" s="36"/>
      <c r="D622" s="50"/>
      <c r="E622" s="54"/>
      <c r="F622" s="54"/>
      <c r="G622" s="54"/>
      <c r="H622" s="54"/>
    </row>
    <row r="623">
      <c r="A623" s="54"/>
      <c r="B623" s="36"/>
      <c r="C623" s="36"/>
      <c r="D623" s="50"/>
      <c r="E623" s="54"/>
      <c r="F623" s="54"/>
      <c r="G623" s="54"/>
      <c r="H623" s="54"/>
    </row>
    <row r="624">
      <c r="A624" s="54"/>
      <c r="B624" s="36"/>
      <c r="C624" s="36"/>
      <c r="D624" s="50"/>
      <c r="E624" s="54"/>
      <c r="F624" s="54"/>
      <c r="G624" s="54"/>
      <c r="H624" s="54"/>
    </row>
    <row r="625">
      <c r="A625" s="54"/>
      <c r="B625" s="36"/>
      <c r="C625" s="36"/>
      <c r="D625" s="50"/>
      <c r="E625" s="54"/>
      <c r="F625" s="54"/>
      <c r="G625" s="54"/>
      <c r="H625" s="54"/>
    </row>
    <row r="626">
      <c r="A626" s="54"/>
      <c r="B626" s="36"/>
      <c r="C626" s="36"/>
      <c r="D626" s="50"/>
      <c r="E626" s="54"/>
      <c r="F626" s="54"/>
      <c r="G626" s="54"/>
      <c r="H626" s="54"/>
    </row>
    <row r="627">
      <c r="A627" s="54"/>
      <c r="B627" s="36"/>
      <c r="C627" s="36"/>
      <c r="D627" s="50"/>
      <c r="E627" s="54"/>
      <c r="F627" s="54"/>
      <c r="G627" s="54"/>
      <c r="H627" s="54"/>
    </row>
    <row r="628">
      <c r="A628" s="54"/>
      <c r="B628" s="36"/>
      <c r="C628" s="36"/>
      <c r="D628" s="50"/>
      <c r="E628" s="54"/>
      <c r="F628" s="54"/>
      <c r="G628" s="54"/>
      <c r="H628" s="54"/>
    </row>
    <row r="629">
      <c r="A629" s="54"/>
      <c r="B629" s="36"/>
      <c r="C629" s="36"/>
      <c r="D629" s="50"/>
      <c r="E629" s="54"/>
      <c r="F629" s="54"/>
      <c r="G629" s="54"/>
      <c r="H629" s="54"/>
    </row>
    <row r="630">
      <c r="A630" s="54"/>
      <c r="B630" s="36"/>
      <c r="C630" s="36"/>
      <c r="D630" s="50"/>
      <c r="E630" s="54"/>
      <c r="F630" s="54"/>
      <c r="G630" s="54"/>
      <c r="H630" s="54"/>
    </row>
    <row r="631">
      <c r="A631" s="54"/>
      <c r="B631" s="36"/>
      <c r="C631" s="36"/>
      <c r="D631" s="50"/>
      <c r="E631" s="54"/>
      <c r="F631" s="54"/>
      <c r="G631" s="54"/>
      <c r="H631" s="54"/>
    </row>
    <row r="632">
      <c r="A632" s="54"/>
      <c r="B632" s="36"/>
      <c r="C632" s="36"/>
      <c r="D632" s="50"/>
      <c r="E632" s="54"/>
      <c r="F632" s="54"/>
      <c r="G632" s="54"/>
      <c r="H632" s="54"/>
    </row>
    <row r="633">
      <c r="A633" s="54"/>
      <c r="B633" s="36"/>
      <c r="C633" s="36"/>
      <c r="D633" s="50"/>
      <c r="E633" s="54"/>
      <c r="F633" s="54"/>
      <c r="G633" s="54"/>
      <c r="H633" s="54"/>
    </row>
    <row r="634">
      <c r="A634" s="54"/>
      <c r="B634" s="36"/>
      <c r="C634" s="36"/>
      <c r="D634" s="50"/>
      <c r="E634" s="54"/>
      <c r="F634" s="54"/>
      <c r="G634" s="54"/>
      <c r="H634" s="54"/>
    </row>
    <row r="635">
      <c r="A635" s="54"/>
      <c r="B635" s="36"/>
      <c r="C635" s="36"/>
      <c r="D635" s="50"/>
      <c r="E635" s="54"/>
      <c r="F635" s="54"/>
      <c r="G635" s="54"/>
      <c r="H635" s="54"/>
    </row>
    <row r="636">
      <c r="A636" s="54"/>
      <c r="B636" s="36"/>
      <c r="C636" s="36"/>
      <c r="D636" s="50"/>
      <c r="E636" s="54"/>
      <c r="F636" s="54"/>
      <c r="G636" s="54"/>
      <c r="H636" s="54"/>
    </row>
    <row r="637">
      <c r="A637" s="54"/>
      <c r="B637" s="36"/>
      <c r="C637" s="36"/>
      <c r="D637" s="50"/>
      <c r="E637" s="54"/>
      <c r="F637" s="54"/>
      <c r="G637" s="54"/>
      <c r="H637" s="54"/>
    </row>
    <row r="638">
      <c r="A638" s="54"/>
      <c r="B638" s="36"/>
      <c r="C638" s="36"/>
      <c r="D638" s="50"/>
      <c r="E638" s="54"/>
      <c r="F638" s="54"/>
      <c r="G638" s="54"/>
      <c r="H638" s="54"/>
    </row>
    <row r="639">
      <c r="A639" s="54"/>
      <c r="B639" s="36"/>
      <c r="C639" s="36"/>
      <c r="D639" s="50"/>
      <c r="E639" s="54"/>
      <c r="F639" s="54"/>
      <c r="G639" s="54"/>
      <c r="H639" s="54"/>
    </row>
    <row r="640">
      <c r="A640" s="54"/>
      <c r="B640" s="36"/>
      <c r="C640" s="36"/>
      <c r="D640" s="50"/>
      <c r="E640" s="54"/>
      <c r="F640" s="54"/>
      <c r="G640" s="54"/>
      <c r="H640" s="54"/>
    </row>
    <row r="641">
      <c r="A641" s="54"/>
      <c r="B641" s="36"/>
      <c r="C641" s="36"/>
      <c r="D641" s="50"/>
      <c r="E641" s="54"/>
      <c r="F641" s="54"/>
      <c r="G641" s="54"/>
      <c r="H641" s="54"/>
    </row>
    <row r="642">
      <c r="A642" s="54"/>
      <c r="B642" s="36"/>
      <c r="C642" s="36"/>
      <c r="D642" s="50"/>
      <c r="E642" s="54"/>
      <c r="F642" s="54"/>
      <c r="G642" s="54"/>
      <c r="H642" s="54"/>
    </row>
    <row r="643">
      <c r="A643" s="54"/>
      <c r="B643" s="36"/>
      <c r="C643" s="36"/>
      <c r="D643" s="50"/>
      <c r="E643" s="54"/>
      <c r="F643" s="54"/>
      <c r="G643" s="54"/>
      <c r="H643" s="54"/>
    </row>
    <row r="644">
      <c r="A644" s="54"/>
      <c r="B644" s="36"/>
      <c r="C644" s="36"/>
      <c r="D644" s="50"/>
      <c r="E644" s="54"/>
      <c r="F644" s="54"/>
      <c r="G644" s="54"/>
      <c r="H644" s="54"/>
    </row>
    <row r="645">
      <c r="A645" s="54"/>
      <c r="B645" s="36"/>
      <c r="C645" s="36"/>
      <c r="D645" s="50"/>
      <c r="E645" s="54"/>
      <c r="F645" s="54"/>
      <c r="G645" s="54"/>
      <c r="H645" s="54"/>
    </row>
    <row r="646">
      <c r="A646" s="54"/>
      <c r="B646" s="36"/>
      <c r="C646" s="36"/>
      <c r="D646" s="50"/>
      <c r="E646" s="54"/>
      <c r="F646" s="54"/>
      <c r="G646" s="54"/>
      <c r="H646" s="54"/>
    </row>
    <row r="647">
      <c r="A647" s="54"/>
      <c r="B647" s="36"/>
      <c r="C647" s="36"/>
      <c r="D647" s="50"/>
      <c r="E647" s="54"/>
      <c r="F647" s="54"/>
      <c r="G647" s="54"/>
      <c r="H647" s="54"/>
    </row>
    <row r="648">
      <c r="A648" s="54"/>
      <c r="B648" s="36"/>
      <c r="C648" s="36"/>
      <c r="D648" s="50"/>
      <c r="E648" s="54"/>
      <c r="F648" s="54"/>
      <c r="G648" s="54"/>
      <c r="H648" s="54"/>
    </row>
    <row r="649">
      <c r="A649" s="54"/>
      <c r="B649" s="36"/>
      <c r="C649" s="36"/>
      <c r="D649" s="50"/>
      <c r="E649" s="54"/>
      <c r="F649" s="54"/>
      <c r="G649" s="54"/>
      <c r="H649" s="54"/>
    </row>
    <row r="650">
      <c r="A650" s="54"/>
      <c r="B650" s="36"/>
      <c r="C650" s="36"/>
      <c r="D650" s="50"/>
      <c r="E650" s="54"/>
      <c r="F650" s="54"/>
      <c r="G650" s="54"/>
      <c r="H650" s="54"/>
    </row>
    <row r="651">
      <c r="A651" s="54"/>
      <c r="B651" s="36"/>
      <c r="C651" s="36"/>
      <c r="D651" s="50"/>
      <c r="E651" s="54"/>
      <c r="F651" s="54"/>
      <c r="G651" s="54"/>
      <c r="H651" s="54"/>
    </row>
    <row r="652">
      <c r="A652" s="54"/>
      <c r="B652" s="36"/>
      <c r="C652" s="36"/>
      <c r="D652" s="50"/>
      <c r="E652" s="54"/>
      <c r="F652" s="54"/>
      <c r="G652" s="54"/>
      <c r="H652" s="54"/>
    </row>
    <row r="653">
      <c r="A653" s="54"/>
      <c r="B653" s="36"/>
      <c r="C653" s="36"/>
      <c r="D653" s="50"/>
      <c r="E653" s="54"/>
      <c r="F653" s="54"/>
      <c r="G653" s="54"/>
      <c r="H653" s="54"/>
    </row>
    <row r="654">
      <c r="A654" s="54"/>
      <c r="B654" s="36"/>
      <c r="C654" s="36"/>
      <c r="D654" s="50"/>
      <c r="E654" s="54"/>
      <c r="F654" s="54"/>
      <c r="G654" s="54"/>
      <c r="H654" s="54"/>
    </row>
    <row r="655">
      <c r="A655" s="54"/>
      <c r="B655" s="36"/>
      <c r="C655" s="36"/>
      <c r="D655" s="50"/>
      <c r="E655" s="54"/>
      <c r="F655" s="54"/>
      <c r="G655" s="54"/>
      <c r="H655" s="54"/>
    </row>
    <row r="656">
      <c r="A656" s="54"/>
      <c r="B656" s="36"/>
      <c r="C656" s="36"/>
      <c r="D656" s="50"/>
      <c r="E656" s="54"/>
      <c r="F656" s="54"/>
      <c r="G656" s="54"/>
      <c r="H656" s="54"/>
    </row>
    <row r="657">
      <c r="A657" s="54"/>
      <c r="B657" s="36"/>
      <c r="C657" s="36"/>
      <c r="D657" s="50"/>
      <c r="E657" s="54"/>
      <c r="F657" s="54"/>
      <c r="G657" s="54"/>
      <c r="H657" s="54"/>
    </row>
    <row r="658">
      <c r="A658" s="54"/>
      <c r="B658" s="36"/>
      <c r="C658" s="36"/>
      <c r="D658" s="50"/>
      <c r="E658" s="54"/>
      <c r="F658" s="54"/>
      <c r="G658" s="54"/>
      <c r="H658" s="54"/>
    </row>
    <row r="659">
      <c r="A659" s="54"/>
      <c r="B659" s="36"/>
      <c r="C659" s="36"/>
      <c r="D659" s="50"/>
      <c r="E659" s="54"/>
      <c r="F659" s="54"/>
      <c r="G659" s="54"/>
      <c r="H659" s="54"/>
    </row>
    <row r="660">
      <c r="A660" s="54"/>
      <c r="B660" s="36"/>
      <c r="C660" s="36"/>
      <c r="D660" s="50"/>
      <c r="E660" s="54"/>
      <c r="F660" s="54"/>
      <c r="G660" s="54"/>
      <c r="H660" s="54"/>
    </row>
    <row r="661">
      <c r="A661" s="54"/>
      <c r="B661" s="36"/>
      <c r="C661" s="36"/>
      <c r="D661" s="50"/>
      <c r="E661" s="54"/>
      <c r="F661" s="54"/>
      <c r="G661" s="54"/>
      <c r="H661" s="54"/>
    </row>
    <row r="662">
      <c r="A662" s="54"/>
      <c r="B662" s="36"/>
      <c r="C662" s="36"/>
      <c r="D662" s="50"/>
      <c r="E662" s="54"/>
      <c r="F662" s="54"/>
      <c r="G662" s="54"/>
      <c r="H662" s="54"/>
    </row>
    <row r="663">
      <c r="A663" s="54"/>
      <c r="B663" s="36"/>
      <c r="C663" s="36"/>
      <c r="D663" s="50"/>
      <c r="E663" s="54"/>
      <c r="F663" s="54"/>
      <c r="G663" s="54"/>
      <c r="H663" s="54"/>
    </row>
    <row r="664">
      <c r="A664" s="54"/>
      <c r="B664" s="36"/>
      <c r="C664" s="36"/>
      <c r="D664" s="50"/>
      <c r="E664" s="54"/>
      <c r="F664" s="54"/>
      <c r="G664" s="54"/>
      <c r="H664" s="54"/>
    </row>
    <row r="665">
      <c r="A665" s="54"/>
      <c r="B665" s="36"/>
      <c r="C665" s="36"/>
      <c r="D665" s="50"/>
      <c r="E665" s="54"/>
      <c r="F665" s="54"/>
      <c r="G665" s="54"/>
      <c r="H665" s="54"/>
    </row>
    <row r="666">
      <c r="A666" s="54"/>
      <c r="B666" s="36"/>
      <c r="C666" s="36"/>
      <c r="D666" s="50"/>
      <c r="E666" s="54"/>
      <c r="F666" s="54"/>
      <c r="G666" s="54"/>
      <c r="H666" s="54"/>
    </row>
    <row r="667">
      <c r="A667" s="54"/>
      <c r="B667" s="36"/>
      <c r="C667" s="36"/>
      <c r="D667" s="50"/>
      <c r="E667" s="54"/>
      <c r="F667" s="54"/>
      <c r="G667" s="54"/>
      <c r="H667" s="54"/>
    </row>
    <row r="668">
      <c r="A668" s="54"/>
      <c r="B668" s="36"/>
      <c r="C668" s="36"/>
      <c r="D668" s="50"/>
      <c r="E668" s="54"/>
      <c r="F668" s="54"/>
      <c r="G668" s="54"/>
      <c r="H668" s="54"/>
    </row>
    <row r="669">
      <c r="A669" s="54"/>
      <c r="B669" s="36"/>
      <c r="C669" s="36"/>
      <c r="D669" s="50"/>
      <c r="E669" s="54"/>
      <c r="F669" s="54"/>
      <c r="G669" s="54"/>
      <c r="H669" s="54"/>
    </row>
    <row r="670">
      <c r="A670" s="54"/>
      <c r="B670" s="36"/>
      <c r="C670" s="36"/>
      <c r="D670" s="50"/>
      <c r="E670" s="54"/>
      <c r="F670" s="54"/>
      <c r="G670" s="54"/>
      <c r="H670" s="54"/>
    </row>
    <row r="671">
      <c r="A671" s="54"/>
      <c r="B671" s="36"/>
      <c r="C671" s="36"/>
      <c r="D671" s="50"/>
      <c r="E671" s="54"/>
      <c r="F671" s="54"/>
      <c r="G671" s="54"/>
      <c r="H671" s="54"/>
    </row>
    <row r="672">
      <c r="A672" s="54"/>
      <c r="B672" s="36"/>
      <c r="C672" s="36"/>
      <c r="D672" s="50"/>
      <c r="E672" s="54"/>
      <c r="F672" s="54"/>
      <c r="G672" s="54"/>
      <c r="H672" s="54"/>
    </row>
    <row r="673">
      <c r="A673" s="54"/>
      <c r="B673" s="36"/>
      <c r="C673" s="36"/>
      <c r="D673" s="50"/>
      <c r="E673" s="54"/>
      <c r="F673" s="54"/>
      <c r="G673" s="54"/>
      <c r="H673" s="54"/>
    </row>
    <row r="674">
      <c r="A674" s="54"/>
      <c r="B674" s="36"/>
      <c r="C674" s="36"/>
      <c r="D674" s="50"/>
      <c r="E674" s="54"/>
      <c r="F674" s="54"/>
      <c r="G674" s="54"/>
      <c r="H674" s="54"/>
    </row>
    <row r="675">
      <c r="A675" s="54"/>
      <c r="B675" s="36"/>
      <c r="C675" s="36"/>
      <c r="D675" s="50"/>
      <c r="E675" s="54"/>
      <c r="F675" s="54"/>
      <c r="G675" s="54"/>
      <c r="H675" s="54"/>
    </row>
    <row r="676">
      <c r="A676" s="54"/>
      <c r="B676" s="36"/>
      <c r="C676" s="36"/>
      <c r="D676" s="50"/>
      <c r="E676" s="54"/>
      <c r="F676" s="54"/>
      <c r="G676" s="54"/>
      <c r="H676" s="54"/>
    </row>
    <row r="677">
      <c r="A677" s="54"/>
      <c r="B677" s="36"/>
      <c r="C677" s="36"/>
      <c r="D677" s="50"/>
      <c r="E677" s="54"/>
      <c r="F677" s="54"/>
      <c r="G677" s="54"/>
      <c r="H677" s="54"/>
    </row>
    <row r="678">
      <c r="A678" s="54"/>
      <c r="B678" s="36"/>
      <c r="C678" s="36"/>
      <c r="D678" s="50"/>
      <c r="E678" s="54"/>
      <c r="F678" s="54"/>
      <c r="G678" s="54"/>
      <c r="H678" s="54"/>
    </row>
    <row r="679">
      <c r="A679" s="54"/>
      <c r="B679" s="36"/>
      <c r="C679" s="36"/>
      <c r="D679" s="50"/>
      <c r="E679" s="54"/>
      <c r="F679" s="54"/>
      <c r="G679" s="54"/>
      <c r="H679" s="54"/>
    </row>
    <row r="680">
      <c r="A680" s="54"/>
      <c r="B680" s="36"/>
      <c r="C680" s="36"/>
      <c r="D680" s="50"/>
      <c r="E680" s="54"/>
      <c r="F680" s="54"/>
      <c r="G680" s="54"/>
      <c r="H680" s="54"/>
    </row>
    <row r="681">
      <c r="A681" s="54"/>
      <c r="B681" s="36"/>
      <c r="C681" s="36"/>
      <c r="D681" s="50"/>
      <c r="E681" s="54"/>
      <c r="F681" s="54"/>
      <c r="G681" s="54"/>
      <c r="H681" s="54"/>
    </row>
    <row r="682">
      <c r="A682" s="54"/>
      <c r="B682" s="36"/>
      <c r="C682" s="36"/>
      <c r="D682" s="50"/>
      <c r="E682" s="54"/>
      <c r="F682" s="54"/>
      <c r="G682" s="54"/>
      <c r="H682" s="54"/>
    </row>
    <row r="683">
      <c r="A683" s="54"/>
      <c r="B683" s="36"/>
      <c r="C683" s="36"/>
      <c r="D683" s="50"/>
      <c r="E683" s="54"/>
      <c r="F683" s="54"/>
      <c r="G683" s="54"/>
      <c r="H683" s="54"/>
    </row>
    <row r="684">
      <c r="A684" s="54"/>
      <c r="B684" s="36"/>
      <c r="C684" s="36"/>
      <c r="D684" s="50"/>
      <c r="E684" s="54"/>
      <c r="F684" s="54"/>
      <c r="G684" s="54"/>
      <c r="H684" s="54"/>
    </row>
    <row r="685">
      <c r="A685" s="54"/>
      <c r="B685" s="36"/>
      <c r="C685" s="36"/>
      <c r="D685" s="50"/>
      <c r="E685" s="54"/>
      <c r="F685" s="54"/>
      <c r="G685" s="54"/>
      <c r="H685" s="54"/>
    </row>
    <row r="686">
      <c r="A686" s="54"/>
      <c r="B686" s="36"/>
      <c r="C686" s="36"/>
      <c r="D686" s="50"/>
      <c r="E686" s="54"/>
      <c r="F686" s="54"/>
      <c r="G686" s="54"/>
      <c r="H686" s="54"/>
    </row>
    <row r="687">
      <c r="A687" s="54"/>
      <c r="B687" s="36"/>
      <c r="C687" s="36"/>
      <c r="D687" s="50"/>
      <c r="E687" s="54"/>
      <c r="F687" s="54"/>
      <c r="G687" s="54"/>
      <c r="H687" s="54"/>
    </row>
    <row r="688">
      <c r="A688" s="54"/>
      <c r="B688" s="36"/>
      <c r="C688" s="36"/>
      <c r="D688" s="50"/>
      <c r="E688" s="54"/>
      <c r="F688" s="54"/>
      <c r="G688" s="54"/>
      <c r="H688" s="54"/>
    </row>
    <row r="689">
      <c r="A689" s="54"/>
      <c r="B689" s="36"/>
      <c r="C689" s="36"/>
      <c r="D689" s="50"/>
      <c r="E689" s="54"/>
      <c r="F689" s="54"/>
      <c r="G689" s="54"/>
      <c r="H689" s="54"/>
    </row>
    <row r="690">
      <c r="A690" s="54"/>
      <c r="B690" s="36"/>
      <c r="C690" s="36"/>
      <c r="D690" s="50"/>
      <c r="E690" s="54"/>
      <c r="F690" s="54"/>
      <c r="G690" s="54"/>
      <c r="H690" s="54"/>
    </row>
    <row r="691">
      <c r="A691" s="54"/>
      <c r="B691" s="36"/>
      <c r="C691" s="36"/>
      <c r="D691" s="50"/>
      <c r="E691" s="54"/>
      <c r="F691" s="54"/>
      <c r="G691" s="54"/>
      <c r="H691" s="54"/>
    </row>
    <row r="692">
      <c r="A692" s="54"/>
      <c r="B692" s="36"/>
      <c r="C692" s="36"/>
      <c r="D692" s="50"/>
      <c r="E692" s="54"/>
      <c r="F692" s="54"/>
      <c r="G692" s="54"/>
      <c r="H692" s="54"/>
    </row>
    <row r="693">
      <c r="A693" s="54"/>
      <c r="B693" s="36"/>
      <c r="C693" s="36"/>
      <c r="D693" s="50"/>
      <c r="E693" s="54"/>
      <c r="F693" s="54"/>
      <c r="G693" s="54"/>
      <c r="H693" s="54"/>
    </row>
    <row r="694">
      <c r="A694" s="54"/>
      <c r="B694" s="36"/>
      <c r="C694" s="36"/>
      <c r="D694" s="50"/>
      <c r="E694" s="54"/>
      <c r="F694" s="54"/>
      <c r="G694" s="54"/>
      <c r="H694" s="54"/>
    </row>
    <row r="695">
      <c r="A695" s="54"/>
      <c r="B695" s="36"/>
      <c r="C695" s="36"/>
      <c r="D695" s="50"/>
      <c r="E695" s="54"/>
      <c r="F695" s="54"/>
      <c r="G695" s="54"/>
      <c r="H695" s="54"/>
    </row>
    <row r="696">
      <c r="A696" s="54"/>
      <c r="B696" s="36"/>
      <c r="C696" s="36"/>
      <c r="D696" s="50"/>
      <c r="E696" s="54"/>
      <c r="F696" s="54"/>
      <c r="G696" s="54"/>
      <c r="H696" s="54"/>
    </row>
    <row r="697">
      <c r="A697" s="54"/>
      <c r="B697" s="36"/>
      <c r="C697" s="36"/>
      <c r="D697" s="50"/>
      <c r="E697" s="54"/>
      <c r="F697" s="54"/>
      <c r="G697" s="54"/>
      <c r="H697" s="54"/>
    </row>
    <row r="698">
      <c r="A698" s="54"/>
      <c r="B698" s="36"/>
      <c r="C698" s="36"/>
      <c r="D698" s="50"/>
      <c r="E698" s="54"/>
      <c r="F698" s="54"/>
      <c r="G698" s="54"/>
      <c r="H698" s="54"/>
    </row>
    <row r="699">
      <c r="A699" s="54"/>
      <c r="B699" s="36"/>
      <c r="C699" s="36"/>
      <c r="D699" s="50"/>
      <c r="E699" s="54"/>
      <c r="F699" s="54"/>
      <c r="G699" s="54"/>
      <c r="H699" s="54"/>
    </row>
    <row r="700">
      <c r="A700" s="54"/>
      <c r="B700" s="36"/>
      <c r="C700" s="36"/>
      <c r="D700" s="50"/>
      <c r="E700" s="54"/>
      <c r="F700" s="54"/>
      <c r="G700" s="54"/>
      <c r="H700" s="54"/>
    </row>
    <row r="701">
      <c r="A701" s="54"/>
      <c r="B701" s="36"/>
      <c r="C701" s="36"/>
      <c r="D701" s="50"/>
      <c r="E701" s="54"/>
      <c r="F701" s="54"/>
      <c r="G701" s="54"/>
      <c r="H701" s="54"/>
    </row>
    <row r="702">
      <c r="A702" s="54"/>
      <c r="B702" s="36"/>
      <c r="C702" s="36"/>
      <c r="D702" s="50"/>
      <c r="E702" s="54"/>
      <c r="F702" s="54"/>
      <c r="G702" s="54"/>
      <c r="H702" s="54"/>
    </row>
    <row r="703">
      <c r="A703" s="54"/>
      <c r="B703" s="36"/>
      <c r="C703" s="36"/>
      <c r="D703" s="50"/>
      <c r="E703" s="54"/>
      <c r="F703" s="54"/>
      <c r="G703" s="54"/>
      <c r="H703" s="54"/>
    </row>
    <row r="704">
      <c r="A704" s="54"/>
      <c r="B704" s="36"/>
      <c r="C704" s="36"/>
      <c r="D704" s="50"/>
      <c r="E704" s="54"/>
      <c r="F704" s="54"/>
      <c r="G704" s="54"/>
      <c r="H704" s="54"/>
    </row>
    <row r="705">
      <c r="A705" s="54"/>
      <c r="B705" s="36"/>
      <c r="C705" s="36"/>
      <c r="D705" s="50"/>
      <c r="E705" s="54"/>
      <c r="F705" s="54"/>
      <c r="G705" s="54"/>
      <c r="H705" s="54"/>
    </row>
    <row r="706">
      <c r="A706" s="54"/>
      <c r="B706" s="36"/>
      <c r="C706" s="36"/>
      <c r="D706" s="50"/>
      <c r="E706" s="54"/>
      <c r="F706" s="54"/>
      <c r="G706" s="54"/>
      <c r="H706" s="54"/>
    </row>
    <row r="707">
      <c r="A707" s="54"/>
      <c r="B707" s="36"/>
      <c r="C707" s="36"/>
      <c r="D707" s="50"/>
      <c r="E707" s="54"/>
      <c r="F707" s="54"/>
      <c r="G707" s="54"/>
      <c r="H707" s="54"/>
    </row>
    <row r="708">
      <c r="A708" s="54"/>
      <c r="B708" s="36"/>
      <c r="C708" s="36"/>
      <c r="D708" s="50"/>
      <c r="E708" s="54"/>
      <c r="F708" s="54"/>
      <c r="G708" s="54"/>
      <c r="H708" s="54"/>
    </row>
    <row r="709">
      <c r="A709" s="54"/>
      <c r="B709" s="36"/>
      <c r="C709" s="36"/>
      <c r="D709" s="50"/>
      <c r="E709" s="54"/>
      <c r="F709" s="54"/>
      <c r="G709" s="54"/>
      <c r="H709" s="54"/>
    </row>
    <row r="710">
      <c r="A710" s="54"/>
      <c r="B710" s="36"/>
      <c r="C710" s="36"/>
      <c r="D710" s="50"/>
      <c r="E710" s="54"/>
      <c r="F710" s="54"/>
      <c r="G710" s="54"/>
      <c r="H710" s="54"/>
    </row>
    <row r="711">
      <c r="A711" s="54"/>
      <c r="B711" s="36"/>
      <c r="C711" s="36"/>
      <c r="D711" s="50"/>
      <c r="E711" s="54"/>
      <c r="F711" s="54"/>
      <c r="G711" s="54"/>
      <c r="H711" s="54"/>
    </row>
    <row r="712">
      <c r="A712" s="54"/>
      <c r="B712" s="36"/>
      <c r="C712" s="36"/>
      <c r="D712" s="50"/>
      <c r="E712" s="54"/>
      <c r="F712" s="54"/>
      <c r="G712" s="54"/>
      <c r="H712" s="54"/>
    </row>
    <row r="713">
      <c r="A713" s="54"/>
      <c r="B713" s="36"/>
      <c r="C713" s="36"/>
      <c r="D713" s="50"/>
      <c r="E713" s="54"/>
      <c r="F713" s="54"/>
      <c r="G713" s="54"/>
      <c r="H713" s="54"/>
    </row>
    <row r="714">
      <c r="A714" s="54"/>
      <c r="B714" s="36"/>
      <c r="C714" s="36"/>
      <c r="D714" s="50"/>
      <c r="E714" s="54"/>
      <c r="F714" s="54"/>
      <c r="G714" s="54"/>
      <c r="H714" s="54"/>
    </row>
    <row r="715">
      <c r="A715" s="54"/>
      <c r="B715" s="36"/>
      <c r="C715" s="36"/>
      <c r="D715" s="50"/>
      <c r="E715" s="54"/>
      <c r="F715" s="54"/>
      <c r="G715" s="54"/>
      <c r="H715" s="54"/>
    </row>
    <row r="716">
      <c r="A716" s="54"/>
      <c r="B716" s="36"/>
      <c r="C716" s="36"/>
      <c r="D716" s="50"/>
      <c r="E716" s="54"/>
      <c r="F716" s="54"/>
      <c r="G716" s="54"/>
      <c r="H716" s="54"/>
    </row>
    <row r="717">
      <c r="A717" s="54"/>
      <c r="B717" s="36"/>
      <c r="C717" s="36"/>
      <c r="D717" s="50"/>
      <c r="E717" s="54"/>
      <c r="F717" s="54"/>
      <c r="G717" s="54"/>
      <c r="H717" s="54"/>
    </row>
    <row r="718">
      <c r="A718" s="54"/>
      <c r="B718" s="36"/>
      <c r="C718" s="36"/>
      <c r="D718" s="50"/>
      <c r="E718" s="54"/>
      <c r="F718" s="54"/>
      <c r="G718" s="54"/>
      <c r="H718" s="54"/>
    </row>
    <row r="719">
      <c r="A719" s="54"/>
      <c r="B719" s="36"/>
      <c r="C719" s="36"/>
      <c r="D719" s="50"/>
      <c r="E719" s="54"/>
      <c r="F719" s="54"/>
      <c r="G719" s="54"/>
      <c r="H719" s="54"/>
    </row>
    <row r="720">
      <c r="A720" s="54"/>
      <c r="B720" s="36"/>
      <c r="C720" s="36"/>
      <c r="D720" s="50"/>
      <c r="E720" s="54"/>
      <c r="F720" s="54"/>
      <c r="G720" s="54"/>
      <c r="H720" s="54"/>
    </row>
    <row r="721">
      <c r="A721" s="54"/>
      <c r="B721" s="36"/>
      <c r="C721" s="36"/>
      <c r="D721" s="50"/>
      <c r="E721" s="54"/>
      <c r="F721" s="54"/>
      <c r="G721" s="54"/>
      <c r="H721" s="54"/>
    </row>
    <row r="722">
      <c r="A722" s="54"/>
      <c r="B722" s="36"/>
      <c r="C722" s="36"/>
      <c r="D722" s="50"/>
      <c r="E722" s="54"/>
      <c r="F722" s="54"/>
      <c r="G722" s="54"/>
      <c r="H722" s="54"/>
    </row>
    <row r="723">
      <c r="A723" s="54"/>
      <c r="B723" s="36"/>
      <c r="C723" s="36"/>
      <c r="D723" s="50"/>
      <c r="E723" s="54"/>
      <c r="F723" s="54"/>
      <c r="G723" s="54"/>
      <c r="H723" s="54"/>
    </row>
    <row r="724">
      <c r="A724" s="54"/>
      <c r="B724" s="36"/>
      <c r="C724" s="36"/>
      <c r="D724" s="50"/>
      <c r="E724" s="54"/>
      <c r="F724" s="54"/>
      <c r="G724" s="54"/>
      <c r="H724" s="54"/>
    </row>
    <row r="725">
      <c r="A725" s="54"/>
      <c r="B725" s="36"/>
      <c r="C725" s="36"/>
      <c r="D725" s="50"/>
      <c r="E725" s="54"/>
      <c r="F725" s="54"/>
      <c r="G725" s="54"/>
      <c r="H725" s="54"/>
    </row>
    <row r="726">
      <c r="A726" s="54"/>
      <c r="B726" s="36"/>
      <c r="C726" s="36"/>
      <c r="D726" s="50"/>
      <c r="E726" s="54"/>
      <c r="F726" s="54"/>
      <c r="G726" s="54"/>
      <c r="H726" s="54"/>
    </row>
    <row r="727">
      <c r="A727" s="54"/>
      <c r="B727" s="36"/>
      <c r="C727" s="36"/>
      <c r="D727" s="50"/>
      <c r="E727" s="54"/>
      <c r="F727" s="54"/>
      <c r="G727" s="54"/>
      <c r="H727" s="54"/>
    </row>
    <row r="728">
      <c r="A728" s="54"/>
      <c r="B728" s="36"/>
      <c r="C728" s="36"/>
      <c r="D728" s="50"/>
      <c r="E728" s="54"/>
      <c r="F728" s="54"/>
      <c r="G728" s="54"/>
      <c r="H728" s="54"/>
    </row>
    <row r="729">
      <c r="A729" s="54"/>
      <c r="B729" s="36"/>
      <c r="C729" s="36"/>
      <c r="D729" s="50"/>
      <c r="E729" s="54"/>
      <c r="F729" s="54"/>
      <c r="G729" s="54"/>
      <c r="H729" s="54"/>
    </row>
    <row r="730">
      <c r="A730" s="54"/>
      <c r="B730" s="36"/>
      <c r="C730" s="36"/>
      <c r="D730" s="50"/>
      <c r="E730" s="54"/>
      <c r="F730" s="54"/>
      <c r="G730" s="54"/>
      <c r="H730" s="54"/>
    </row>
    <row r="731">
      <c r="A731" s="54"/>
      <c r="B731" s="36"/>
      <c r="C731" s="36"/>
      <c r="D731" s="50"/>
      <c r="E731" s="54"/>
      <c r="F731" s="54"/>
      <c r="G731" s="54"/>
      <c r="H731" s="54"/>
    </row>
    <row r="732">
      <c r="A732" s="54"/>
      <c r="B732" s="36"/>
      <c r="C732" s="36"/>
      <c r="D732" s="50"/>
      <c r="E732" s="54"/>
      <c r="F732" s="54"/>
      <c r="G732" s="54"/>
      <c r="H732" s="54"/>
    </row>
    <row r="733">
      <c r="A733" s="54"/>
      <c r="B733" s="36"/>
      <c r="C733" s="36"/>
      <c r="D733" s="50"/>
      <c r="E733" s="54"/>
      <c r="F733" s="54"/>
      <c r="G733" s="54"/>
      <c r="H733" s="54"/>
    </row>
    <row r="734">
      <c r="A734" s="54"/>
      <c r="B734" s="36"/>
      <c r="C734" s="36"/>
      <c r="D734" s="50"/>
      <c r="E734" s="54"/>
      <c r="F734" s="54"/>
      <c r="G734" s="54"/>
      <c r="H734" s="54"/>
    </row>
    <row r="735">
      <c r="A735" s="54"/>
      <c r="B735" s="36"/>
      <c r="C735" s="36"/>
      <c r="D735" s="50"/>
      <c r="E735" s="54"/>
      <c r="F735" s="54"/>
      <c r="G735" s="54"/>
      <c r="H735" s="54"/>
    </row>
    <row r="736">
      <c r="A736" s="54"/>
      <c r="B736" s="36"/>
      <c r="C736" s="36"/>
      <c r="D736" s="50"/>
      <c r="E736" s="54"/>
      <c r="F736" s="54"/>
      <c r="G736" s="54"/>
      <c r="H736" s="54"/>
    </row>
    <row r="737">
      <c r="A737" s="54"/>
      <c r="B737" s="36"/>
      <c r="C737" s="36"/>
      <c r="D737" s="50"/>
      <c r="E737" s="54"/>
      <c r="F737" s="54"/>
      <c r="G737" s="54"/>
      <c r="H737" s="54"/>
    </row>
    <row r="738">
      <c r="A738" s="54"/>
      <c r="B738" s="36"/>
      <c r="C738" s="36"/>
      <c r="D738" s="50"/>
      <c r="E738" s="54"/>
      <c r="F738" s="54"/>
      <c r="G738" s="54"/>
      <c r="H738" s="54"/>
    </row>
    <row r="739">
      <c r="A739" s="54"/>
      <c r="B739" s="36"/>
      <c r="C739" s="36"/>
      <c r="D739" s="50"/>
      <c r="E739" s="54"/>
      <c r="F739" s="54"/>
      <c r="G739" s="54"/>
      <c r="H739" s="54"/>
    </row>
    <row r="740">
      <c r="A740" s="54"/>
      <c r="B740" s="36"/>
      <c r="C740" s="36"/>
      <c r="D740" s="50"/>
      <c r="E740" s="54"/>
      <c r="F740" s="54"/>
      <c r="G740" s="54"/>
      <c r="H740" s="54"/>
    </row>
    <row r="741">
      <c r="A741" s="54"/>
      <c r="B741" s="36"/>
      <c r="C741" s="36"/>
      <c r="D741" s="50"/>
      <c r="E741" s="54"/>
      <c r="F741" s="54"/>
      <c r="G741" s="54"/>
      <c r="H741" s="54"/>
    </row>
    <row r="742">
      <c r="A742" s="54"/>
      <c r="B742" s="36"/>
      <c r="C742" s="36"/>
      <c r="D742" s="50"/>
      <c r="E742" s="54"/>
      <c r="F742" s="54"/>
      <c r="G742" s="54"/>
      <c r="H742" s="54"/>
    </row>
    <row r="743">
      <c r="A743" s="54"/>
      <c r="B743" s="36"/>
      <c r="C743" s="36"/>
      <c r="D743" s="50"/>
      <c r="E743" s="54"/>
      <c r="F743" s="54"/>
      <c r="G743" s="54"/>
      <c r="H743" s="54"/>
    </row>
    <row r="744">
      <c r="A744" s="54"/>
      <c r="B744" s="36"/>
      <c r="C744" s="36"/>
      <c r="D744" s="50"/>
      <c r="E744" s="54"/>
      <c r="F744" s="54"/>
      <c r="G744" s="54"/>
      <c r="H744" s="54"/>
    </row>
    <row r="745">
      <c r="A745" s="54"/>
      <c r="B745" s="36"/>
      <c r="C745" s="36"/>
      <c r="D745" s="50"/>
      <c r="E745" s="54"/>
      <c r="F745" s="54"/>
      <c r="G745" s="54"/>
      <c r="H745" s="54"/>
    </row>
    <row r="746">
      <c r="A746" s="54"/>
      <c r="B746" s="36"/>
      <c r="C746" s="36"/>
      <c r="D746" s="50"/>
      <c r="E746" s="54"/>
      <c r="F746" s="54"/>
      <c r="G746" s="54"/>
      <c r="H746" s="54"/>
    </row>
    <row r="747">
      <c r="A747" s="54"/>
      <c r="B747" s="36"/>
      <c r="C747" s="36"/>
      <c r="D747" s="50"/>
      <c r="E747" s="54"/>
      <c r="F747" s="54"/>
      <c r="G747" s="54"/>
      <c r="H747" s="54"/>
    </row>
    <row r="748">
      <c r="A748" s="54"/>
      <c r="B748" s="36"/>
      <c r="C748" s="36"/>
      <c r="D748" s="50"/>
      <c r="E748" s="54"/>
      <c r="F748" s="54"/>
      <c r="G748" s="54"/>
      <c r="H748" s="54"/>
    </row>
    <row r="749">
      <c r="A749" s="54"/>
      <c r="B749" s="36"/>
      <c r="C749" s="36"/>
      <c r="D749" s="50"/>
      <c r="E749" s="54"/>
      <c r="F749" s="54"/>
      <c r="G749" s="54"/>
      <c r="H749" s="54"/>
    </row>
    <row r="750">
      <c r="A750" s="54"/>
      <c r="B750" s="36"/>
      <c r="C750" s="36"/>
      <c r="D750" s="50"/>
      <c r="E750" s="54"/>
      <c r="F750" s="54"/>
      <c r="G750" s="54"/>
      <c r="H750" s="54"/>
    </row>
    <row r="751">
      <c r="A751" s="54"/>
      <c r="B751" s="36"/>
      <c r="C751" s="36"/>
      <c r="D751" s="50"/>
      <c r="E751" s="54"/>
      <c r="F751" s="54"/>
      <c r="G751" s="54"/>
      <c r="H751" s="54"/>
    </row>
    <row r="752">
      <c r="A752" s="54"/>
      <c r="B752" s="36"/>
      <c r="C752" s="36"/>
      <c r="D752" s="50"/>
      <c r="E752" s="54"/>
      <c r="F752" s="54"/>
      <c r="G752" s="54"/>
      <c r="H752" s="54"/>
    </row>
    <row r="753">
      <c r="A753" s="54"/>
      <c r="B753" s="36"/>
      <c r="C753" s="36"/>
      <c r="D753" s="50"/>
      <c r="E753" s="54"/>
      <c r="F753" s="54"/>
      <c r="G753" s="54"/>
      <c r="H753" s="54"/>
    </row>
    <row r="754">
      <c r="A754" s="54"/>
      <c r="B754" s="36"/>
      <c r="C754" s="36"/>
      <c r="D754" s="50"/>
      <c r="E754" s="54"/>
      <c r="F754" s="54"/>
      <c r="G754" s="54"/>
      <c r="H754" s="54"/>
    </row>
    <row r="755">
      <c r="A755" s="54"/>
      <c r="B755" s="36"/>
      <c r="C755" s="36"/>
      <c r="D755" s="50"/>
      <c r="E755" s="54"/>
      <c r="F755" s="54"/>
      <c r="G755" s="54"/>
      <c r="H755" s="54"/>
    </row>
    <row r="756">
      <c r="A756" s="54"/>
      <c r="B756" s="36"/>
      <c r="C756" s="36"/>
      <c r="D756" s="50"/>
      <c r="E756" s="54"/>
      <c r="F756" s="54"/>
      <c r="G756" s="54"/>
      <c r="H756" s="54"/>
    </row>
    <row r="757">
      <c r="A757" s="54"/>
      <c r="B757" s="36"/>
      <c r="C757" s="36"/>
      <c r="D757" s="50"/>
      <c r="E757" s="54"/>
      <c r="F757" s="54"/>
      <c r="G757" s="54"/>
      <c r="H757" s="54"/>
    </row>
    <row r="758">
      <c r="A758" s="54"/>
      <c r="B758" s="36"/>
      <c r="C758" s="36"/>
      <c r="D758" s="50"/>
      <c r="E758" s="54"/>
      <c r="F758" s="54"/>
      <c r="G758" s="54"/>
      <c r="H758" s="54"/>
    </row>
    <row r="759">
      <c r="A759" s="54"/>
      <c r="B759" s="36"/>
      <c r="C759" s="36"/>
      <c r="D759" s="50"/>
      <c r="E759" s="54"/>
      <c r="F759" s="54"/>
      <c r="G759" s="54"/>
      <c r="H759" s="54"/>
    </row>
    <row r="760">
      <c r="A760" s="54"/>
      <c r="B760" s="36"/>
      <c r="C760" s="36"/>
      <c r="D760" s="50"/>
      <c r="E760" s="54"/>
      <c r="F760" s="54"/>
      <c r="G760" s="54"/>
      <c r="H760" s="54"/>
    </row>
    <row r="761">
      <c r="A761" s="54"/>
      <c r="B761" s="36"/>
      <c r="C761" s="36"/>
      <c r="D761" s="50"/>
      <c r="E761" s="54"/>
      <c r="F761" s="54"/>
      <c r="G761" s="54"/>
      <c r="H761" s="54"/>
    </row>
    <row r="762">
      <c r="A762" s="54"/>
      <c r="B762" s="36"/>
      <c r="C762" s="36"/>
      <c r="D762" s="50"/>
      <c r="E762" s="54"/>
      <c r="F762" s="54"/>
      <c r="G762" s="54"/>
      <c r="H762" s="54"/>
    </row>
    <row r="763">
      <c r="A763" s="54"/>
      <c r="B763" s="36"/>
      <c r="C763" s="36"/>
      <c r="D763" s="50"/>
      <c r="E763" s="54"/>
      <c r="F763" s="54"/>
      <c r="G763" s="54"/>
      <c r="H763" s="54"/>
    </row>
    <row r="764">
      <c r="A764" s="54"/>
      <c r="B764" s="36"/>
      <c r="C764" s="36"/>
      <c r="D764" s="50"/>
      <c r="E764" s="54"/>
      <c r="F764" s="54"/>
      <c r="G764" s="54"/>
      <c r="H764" s="54"/>
    </row>
    <row r="765">
      <c r="A765" s="54"/>
      <c r="B765" s="36"/>
      <c r="C765" s="36"/>
      <c r="D765" s="50"/>
      <c r="E765" s="54"/>
      <c r="F765" s="54"/>
      <c r="G765" s="54"/>
      <c r="H765" s="54"/>
    </row>
    <row r="766">
      <c r="A766" s="54"/>
      <c r="B766" s="36"/>
      <c r="C766" s="36"/>
      <c r="D766" s="50"/>
      <c r="E766" s="54"/>
      <c r="F766" s="54"/>
      <c r="G766" s="54"/>
      <c r="H766" s="54"/>
    </row>
    <row r="767">
      <c r="A767" s="54"/>
      <c r="B767" s="36"/>
      <c r="C767" s="36"/>
      <c r="D767" s="50"/>
      <c r="E767" s="54"/>
      <c r="F767" s="54"/>
      <c r="G767" s="54"/>
      <c r="H767" s="54"/>
    </row>
    <row r="768">
      <c r="A768" s="54"/>
      <c r="B768" s="36"/>
      <c r="C768" s="36"/>
      <c r="D768" s="50"/>
      <c r="E768" s="54"/>
      <c r="F768" s="54"/>
      <c r="G768" s="54"/>
      <c r="H768" s="54"/>
    </row>
    <row r="769">
      <c r="A769" s="54"/>
      <c r="B769" s="36"/>
      <c r="C769" s="36"/>
      <c r="D769" s="50"/>
      <c r="E769" s="54"/>
      <c r="F769" s="54"/>
      <c r="G769" s="54"/>
      <c r="H769" s="54"/>
    </row>
    <row r="770">
      <c r="A770" s="54"/>
      <c r="B770" s="36"/>
      <c r="C770" s="36"/>
      <c r="D770" s="50"/>
      <c r="E770" s="54"/>
      <c r="F770" s="54"/>
      <c r="G770" s="54"/>
      <c r="H770" s="54"/>
    </row>
    <row r="771">
      <c r="A771" s="54"/>
      <c r="B771" s="36"/>
      <c r="C771" s="36"/>
      <c r="D771" s="50"/>
      <c r="E771" s="54"/>
      <c r="F771" s="54"/>
      <c r="G771" s="54"/>
      <c r="H771" s="54"/>
    </row>
    <row r="772">
      <c r="A772" s="54"/>
      <c r="B772" s="36"/>
      <c r="C772" s="36"/>
      <c r="D772" s="50"/>
      <c r="E772" s="54"/>
      <c r="F772" s="54"/>
      <c r="G772" s="54"/>
      <c r="H772" s="54"/>
    </row>
    <row r="773">
      <c r="A773" s="54"/>
      <c r="B773" s="36"/>
      <c r="C773" s="36"/>
      <c r="D773" s="50"/>
      <c r="E773" s="54"/>
      <c r="F773" s="54"/>
      <c r="G773" s="54"/>
      <c r="H773" s="54"/>
    </row>
    <row r="774">
      <c r="A774" s="54"/>
      <c r="B774" s="36"/>
      <c r="C774" s="36"/>
      <c r="D774" s="50"/>
      <c r="E774" s="54"/>
      <c r="F774" s="54"/>
      <c r="G774" s="54"/>
      <c r="H774" s="54"/>
    </row>
    <row r="775">
      <c r="A775" s="54"/>
      <c r="B775" s="36"/>
      <c r="C775" s="36"/>
      <c r="D775" s="50"/>
      <c r="E775" s="54"/>
      <c r="F775" s="54"/>
      <c r="G775" s="54"/>
      <c r="H775" s="54"/>
    </row>
    <row r="776">
      <c r="A776" s="54"/>
      <c r="B776" s="36"/>
      <c r="C776" s="36"/>
      <c r="D776" s="50"/>
      <c r="E776" s="54"/>
      <c r="F776" s="54"/>
      <c r="G776" s="54"/>
      <c r="H776" s="54"/>
    </row>
    <row r="777">
      <c r="A777" s="54"/>
      <c r="B777" s="36"/>
      <c r="C777" s="36"/>
      <c r="D777" s="50"/>
      <c r="E777" s="54"/>
      <c r="F777" s="54"/>
      <c r="G777" s="54"/>
      <c r="H777" s="54"/>
    </row>
    <row r="778">
      <c r="A778" s="54"/>
      <c r="B778" s="36"/>
      <c r="C778" s="36"/>
      <c r="D778" s="50"/>
      <c r="E778" s="54"/>
      <c r="F778" s="54"/>
      <c r="G778" s="54"/>
      <c r="H778" s="54"/>
    </row>
    <row r="779">
      <c r="A779" s="54"/>
      <c r="B779" s="36"/>
      <c r="C779" s="36"/>
      <c r="D779" s="50"/>
      <c r="E779" s="54"/>
      <c r="F779" s="54"/>
      <c r="G779" s="54"/>
      <c r="H779" s="54"/>
    </row>
    <row r="780">
      <c r="A780" s="54"/>
      <c r="B780" s="36"/>
      <c r="C780" s="36"/>
      <c r="D780" s="50"/>
      <c r="E780" s="54"/>
      <c r="F780" s="54"/>
      <c r="G780" s="54"/>
      <c r="H780" s="54"/>
    </row>
    <row r="781">
      <c r="A781" s="54"/>
      <c r="B781" s="36"/>
      <c r="C781" s="36"/>
      <c r="D781" s="50"/>
      <c r="E781" s="54"/>
      <c r="F781" s="54"/>
      <c r="G781" s="54"/>
      <c r="H781" s="54"/>
    </row>
    <row r="782">
      <c r="A782" s="54"/>
      <c r="B782" s="36"/>
      <c r="C782" s="36"/>
      <c r="D782" s="50"/>
      <c r="E782" s="54"/>
      <c r="F782" s="54"/>
      <c r="G782" s="54"/>
      <c r="H782" s="54"/>
    </row>
    <row r="783">
      <c r="A783" s="54"/>
      <c r="B783" s="36"/>
      <c r="C783" s="36"/>
      <c r="D783" s="50"/>
      <c r="E783" s="54"/>
      <c r="F783" s="54"/>
      <c r="G783" s="54"/>
      <c r="H783" s="54"/>
    </row>
    <row r="784">
      <c r="A784" s="54"/>
      <c r="B784" s="36"/>
      <c r="C784" s="36"/>
      <c r="D784" s="50"/>
      <c r="E784" s="54"/>
      <c r="F784" s="54"/>
      <c r="G784" s="54"/>
      <c r="H784" s="54"/>
    </row>
    <row r="785">
      <c r="A785" s="54"/>
      <c r="B785" s="36"/>
      <c r="C785" s="36"/>
      <c r="D785" s="50"/>
      <c r="E785" s="54"/>
      <c r="F785" s="54"/>
      <c r="G785" s="54"/>
      <c r="H785" s="54"/>
    </row>
    <row r="786">
      <c r="A786" s="54"/>
      <c r="B786" s="36"/>
      <c r="C786" s="36"/>
      <c r="D786" s="50"/>
      <c r="E786" s="54"/>
      <c r="F786" s="54"/>
      <c r="G786" s="54"/>
      <c r="H786" s="54"/>
    </row>
    <row r="787">
      <c r="A787" s="54"/>
      <c r="B787" s="36"/>
      <c r="C787" s="36"/>
      <c r="D787" s="50"/>
      <c r="E787" s="54"/>
      <c r="F787" s="54"/>
      <c r="G787" s="54"/>
      <c r="H787" s="54"/>
    </row>
    <row r="788">
      <c r="A788" s="54"/>
      <c r="B788" s="36"/>
      <c r="C788" s="36"/>
      <c r="D788" s="50"/>
      <c r="E788" s="54"/>
      <c r="F788" s="54"/>
      <c r="G788" s="54"/>
      <c r="H788" s="54"/>
    </row>
    <row r="789">
      <c r="A789" s="54"/>
      <c r="B789" s="36"/>
      <c r="C789" s="36"/>
      <c r="D789" s="50"/>
      <c r="E789" s="54"/>
      <c r="F789" s="54"/>
      <c r="G789" s="54"/>
      <c r="H789" s="54"/>
    </row>
    <row r="790">
      <c r="A790" s="54"/>
      <c r="B790" s="36"/>
      <c r="C790" s="36"/>
      <c r="D790" s="50"/>
      <c r="E790" s="54"/>
      <c r="F790" s="54"/>
      <c r="G790" s="54"/>
      <c r="H790" s="54"/>
    </row>
    <row r="791">
      <c r="A791" s="54"/>
      <c r="B791" s="36"/>
      <c r="C791" s="36"/>
      <c r="D791" s="50"/>
      <c r="E791" s="54"/>
      <c r="F791" s="54"/>
      <c r="G791" s="54"/>
      <c r="H791" s="54"/>
    </row>
    <row r="792">
      <c r="A792" s="54"/>
      <c r="B792" s="36"/>
      <c r="C792" s="36"/>
      <c r="D792" s="50"/>
      <c r="E792" s="54"/>
      <c r="F792" s="54"/>
      <c r="G792" s="54"/>
      <c r="H792" s="54"/>
    </row>
    <row r="793">
      <c r="A793" s="54"/>
      <c r="B793" s="36"/>
      <c r="C793" s="36"/>
      <c r="D793" s="50"/>
      <c r="E793" s="54"/>
      <c r="F793" s="54"/>
      <c r="G793" s="54"/>
      <c r="H793" s="54"/>
    </row>
    <row r="794">
      <c r="A794" s="54"/>
      <c r="B794" s="36"/>
      <c r="C794" s="36"/>
      <c r="D794" s="50"/>
      <c r="E794" s="54"/>
      <c r="F794" s="54"/>
      <c r="G794" s="54"/>
      <c r="H794" s="54"/>
    </row>
    <row r="795">
      <c r="A795" s="54"/>
      <c r="B795" s="36"/>
      <c r="C795" s="36"/>
      <c r="D795" s="50"/>
      <c r="E795" s="54"/>
      <c r="F795" s="54"/>
      <c r="G795" s="54"/>
      <c r="H795" s="54"/>
    </row>
    <row r="796">
      <c r="A796" s="54"/>
      <c r="B796" s="36"/>
      <c r="C796" s="36"/>
      <c r="D796" s="50"/>
      <c r="E796" s="54"/>
      <c r="F796" s="54"/>
      <c r="G796" s="54"/>
      <c r="H796" s="54"/>
    </row>
    <row r="797">
      <c r="A797" s="54"/>
      <c r="B797" s="36"/>
      <c r="C797" s="36"/>
      <c r="D797" s="50"/>
      <c r="E797" s="54"/>
      <c r="F797" s="54"/>
      <c r="G797" s="54"/>
      <c r="H797" s="54"/>
    </row>
    <row r="798">
      <c r="A798" s="54"/>
      <c r="B798" s="36"/>
      <c r="C798" s="36"/>
      <c r="D798" s="50"/>
      <c r="E798" s="54"/>
      <c r="F798" s="54"/>
      <c r="G798" s="54"/>
      <c r="H798" s="54"/>
    </row>
    <row r="799">
      <c r="A799" s="54"/>
      <c r="B799" s="36"/>
      <c r="C799" s="36"/>
      <c r="D799" s="50"/>
      <c r="E799" s="54"/>
      <c r="F799" s="54"/>
      <c r="G799" s="54"/>
      <c r="H799" s="54"/>
    </row>
    <row r="800">
      <c r="A800" s="54"/>
      <c r="B800" s="36"/>
      <c r="C800" s="36"/>
      <c r="D800" s="50"/>
      <c r="E800" s="54"/>
      <c r="F800" s="54"/>
      <c r="G800" s="54"/>
      <c r="H800" s="54"/>
    </row>
    <row r="801">
      <c r="A801" s="54"/>
      <c r="B801" s="36"/>
      <c r="C801" s="36"/>
      <c r="D801" s="50"/>
      <c r="E801" s="54"/>
      <c r="F801" s="54"/>
      <c r="G801" s="54"/>
      <c r="H801" s="54"/>
    </row>
    <row r="802">
      <c r="A802" s="54"/>
      <c r="B802" s="36"/>
      <c r="C802" s="36"/>
      <c r="D802" s="50"/>
      <c r="E802" s="54"/>
      <c r="F802" s="54"/>
      <c r="G802" s="54"/>
      <c r="H802" s="54"/>
    </row>
    <row r="803">
      <c r="A803" s="54"/>
      <c r="B803" s="36"/>
      <c r="C803" s="36"/>
      <c r="D803" s="50"/>
      <c r="E803" s="54"/>
      <c r="F803" s="54"/>
      <c r="G803" s="54"/>
      <c r="H803" s="54"/>
    </row>
    <row r="804">
      <c r="A804" s="54"/>
      <c r="B804" s="36"/>
      <c r="C804" s="36"/>
      <c r="D804" s="50"/>
      <c r="E804" s="54"/>
      <c r="F804" s="54"/>
      <c r="G804" s="54"/>
      <c r="H804" s="54"/>
    </row>
    <row r="805">
      <c r="A805" s="54"/>
      <c r="B805" s="36"/>
      <c r="C805" s="36"/>
      <c r="D805" s="50"/>
      <c r="E805" s="54"/>
      <c r="F805" s="54"/>
      <c r="G805" s="54"/>
      <c r="H805" s="54"/>
    </row>
    <row r="806">
      <c r="A806" s="54"/>
      <c r="B806" s="36"/>
      <c r="C806" s="36"/>
      <c r="D806" s="50"/>
      <c r="E806" s="54"/>
      <c r="F806" s="54"/>
      <c r="G806" s="54"/>
      <c r="H806" s="54"/>
    </row>
    <row r="807">
      <c r="A807" s="54"/>
      <c r="B807" s="36"/>
      <c r="C807" s="36"/>
      <c r="D807" s="50"/>
      <c r="E807" s="54"/>
      <c r="F807" s="54"/>
      <c r="G807" s="54"/>
      <c r="H807" s="54"/>
    </row>
    <row r="808">
      <c r="A808" s="54"/>
      <c r="B808" s="36"/>
      <c r="C808" s="36"/>
      <c r="D808" s="50"/>
      <c r="E808" s="54"/>
      <c r="F808" s="54"/>
      <c r="G808" s="54"/>
      <c r="H808" s="54"/>
    </row>
    <row r="809">
      <c r="A809" s="54"/>
      <c r="B809" s="36"/>
      <c r="C809" s="36"/>
      <c r="D809" s="50"/>
      <c r="E809" s="54"/>
      <c r="F809" s="54"/>
      <c r="G809" s="54"/>
      <c r="H809" s="54"/>
    </row>
    <row r="810">
      <c r="A810" s="54"/>
      <c r="B810" s="36"/>
      <c r="C810" s="36"/>
      <c r="D810" s="50"/>
      <c r="E810" s="54"/>
      <c r="F810" s="54"/>
      <c r="G810" s="54"/>
      <c r="H810" s="54"/>
    </row>
    <row r="811">
      <c r="A811" s="54"/>
      <c r="B811" s="36"/>
      <c r="C811" s="36"/>
      <c r="D811" s="50"/>
      <c r="E811" s="54"/>
      <c r="F811" s="54"/>
      <c r="G811" s="54"/>
      <c r="H811" s="54"/>
    </row>
    <row r="812">
      <c r="A812" s="54"/>
      <c r="B812" s="36"/>
      <c r="C812" s="36"/>
      <c r="D812" s="50"/>
      <c r="E812" s="54"/>
      <c r="F812" s="54"/>
      <c r="G812" s="54"/>
      <c r="H812" s="54"/>
    </row>
    <row r="813">
      <c r="A813" s="54"/>
      <c r="B813" s="36"/>
      <c r="C813" s="36"/>
      <c r="D813" s="50"/>
      <c r="E813" s="54"/>
      <c r="F813" s="54"/>
      <c r="G813" s="54"/>
      <c r="H813" s="54"/>
    </row>
    <row r="814">
      <c r="A814" s="54"/>
      <c r="B814" s="36"/>
      <c r="C814" s="36"/>
      <c r="D814" s="50"/>
      <c r="E814" s="54"/>
      <c r="F814" s="54"/>
      <c r="G814" s="54"/>
      <c r="H814" s="54"/>
    </row>
    <row r="815">
      <c r="A815" s="54"/>
      <c r="B815" s="36"/>
      <c r="C815" s="36"/>
      <c r="D815" s="50"/>
      <c r="E815" s="54"/>
      <c r="F815" s="54"/>
      <c r="G815" s="54"/>
      <c r="H815" s="54"/>
    </row>
    <row r="816">
      <c r="A816" s="54"/>
      <c r="B816" s="36"/>
      <c r="C816" s="36"/>
      <c r="D816" s="50"/>
      <c r="E816" s="54"/>
      <c r="F816" s="54"/>
      <c r="G816" s="54"/>
      <c r="H816" s="54"/>
    </row>
    <row r="817">
      <c r="A817" s="54"/>
      <c r="B817" s="36"/>
      <c r="C817" s="36"/>
      <c r="D817" s="50"/>
      <c r="E817" s="54"/>
      <c r="F817" s="54"/>
      <c r="G817" s="54"/>
      <c r="H817" s="54"/>
    </row>
    <row r="818">
      <c r="A818" s="54"/>
      <c r="B818" s="36"/>
      <c r="C818" s="36"/>
      <c r="D818" s="50"/>
      <c r="E818" s="54"/>
      <c r="F818" s="54"/>
      <c r="G818" s="54"/>
      <c r="H818" s="54"/>
    </row>
    <row r="819">
      <c r="A819" s="54"/>
      <c r="B819" s="36"/>
      <c r="C819" s="36"/>
      <c r="D819" s="50"/>
      <c r="E819" s="54"/>
      <c r="F819" s="54"/>
      <c r="G819" s="54"/>
      <c r="H819" s="54"/>
    </row>
    <row r="820">
      <c r="A820" s="54"/>
      <c r="B820" s="36"/>
      <c r="C820" s="36"/>
      <c r="D820" s="50"/>
      <c r="E820" s="54"/>
      <c r="F820" s="54"/>
      <c r="G820" s="54"/>
      <c r="H820" s="54"/>
    </row>
    <row r="821">
      <c r="A821" s="54"/>
      <c r="B821" s="36"/>
      <c r="C821" s="36"/>
      <c r="D821" s="50"/>
      <c r="E821" s="54"/>
      <c r="F821" s="54"/>
      <c r="G821" s="54"/>
      <c r="H821" s="54"/>
    </row>
    <row r="822">
      <c r="A822" s="54"/>
      <c r="B822" s="36"/>
      <c r="C822" s="36"/>
      <c r="D822" s="50"/>
      <c r="E822" s="54"/>
      <c r="F822" s="54"/>
      <c r="G822" s="54"/>
      <c r="H822" s="54"/>
    </row>
    <row r="823">
      <c r="A823" s="54"/>
      <c r="B823" s="36"/>
      <c r="C823" s="36"/>
      <c r="D823" s="50"/>
      <c r="E823" s="54"/>
      <c r="F823" s="54"/>
      <c r="G823" s="54"/>
      <c r="H823" s="54"/>
    </row>
    <row r="824">
      <c r="A824" s="54"/>
      <c r="B824" s="36"/>
      <c r="C824" s="36"/>
      <c r="D824" s="50"/>
      <c r="E824" s="54"/>
      <c r="F824" s="54"/>
      <c r="G824" s="54"/>
      <c r="H824" s="54"/>
    </row>
    <row r="825">
      <c r="A825" s="54"/>
      <c r="B825" s="36"/>
      <c r="C825" s="36"/>
      <c r="D825" s="50"/>
      <c r="E825" s="54"/>
      <c r="F825" s="54"/>
      <c r="G825" s="54"/>
      <c r="H825" s="54"/>
    </row>
    <row r="826">
      <c r="A826" s="54"/>
      <c r="B826" s="36"/>
      <c r="C826" s="36"/>
      <c r="D826" s="50"/>
      <c r="E826" s="54"/>
      <c r="F826" s="54"/>
      <c r="G826" s="54"/>
      <c r="H826" s="54"/>
    </row>
    <row r="827">
      <c r="A827" s="54"/>
      <c r="B827" s="36"/>
      <c r="C827" s="36"/>
      <c r="D827" s="50"/>
      <c r="E827" s="54"/>
      <c r="F827" s="54"/>
      <c r="G827" s="54"/>
      <c r="H827" s="54"/>
    </row>
    <row r="828">
      <c r="A828" s="54"/>
      <c r="B828" s="36"/>
      <c r="C828" s="36"/>
      <c r="D828" s="50"/>
      <c r="E828" s="54"/>
      <c r="F828" s="54"/>
      <c r="G828" s="54"/>
      <c r="H828" s="54"/>
    </row>
    <row r="829">
      <c r="A829" s="54"/>
      <c r="B829" s="36"/>
      <c r="C829" s="36"/>
      <c r="D829" s="50"/>
      <c r="E829" s="54"/>
      <c r="F829" s="54"/>
      <c r="G829" s="54"/>
      <c r="H829" s="54"/>
    </row>
    <row r="830">
      <c r="A830" s="54"/>
      <c r="B830" s="36"/>
      <c r="C830" s="36"/>
      <c r="D830" s="50"/>
      <c r="E830" s="54"/>
      <c r="F830" s="54"/>
      <c r="G830" s="54"/>
      <c r="H830" s="54"/>
    </row>
    <row r="831">
      <c r="A831" s="54"/>
      <c r="B831" s="36"/>
      <c r="C831" s="36"/>
      <c r="D831" s="50"/>
      <c r="E831" s="54"/>
      <c r="F831" s="54"/>
      <c r="G831" s="54"/>
      <c r="H831" s="54"/>
    </row>
    <row r="832">
      <c r="A832" s="54"/>
      <c r="B832" s="36"/>
      <c r="C832" s="36"/>
      <c r="D832" s="50"/>
      <c r="E832" s="54"/>
      <c r="F832" s="54"/>
      <c r="G832" s="54"/>
      <c r="H832" s="54"/>
    </row>
    <row r="833">
      <c r="A833" s="54"/>
      <c r="B833" s="36"/>
      <c r="C833" s="36"/>
      <c r="D833" s="50"/>
      <c r="E833" s="54"/>
      <c r="F833" s="54"/>
      <c r="G833" s="54"/>
      <c r="H833" s="54"/>
    </row>
    <row r="834">
      <c r="A834" s="54"/>
      <c r="B834" s="36"/>
      <c r="C834" s="36"/>
      <c r="D834" s="50"/>
      <c r="E834" s="54"/>
      <c r="F834" s="54"/>
      <c r="G834" s="54"/>
      <c r="H834" s="54"/>
    </row>
    <row r="835">
      <c r="A835" s="54"/>
      <c r="B835" s="36"/>
      <c r="C835" s="36"/>
      <c r="D835" s="50"/>
      <c r="E835" s="54"/>
      <c r="F835" s="54"/>
      <c r="G835" s="54"/>
      <c r="H835" s="54"/>
    </row>
    <row r="836">
      <c r="A836" s="54"/>
      <c r="B836" s="36"/>
      <c r="C836" s="36"/>
      <c r="D836" s="50"/>
      <c r="E836" s="54"/>
      <c r="F836" s="54"/>
      <c r="G836" s="54"/>
      <c r="H836" s="54"/>
    </row>
    <row r="837">
      <c r="A837" s="54"/>
      <c r="B837" s="36"/>
      <c r="C837" s="36"/>
      <c r="D837" s="50"/>
      <c r="E837" s="54"/>
      <c r="F837" s="54"/>
      <c r="G837" s="54"/>
      <c r="H837" s="54"/>
    </row>
    <row r="838">
      <c r="A838" s="54"/>
      <c r="B838" s="36"/>
      <c r="C838" s="36"/>
      <c r="D838" s="50"/>
      <c r="E838" s="54"/>
      <c r="F838" s="54"/>
      <c r="G838" s="54"/>
      <c r="H838" s="54"/>
    </row>
    <row r="839">
      <c r="A839" s="54"/>
      <c r="B839" s="36"/>
      <c r="C839" s="36"/>
      <c r="D839" s="50"/>
      <c r="E839" s="54"/>
      <c r="F839" s="54"/>
      <c r="G839" s="54"/>
      <c r="H839" s="54"/>
    </row>
    <row r="840">
      <c r="A840" s="54"/>
      <c r="B840" s="36"/>
      <c r="C840" s="36"/>
      <c r="D840" s="50"/>
      <c r="E840" s="54"/>
      <c r="F840" s="54"/>
      <c r="G840" s="54"/>
      <c r="H840" s="54"/>
    </row>
    <row r="841">
      <c r="A841" s="54"/>
      <c r="B841" s="36"/>
      <c r="C841" s="36"/>
      <c r="D841" s="50"/>
      <c r="E841" s="54"/>
      <c r="F841" s="54"/>
      <c r="G841" s="54"/>
      <c r="H841" s="54"/>
    </row>
    <row r="842">
      <c r="A842" s="54"/>
      <c r="B842" s="36"/>
      <c r="C842" s="36"/>
      <c r="D842" s="50"/>
      <c r="E842" s="54"/>
      <c r="F842" s="54"/>
      <c r="G842" s="54"/>
      <c r="H842" s="54"/>
    </row>
    <row r="843">
      <c r="A843" s="54"/>
      <c r="B843" s="36"/>
      <c r="C843" s="36"/>
      <c r="D843" s="50"/>
      <c r="E843" s="54"/>
      <c r="F843" s="54"/>
      <c r="G843" s="54"/>
      <c r="H843" s="54"/>
    </row>
    <row r="844">
      <c r="A844" s="54"/>
      <c r="B844" s="36"/>
      <c r="C844" s="36"/>
      <c r="D844" s="50"/>
      <c r="E844" s="54"/>
      <c r="F844" s="54"/>
      <c r="G844" s="54"/>
      <c r="H844" s="54"/>
    </row>
    <row r="845">
      <c r="A845" s="54"/>
      <c r="B845" s="36"/>
      <c r="C845" s="36"/>
      <c r="D845" s="50"/>
      <c r="E845" s="54"/>
      <c r="F845" s="54"/>
      <c r="G845" s="54"/>
      <c r="H845" s="54"/>
    </row>
    <row r="846">
      <c r="A846" s="54"/>
      <c r="B846" s="36"/>
      <c r="C846" s="36"/>
      <c r="D846" s="50"/>
      <c r="E846" s="54"/>
      <c r="F846" s="54"/>
      <c r="G846" s="54"/>
      <c r="H846" s="54"/>
    </row>
    <row r="847">
      <c r="A847" s="54"/>
      <c r="B847" s="36"/>
      <c r="C847" s="36"/>
      <c r="D847" s="50"/>
      <c r="E847" s="54"/>
      <c r="F847" s="54"/>
      <c r="G847" s="54"/>
      <c r="H847" s="54"/>
    </row>
    <row r="848">
      <c r="A848" s="54"/>
      <c r="B848" s="36"/>
      <c r="C848" s="36"/>
      <c r="D848" s="50"/>
      <c r="E848" s="54"/>
      <c r="F848" s="54"/>
      <c r="G848" s="54"/>
      <c r="H848" s="54"/>
    </row>
    <row r="849">
      <c r="A849" s="54"/>
      <c r="B849" s="36"/>
      <c r="C849" s="36"/>
      <c r="D849" s="50"/>
      <c r="E849" s="54"/>
      <c r="F849" s="54"/>
      <c r="G849" s="54"/>
      <c r="H849" s="54"/>
    </row>
    <row r="850">
      <c r="A850" s="54"/>
      <c r="B850" s="36"/>
      <c r="C850" s="36"/>
      <c r="D850" s="50"/>
      <c r="E850" s="54"/>
      <c r="F850" s="54"/>
      <c r="G850" s="54"/>
      <c r="H850" s="54"/>
    </row>
    <row r="851">
      <c r="A851" s="54"/>
      <c r="B851" s="36"/>
      <c r="C851" s="36"/>
      <c r="D851" s="50"/>
      <c r="E851" s="54"/>
      <c r="F851" s="54"/>
      <c r="G851" s="54"/>
      <c r="H851" s="54"/>
    </row>
    <row r="852">
      <c r="A852" s="54"/>
      <c r="B852" s="36"/>
      <c r="C852" s="36"/>
      <c r="D852" s="50"/>
      <c r="E852" s="54"/>
      <c r="F852" s="54"/>
      <c r="G852" s="54"/>
      <c r="H852" s="54"/>
    </row>
    <row r="853">
      <c r="A853" s="54"/>
      <c r="B853" s="36"/>
      <c r="C853" s="36"/>
      <c r="D853" s="50"/>
      <c r="E853" s="54"/>
      <c r="F853" s="54"/>
      <c r="G853" s="54"/>
      <c r="H853" s="54"/>
    </row>
    <row r="854">
      <c r="A854" s="54"/>
      <c r="B854" s="36"/>
      <c r="C854" s="36"/>
      <c r="D854" s="50"/>
      <c r="E854" s="54"/>
      <c r="F854" s="54"/>
      <c r="G854" s="54"/>
      <c r="H854" s="54"/>
    </row>
    <row r="855">
      <c r="A855" s="54"/>
      <c r="B855" s="36"/>
      <c r="C855" s="36"/>
      <c r="D855" s="50"/>
      <c r="E855" s="54"/>
      <c r="F855" s="54"/>
      <c r="G855" s="54"/>
      <c r="H855" s="54"/>
    </row>
    <row r="856">
      <c r="A856" s="54"/>
      <c r="B856" s="36"/>
      <c r="C856" s="36"/>
      <c r="D856" s="50"/>
      <c r="E856" s="54"/>
      <c r="F856" s="54"/>
      <c r="G856" s="54"/>
      <c r="H856" s="54"/>
    </row>
    <row r="857">
      <c r="A857" s="54"/>
      <c r="B857" s="36"/>
      <c r="C857" s="36"/>
      <c r="D857" s="50"/>
      <c r="E857" s="54"/>
      <c r="F857" s="54"/>
      <c r="G857" s="54"/>
      <c r="H857" s="54"/>
    </row>
    <row r="858">
      <c r="A858" s="54"/>
      <c r="B858" s="36"/>
      <c r="C858" s="36"/>
      <c r="D858" s="50"/>
      <c r="E858" s="54"/>
      <c r="F858" s="54"/>
      <c r="G858" s="54"/>
      <c r="H858" s="54"/>
    </row>
    <row r="859">
      <c r="A859" s="54"/>
      <c r="B859" s="36"/>
      <c r="C859" s="36"/>
      <c r="D859" s="50"/>
      <c r="E859" s="54"/>
      <c r="F859" s="54"/>
      <c r="G859" s="54"/>
      <c r="H859" s="54"/>
    </row>
    <row r="860">
      <c r="A860" s="54"/>
      <c r="B860" s="36"/>
      <c r="C860" s="36"/>
      <c r="D860" s="50"/>
      <c r="E860" s="54"/>
      <c r="F860" s="54"/>
      <c r="G860" s="54"/>
      <c r="H860" s="54"/>
    </row>
    <row r="861">
      <c r="A861" s="54"/>
      <c r="B861" s="36"/>
      <c r="C861" s="36"/>
      <c r="D861" s="50"/>
      <c r="E861" s="54"/>
      <c r="F861" s="54"/>
      <c r="G861" s="54"/>
      <c r="H861" s="54"/>
    </row>
    <row r="862">
      <c r="A862" s="54"/>
      <c r="B862" s="36"/>
      <c r="C862" s="36"/>
      <c r="D862" s="50"/>
      <c r="E862" s="54"/>
      <c r="F862" s="54"/>
      <c r="G862" s="54"/>
      <c r="H862" s="54"/>
    </row>
    <row r="863">
      <c r="A863" s="54"/>
      <c r="B863" s="36"/>
      <c r="C863" s="36"/>
      <c r="D863" s="50"/>
      <c r="E863" s="54"/>
      <c r="F863" s="54"/>
      <c r="G863" s="54"/>
      <c r="H863" s="54"/>
    </row>
    <row r="864">
      <c r="A864" s="54"/>
      <c r="B864" s="36"/>
      <c r="C864" s="36"/>
      <c r="D864" s="50"/>
      <c r="E864" s="54"/>
      <c r="F864" s="54"/>
      <c r="G864" s="54"/>
      <c r="H864" s="54"/>
    </row>
    <row r="865">
      <c r="A865" s="54"/>
      <c r="B865" s="36"/>
      <c r="C865" s="36"/>
      <c r="D865" s="50"/>
      <c r="E865" s="54"/>
      <c r="F865" s="54"/>
      <c r="G865" s="54"/>
      <c r="H865" s="54"/>
    </row>
    <row r="866">
      <c r="A866" s="54"/>
      <c r="B866" s="36"/>
      <c r="C866" s="36"/>
      <c r="D866" s="50"/>
      <c r="E866" s="54"/>
      <c r="F866" s="54"/>
      <c r="G866" s="54"/>
      <c r="H866" s="54"/>
    </row>
    <row r="867">
      <c r="A867" s="54"/>
      <c r="B867" s="36"/>
      <c r="C867" s="36"/>
      <c r="D867" s="50"/>
      <c r="E867" s="54"/>
      <c r="F867" s="54"/>
      <c r="G867" s="54"/>
      <c r="H867" s="54"/>
    </row>
    <row r="868">
      <c r="A868" s="54"/>
      <c r="B868" s="36"/>
      <c r="C868" s="36"/>
      <c r="D868" s="50"/>
      <c r="E868" s="54"/>
      <c r="F868" s="54"/>
      <c r="G868" s="54"/>
      <c r="H868" s="54"/>
    </row>
    <row r="869">
      <c r="A869" s="54"/>
      <c r="B869" s="36"/>
      <c r="C869" s="36"/>
      <c r="D869" s="50"/>
      <c r="E869" s="54"/>
      <c r="F869" s="54"/>
      <c r="G869" s="54"/>
      <c r="H869" s="54"/>
    </row>
    <row r="870">
      <c r="A870" s="54"/>
      <c r="B870" s="36"/>
      <c r="C870" s="36"/>
      <c r="D870" s="50"/>
      <c r="E870" s="54"/>
      <c r="F870" s="54"/>
      <c r="G870" s="54"/>
      <c r="H870" s="54"/>
    </row>
    <row r="871">
      <c r="A871" s="54"/>
      <c r="B871" s="36"/>
      <c r="C871" s="36"/>
      <c r="D871" s="50"/>
      <c r="E871" s="54"/>
      <c r="F871" s="54"/>
      <c r="G871" s="54"/>
      <c r="H871" s="54"/>
    </row>
    <row r="872">
      <c r="A872" s="54"/>
      <c r="B872" s="36"/>
      <c r="C872" s="36"/>
      <c r="D872" s="50"/>
      <c r="E872" s="54"/>
      <c r="F872" s="54"/>
      <c r="G872" s="54"/>
      <c r="H872" s="54"/>
    </row>
    <row r="873">
      <c r="A873" s="54"/>
      <c r="B873" s="36"/>
      <c r="C873" s="36"/>
      <c r="D873" s="50"/>
      <c r="E873" s="54"/>
      <c r="F873" s="54"/>
      <c r="G873" s="54"/>
      <c r="H873" s="54"/>
    </row>
    <row r="874">
      <c r="A874" s="54"/>
      <c r="B874" s="36"/>
      <c r="C874" s="36"/>
      <c r="D874" s="50"/>
      <c r="E874" s="54"/>
      <c r="F874" s="54"/>
      <c r="G874" s="54"/>
      <c r="H874" s="54"/>
    </row>
    <row r="875">
      <c r="A875" s="54"/>
      <c r="B875" s="36"/>
      <c r="C875" s="36"/>
      <c r="D875" s="50"/>
      <c r="E875" s="54"/>
      <c r="F875" s="54"/>
      <c r="G875" s="54"/>
      <c r="H875" s="54"/>
    </row>
    <row r="876">
      <c r="A876" s="54"/>
      <c r="B876" s="36"/>
      <c r="C876" s="36"/>
      <c r="D876" s="50"/>
      <c r="E876" s="54"/>
      <c r="F876" s="54"/>
      <c r="G876" s="54"/>
      <c r="H876" s="54"/>
    </row>
    <row r="877">
      <c r="A877" s="54"/>
      <c r="B877" s="36"/>
      <c r="C877" s="36"/>
      <c r="D877" s="50"/>
      <c r="E877" s="54"/>
      <c r="F877" s="54"/>
      <c r="G877" s="54"/>
      <c r="H877" s="54"/>
    </row>
    <row r="878">
      <c r="A878" s="54"/>
      <c r="B878" s="36"/>
      <c r="C878" s="36"/>
      <c r="D878" s="50"/>
      <c r="E878" s="54"/>
      <c r="F878" s="54"/>
      <c r="G878" s="54"/>
      <c r="H878" s="54"/>
    </row>
    <row r="879">
      <c r="A879" s="54"/>
      <c r="B879" s="36"/>
      <c r="C879" s="36"/>
      <c r="D879" s="50"/>
      <c r="E879" s="54"/>
      <c r="F879" s="54"/>
      <c r="G879" s="54"/>
      <c r="H879" s="54"/>
    </row>
    <row r="880">
      <c r="A880" s="54"/>
      <c r="B880" s="36"/>
      <c r="C880" s="36"/>
      <c r="D880" s="50"/>
      <c r="E880" s="54"/>
      <c r="F880" s="54"/>
      <c r="G880" s="54"/>
      <c r="H880" s="54"/>
    </row>
    <row r="881">
      <c r="A881" s="54"/>
      <c r="B881" s="36"/>
      <c r="C881" s="36"/>
      <c r="D881" s="50"/>
      <c r="E881" s="54"/>
      <c r="F881" s="54"/>
      <c r="G881" s="54"/>
      <c r="H881" s="54"/>
    </row>
    <row r="882">
      <c r="A882" s="54"/>
      <c r="B882" s="36"/>
      <c r="C882" s="36"/>
      <c r="D882" s="50"/>
      <c r="E882" s="54"/>
      <c r="F882" s="54"/>
      <c r="G882" s="54"/>
      <c r="H882" s="54"/>
    </row>
    <row r="883">
      <c r="A883" s="54"/>
      <c r="B883" s="36"/>
      <c r="C883" s="36"/>
      <c r="D883" s="50"/>
      <c r="E883" s="54"/>
      <c r="F883" s="54"/>
      <c r="G883" s="54"/>
      <c r="H883" s="54"/>
    </row>
    <row r="884">
      <c r="A884" s="54"/>
      <c r="B884" s="36"/>
      <c r="C884" s="36"/>
      <c r="D884" s="50"/>
      <c r="E884" s="54"/>
      <c r="F884" s="54"/>
      <c r="G884" s="54"/>
      <c r="H884" s="54"/>
    </row>
    <row r="885">
      <c r="A885" s="54"/>
      <c r="B885" s="36"/>
      <c r="C885" s="36"/>
      <c r="D885" s="50"/>
      <c r="E885" s="54"/>
      <c r="F885" s="54"/>
      <c r="G885" s="54"/>
      <c r="H885" s="54"/>
    </row>
    <row r="886">
      <c r="A886" s="54"/>
      <c r="B886" s="36"/>
      <c r="C886" s="36"/>
      <c r="D886" s="50"/>
      <c r="E886" s="54"/>
      <c r="F886" s="54"/>
      <c r="G886" s="54"/>
      <c r="H886" s="54"/>
    </row>
    <row r="887">
      <c r="A887" s="54"/>
      <c r="B887" s="36"/>
      <c r="C887" s="36"/>
      <c r="D887" s="50"/>
      <c r="E887" s="54"/>
      <c r="F887" s="54"/>
      <c r="G887" s="54"/>
      <c r="H887" s="54"/>
    </row>
    <row r="888">
      <c r="A888" s="54"/>
      <c r="B888" s="36"/>
      <c r="C888" s="36"/>
      <c r="D888" s="50"/>
      <c r="E888" s="54"/>
      <c r="F888" s="54"/>
      <c r="G888" s="54"/>
      <c r="H888" s="54"/>
    </row>
    <row r="889">
      <c r="A889" s="54"/>
      <c r="B889" s="36"/>
      <c r="C889" s="36"/>
      <c r="D889" s="50"/>
      <c r="E889" s="54"/>
      <c r="F889" s="54"/>
      <c r="G889" s="54"/>
      <c r="H889" s="54"/>
    </row>
    <row r="890">
      <c r="A890" s="54"/>
      <c r="B890" s="36"/>
      <c r="C890" s="36"/>
      <c r="D890" s="50"/>
      <c r="E890" s="54"/>
      <c r="F890" s="54"/>
      <c r="G890" s="54"/>
      <c r="H890" s="54"/>
    </row>
    <row r="891">
      <c r="A891" s="54"/>
      <c r="B891" s="36"/>
      <c r="C891" s="36"/>
      <c r="D891" s="50"/>
      <c r="E891" s="54"/>
      <c r="F891" s="54"/>
      <c r="G891" s="54"/>
      <c r="H891" s="54"/>
    </row>
    <row r="892">
      <c r="A892" s="54"/>
      <c r="B892" s="36"/>
      <c r="C892" s="36"/>
      <c r="D892" s="50"/>
      <c r="E892" s="54"/>
      <c r="F892" s="54"/>
      <c r="G892" s="54"/>
      <c r="H892" s="54"/>
    </row>
    <row r="893">
      <c r="A893" s="54"/>
      <c r="B893" s="36"/>
      <c r="C893" s="36"/>
      <c r="D893" s="50"/>
      <c r="E893" s="54"/>
      <c r="F893" s="54"/>
      <c r="G893" s="54"/>
      <c r="H893" s="54"/>
    </row>
    <row r="894">
      <c r="A894" s="54"/>
      <c r="B894" s="36"/>
      <c r="C894" s="36"/>
      <c r="D894" s="50"/>
      <c r="E894" s="54"/>
      <c r="F894" s="54"/>
      <c r="G894" s="54"/>
      <c r="H894" s="54"/>
    </row>
    <row r="895">
      <c r="A895" s="54"/>
      <c r="B895" s="36"/>
      <c r="C895" s="36"/>
      <c r="D895" s="50"/>
      <c r="E895" s="54"/>
      <c r="F895" s="54"/>
      <c r="G895" s="54"/>
      <c r="H895" s="54"/>
    </row>
    <row r="896">
      <c r="A896" s="54"/>
      <c r="B896" s="36"/>
      <c r="C896" s="36"/>
      <c r="D896" s="50"/>
      <c r="E896" s="54"/>
      <c r="F896" s="54"/>
      <c r="G896" s="54"/>
      <c r="H896" s="54"/>
    </row>
    <row r="897">
      <c r="A897" s="54"/>
      <c r="B897" s="36"/>
      <c r="C897" s="36"/>
      <c r="D897" s="50"/>
      <c r="E897" s="54"/>
      <c r="F897" s="54"/>
      <c r="G897" s="54"/>
      <c r="H897" s="54"/>
    </row>
    <row r="898">
      <c r="A898" s="54"/>
      <c r="B898" s="36"/>
      <c r="C898" s="36"/>
      <c r="D898" s="50"/>
      <c r="E898" s="54"/>
      <c r="F898" s="54"/>
      <c r="G898" s="54"/>
      <c r="H898" s="54"/>
    </row>
    <row r="899">
      <c r="A899" s="54"/>
      <c r="B899" s="36"/>
      <c r="C899" s="36"/>
      <c r="D899" s="50"/>
      <c r="E899" s="54"/>
      <c r="F899" s="54"/>
      <c r="G899" s="54"/>
      <c r="H899" s="54"/>
    </row>
    <row r="900">
      <c r="A900" s="54"/>
      <c r="B900" s="36"/>
      <c r="C900" s="36"/>
      <c r="D900" s="50"/>
      <c r="E900" s="54"/>
      <c r="F900" s="54"/>
      <c r="G900" s="54"/>
      <c r="H900" s="54"/>
    </row>
    <row r="901">
      <c r="A901" s="54"/>
      <c r="B901" s="36"/>
      <c r="C901" s="36"/>
      <c r="D901" s="50"/>
      <c r="E901" s="54"/>
      <c r="F901" s="54"/>
      <c r="G901" s="54"/>
      <c r="H901" s="54"/>
    </row>
    <row r="902">
      <c r="A902" s="54"/>
      <c r="B902" s="36"/>
      <c r="C902" s="36"/>
      <c r="D902" s="50"/>
      <c r="E902" s="54"/>
      <c r="F902" s="54"/>
      <c r="G902" s="54"/>
      <c r="H902" s="54"/>
    </row>
    <row r="903">
      <c r="A903" s="54"/>
      <c r="B903" s="36"/>
      <c r="C903" s="36"/>
      <c r="D903" s="50"/>
      <c r="E903" s="54"/>
      <c r="F903" s="54"/>
      <c r="G903" s="54"/>
      <c r="H903" s="54"/>
    </row>
    <row r="904">
      <c r="A904" s="54"/>
      <c r="B904" s="36"/>
      <c r="C904" s="36"/>
      <c r="D904" s="50"/>
      <c r="E904" s="54"/>
      <c r="F904" s="54"/>
      <c r="G904" s="54"/>
      <c r="H904" s="54"/>
    </row>
    <row r="905">
      <c r="A905" s="54"/>
      <c r="B905" s="36"/>
      <c r="C905" s="36"/>
      <c r="D905" s="50"/>
      <c r="E905" s="54"/>
      <c r="F905" s="54"/>
      <c r="G905" s="54"/>
      <c r="H905" s="54"/>
    </row>
    <row r="906">
      <c r="A906" s="54"/>
      <c r="B906" s="36"/>
      <c r="C906" s="36"/>
      <c r="D906" s="50"/>
      <c r="E906" s="54"/>
      <c r="F906" s="54"/>
      <c r="G906" s="54"/>
      <c r="H906" s="54"/>
    </row>
    <row r="907">
      <c r="A907" s="54"/>
      <c r="B907" s="36"/>
      <c r="C907" s="36"/>
      <c r="D907" s="50"/>
      <c r="E907" s="54"/>
      <c r="F907" s="54"/>
      <c r="G907" s="54"/>
      <c r="H907" s="54"/>
    </row>
    <row r="908">
      <c r="A908" s="54"/>
      <c r="B908" s="36"/>
      <c r="C908" s="36"/>
      <c r="D908" s="50"/>
      <c r="E908" s="54"/>
      <c r="F908" s="54"/>
      <c r="G908" s="54"/>
      <c r="H908" s="54"/>
    </row>
    <row r="909">
      <c r="A909" s="54"/>
      <c r="B909" s="36"/>
      <c r="C909" s="36"/>
      <c r="D909" s="50"/>
      <c r="E909" s="54"/>
      <c r="F909" s="54"/>
      <c r="G909" s="54"/>
      <c r="H909" s="54"/>
    </row>
    <row r="910">
      <c r="A910" s="54"/>
      <c r="B910" s="36"/>
      <c r="C910" s="36"/>
      <c r="D910" s="50"/>
      <c r="E910" s="54"/>
      <c r="F910" s="54"/>
      <c r="G910" s="54"/>
      <c r="H910" s="54"/>
    </row>
    <row r="911">
      <c r="A911" s="54"/>
      <c r="B911" s="36"/>
      <c r="C911" s="36"/>
      <c r="D911" s="50"/>
      <c r="E911" s="54"/>
      <c r="F911" s="54"/>
      <c r="G911" s="54"/>
      <c r="H911" s="54"/>
    </row>
    <row r="912">
      <c r="A912" s="54"/>
      <c r="B912" s="36"/>
      <c r="C912" s="36"/>
      <c r="D912" s="50"/>
      <c r="E912" s="54"/>
      <c r="F912" s="54"/>
      <c r="G912" s="54"/>
      <c r="H912" s="54"/>
    </row>
    <row r="913">
      <c r="A913" s="54"/>
      <c r="B913" s="36"/>
      <c r="C913" s="36"/>
      <c r="D913" s="50"/>
      <c r="E913" s="54"/>
      <c r="F913" s="54"/>
      <c r="G913" s="54"/>
      <c r="H913" s="54"/>
    </row>
    <row r="914">
      <c r="A914" s="54"/>
      <c r="B914" s="36"/>
      <c r="C914" s="36"/>
      <c r="D914" s="50"/>
      <c r="E914" s="54"/>
      <c r="F914" s="54"/>
      <c r="G914" s="54"/>
      <c r="H914" s="54"/>
    </row>
    <row r="915">
      <c r="A915" s="54"/>
      <c r="B915" s="36"/>
      <c r="C915" s="36"/>
      <c r="D915" s="50"/>
      <c r="E915" s="54"/>
      <c r="F915" s="54"/>
      <c r="G915" s="54"/>
      <c r="H915" s="54"/>
    </row>
    <row r="916">
      <c r="A916" s="54"/>
      <c r="B916" s="36"/>
      <c r="C916" s="36"/>
      <c r="D916" s="50"/>
      <c r="E916" s="54"/>
      <c r="F916" s="54"/>
      <c r="G916" s="54"/>
      <c r="H916" s="54"/>
    </row>
    <row r="917">
      <c r="A917" s="54"/>
      <c r="B917" s="36"/>
      <c r="C917" s="36"/>
      <c r="D917" s="50"/>
      <c r="E917" s="54"/>
      <c r="F917" s="54"/>
      <c r="G917" s="54"/>
      <c r="H917" s="54"/>
    </row>
    <row r="918">
      <c r="A918" s="54"/>
      <c r="B918" s="36"/>
      <c r="C918" s="36"/>
      <c r="D918" s="50"/>
      <c r="E918" s="54"/>
      <c r="F918" s="54"/>
      <c r="G918" s="54"/>
      <c r="H918" s="54"/>
    </row>
    <row r="919">
      <c r="A919" s="54"/>
      <c r="B919" s="36"/>
      <c r="C919" s="36"/>
      <c r="D919" s="50"/>
      <c r="E919" s="54"/>
      <c r="F919" s="54"/>
      <c r="G919" s="54"/>
      <c r="H919" s="54"/>
    </row>
    <row r="920">
      <c r="A920" s="54"/>
      <c r="B920" s="36"/>
      <c r="C920" s="36"/>
      <c r="D920" s="50"/>
      <c r="E920" s="54"/>
      <c r="F920" s="54"/>
      <c r="G920" s="54"/>
      <c r="H920" s="54"/>
    </row>
    <row r="921">
      <c r="A921" s="54"/>
      <c r="B921" s="36"/>
      <c r="C921" s="36"/>
      <c r="D921" s="50"/>
      <c r="E921" s="54"/>
      <c r="F921" s="54"/>
      <c r="G921" s="54"/>
      <c r="H921" s="54"/>
    </row>
    <row r="922">
      <c r="A922" s="54"/>
      <c r="B922" s="36"/>
      <c r="C922" s="36"/>
      <c r="D922" s="50"/>
      <c r="E922" s="54"/>
      <c r="F922" s="54"/>
      <c r="G922" s="54"/>
      <c r="H922" s="54"/>
    </row>
    <row r="923">
      <c r="A923" s="54"/>
      <c r="B923" s="36"/>
      <c r="C923" s="36"/>
      <c r="D923" s="50"/>
      <c r="E923" s="54"/>
      <c r="F923" s="54"/>
      <c r="G923" s="54"/>
      <c r="H923" s="54"/>
    </row>
    <row r="924">
      <c r="A924" s="54"/>
      <c r="B924" s="36"/>
      <c r="C924" s="36"/>
      <c r="D924" s="50"/>
      <c r="E924" s="54"/>
      <c r="F924" s="54"/>
      <c r="G924" s="54"/>
      <c r="H924" s="54"/>
    </row>
    <row r="925">
      <c r="A925" s="54"/>
      <c r="B925" s="36"/>
      <c r="C925" s="36"/>
      <c r="D925" s="50"/>
      <c r="E925" s="54"/>
      <c r="F925" s="54"/>
      <c r="G925" s="54"/>
      <c r="H925" s="54"/>
    </row>
    <row r="926">
      <c r="A926" s="54"/>
      <c r="B926" s="36"/>
      <c r="C926" s="36"/>
      <c r="D926" s="50"/>
      <c r="E926" s="54"/>
      <c r="F926" s="54"/>
      <c r="G926" s="54"/>
      <c r="H926" s="54"/>
    </row>
    <row r="927">
      <c r="A927" s="54"/>
      <c r="B927" s="36"/>
      <c r="C927" s="36"/>
      <c r="D927" s="50"/>
      <c r="E927" s="54"/>
      <c r="F927" s="54"/>
      <c r="G927" s="54"/>
      <c r="H927" s="54"/>
    </row>
    <row r="928">
      <c r="A928" s="54"/>
      <c r="B928" s="36"/>
      <c r="C928" s="36"/>
      <c r="D928" s="50"/>
      <c r="E928" s="54"/>
      <c r="F928" s="54"/>
      <c r="G928" s="54"/>
      <c r="H928" s="54"/>
    </row>
    <row r="929">
      <c r="A929" s="54"/>
      <c r="B929" s="36"/>
      <c r="C929" s="36"/>
      <c r="D929" s="50"/>
      <c r="E929" s="54"/>
      <c r="F929" s="54"/>
      <c r="G929" s="54"/>
      <c r="H929" s="54"/>
    </row>
    <row r="930">
      <c r="A930" s="54"/>
      <c r="B930" s="36"/>
      <c r="C930" s="36"/>
      <c r="D930" s="50"/>
      <c r="E930" s="54"/>
      <c r="F930" s="54"/>
      <c r="G930" s="54"/>
      <c r="H930" s="54"/>
    </row>
    <row r="931">
      <c r="A931" s="54"/>
      <c r="B931" s="36"/>
      <c r="C931" s="36"/>
      <c r="D931" s="50"/>
      <c r="E931" s="54"/>
      <c r="F931" s="54"/>
      <c r="G931" s="54"/>
      <c r="H931" s="54"/>
    </row>
    <row r="932">
      <c r="A932" s="54"/>
      <c r="B932" s="36"/>
      <c r="C932" s="36"/>
      <c r="D932" s="50"/>
      <c r="E932" s="54"/>
      <c r="F932" s="54"/>
      <c r="G932" s="54"/>
      <c r="H932" s="54"/>
    </row>
    <row r="933">
      <c r="A933" s="54"/>
      <c r="B933" s="36"/>
      <c r="C933" s="36"/>
      <c r="D933" s="50"/>
      <c r="E933" s="54"/>
      <c r="F933" s="54"/>
      <c r="G933" s="54"/>
      <c r="H933" s="54"/>
    </row>
    <row r="934">
      <c r="A934" s="54"/>
      <c r="B934" s="36"/>
      <c r="C934" s="36"/>
      <c r="D934" s="50"/>
      <c r="E934" s="54"/>
      <c r="F934" s="54"/>
      <c r="G934" s="54"/>
      <c r="H934" s="54"/>
    </row>
    <row r="935">
      <c r="A935" s="54"/>
      <c r="B935" s="36"/>
      <c r="C935" s="36"/>
      <c r="D935" s="50"/>
      <c r="E935" s="54"/>
      <c r="F935" s="54"/>
      <c r="G935" s="54"/>
      <c r="H935" s="54"/>
    </row>
    <row r="936">
      <c r="A936" s="54"/>
      <c r="B936" s="36"/>
      <c r="C936" s="36"/>
      <c r="D936" s="50"/>
      <c r="E936" s="54"/>
      <c r="F936" s="54"/>
      <c r="G936" s="54"/>
      <c r="H936" s="54"/>
    </row>
    <row r="937">
      <c r="A937" s="54"/>
      <c r="B937" s="36"/>
      <c r="C937" s="36"/>
      <c r="D937" s="50"/>
      <c r="E937" s="54"/>
      <c r="F937" s="54"/>
      <c r="G937" s="54"/>
      <c r="H937" s="54"/>
    </row>
    <row r="938">
      <c r="A938" s="54"/>
      <c r="B938" s="36"/>
      <c r="C938" s="36"/>
      <c r="D938" s="50"/>
      <c r="E938" s="54"/>
      <c r="F938" s="54"/>
      <c r="G938" s="54"/>
      <c r="H938" s="54"/>
    </row>
    <row r="939">
      <c r="A939" s="54"/>
      <c r="B939" s="36"/>
      <c r="C939" s="36"/>
      <c r="D939" s="50"/>
      <c r="E939" s="54"/>
      <c r="F939" s="54"/>
      <c r="G939" s="54"/>
      <c r="H939" s="54"/>
    </row>
    <row r="940">
      <c r="A940" s="54"/>
      <c r="B940" s="36"/>
      <c r="C940" s="36"/>
      <c r="D940" s="50"/>
      <c r="E940" s="54"/>
      <c r="F940" s="54"/>
      <c r="G940" s="54"/>
      <c r="H940" s="54"/>
    </row>
    <row r="941">
      <c r="A941" s="54"/>
      <c r="B941" s="36"/>
      <c r="C941" s="36"/>
      <c r="D941" s="50"/>
      <c r="E941" s="54"/>
      <c r="F941" s="54"/>
      <c r="G941" s="54"/>
      <c r="H941" s="54"/>
    </row>
    <row r="942">
      <c r="A942" s="54"/>
      <c r="B942" s="36"/>
      <c r="C942" s="36"/>
      <c r="D942" s="50"/>
      <c r="E942" s="54"/>
      <c r="F942" s="54"/>
      <c r="G942" s="54"/>
      <c r="H942" s="54"/>
    </row>
    <row r="943">
      <c r="A943" s="54"/>
      <c r="B943" s="36"/>
      <c r="C943" s="36"/>
      <c r="D943" s="50"/>
      <c r="E943" s="54"/>
      <c r="F943" s="54"/>
      <c r="G943" s="54"/>
      <c r="H943" s="54"/>
    </row>
    <row r="944">
      <c r="A944" s="54"/>
      <c r="B944" s="36"/>
      <c r="C944" s="36"/>
      <c r="D944" s="50"/>
      <c r="E944" s="54"/>
      <c r="F944" s="54"/>
      <c r="G944" s="54"/>
      <c r="H944" s="54"/>
    </row>
    <row r="945">
      <c r="A945" s="54"/>
      <c r="B945" s="36"/>
      <c r="C945" s="36"/>
      <c r="D945" s="50"/>
      <c r="E945" s="54"/>
      <c r="F945" s="54"/>
      <c r="G945" s="54"/>
      <c r="H945" s="54"/>
    </row>
    <row r="946">
      <c r="A946" s="54"/>
      <c r="B946" s="36"/>
      <c r="C946" s="36"/>
      <c r="D946" s="50"/>
      <c r="E946" s="54"/>
      <c r="F946" s="54"/>
      <c r="G946" s="54"/>
      <c r="H946" s="54"/>
    </row>
    <row r="947">
      <c r="A947" s="54"/>
      <c r="B947" s="36"/>
      <c r="C947" s="36"/>
      <c r="D947" s="50"/>
      <c r="E947" s="54"/>
      <c r="F947" s="54"/>
      <c r="G947" s="54"/>
      <c r="H947" s="54"/>
    </row>
    <row r="948">
      <c r="A948" s="54"/>
      <c r="B948" s="36"/>
      <c r="C948" s="36"/>
      <c r="D948" s="50"/>
      <c r="E948" s="54"/>
      <c r="F948" s="54"/>
      <c r="G948" s="54"/>
      <c r="H948" s="54"/>
    </row>
    <row r="949">
      <c r="A949" s="54"/>
      <c r="B949" s="36"/>
      <c r="C949" s="36"/>
      <c r="D949" s="50"/>
      <c r="E949" s="54"/>
      <c r="F949" s="54"/>
      <c r="G949" s="54"/>
      <c r="H949" s="54"/>
    </row>
    <row r="950">
      <c r="A950" s="54"/>
      <c r="B950" s="36"/>
      <c r="C950" s="36"/>
      <c r="D950" s="50"/>
      <c r="E950" s="54"/>
      <c r="F950" s="54"/>
      <c r="G950" s="54"/>
      <c r="H950" s="54"/>
    </row>
    <row r="951">
      <c r="A951" s="54"/>
      <c r="B951" s="36"/>
      <c r="C951" s="36"/>
      <c r="D951" s="50"/>
      <c r="E951" s="54"/>
      <c r="F951" s="54"/>
      <c r="G951" s="54"/>
      <c r="H951" s="54"/>
    </row>
    <row r="952">
      <c r="A952" s="54"/>
      <c r="B952" s="36"/>
      <c r="C952" s="36"/>
      <c r="D952" s="50"/>
      <c r="E952" s="54"/>
      <c r="F952" s="54"/>
      <c r="G952" s="54"/>
      <c r="H952" s="54"/>
    </row>
    <row r="953">
      <c r="A953" s="54"/>
      <c r="B953" s="36"/>
      <c r="C953" s="36"/>
      <c r="D953" s="50"/>
      <c r="E953" s="54"/>
      <c r="F953" s="54"/>
      <c r="G953" s="54"/>
      <c r="H953" s="54"/>
    </row>
    <row r="954">
      <c r="A954" s="54"/>
      <c r="B954" s="36"/>
      <c r="C954" s="36"/>
      <c r="D954" s="50"/>
      <c r="E954" s="54"/>
      <c r="F954" s="54"/>
      <c r="G954" s="54"/>
      <c r="H954" s="54"/>
    </row>
    <row r="955">
      <c r="A955" s="54"/>
      <c r="B955" s="36"/>
      <c r="C955" s="36"/>
      <c r="D955" s="50"/>
      <c r="E955" s="54"/>
      <c r="F955" s="54"/>
      <c r="G955" s="54"/>
      <c r="H955" s="54"/>
    </row>
    <row r="956">
      <c r="A956" s="54"/>
      <c r="B956" s="36"/>
      <c r="C956" s="36"/>
      <c r="D956" s="50"/>
      <c r="E956" s="54"/>
      <c r="F956" s="54"/>
      <c r="G956" s="54"/>
      <c r="H956" s="54"/>
    </row>
    <row r="957">
      <c r="A957" s="54"/>
      <c r="B957" s="36"/>
      <c r="C957" s="36"/>
      <c r="D957" s="50"/>
      <c r="E957" s="54"/>
      <c r="F957" s="54"/>
      <c r="G957" s="54"/>
      <c r="H957" s="54"/>
    </row>
    <row r="958">
      <c r="A958" s="54"/>
      <c r="B958" s="36"/>
      <c r="C958" s="36"/>
      <c r="D958" s="50"/>
      <c r="E958" s="54"/>
      <c r="F958" s="54"/>
      <c r="G958" s="54"/>
      <c r="H958" s="54"/>
    </row>
    <row r="959">
      <c r="A959" s="54"/>
      <c r="B959" s="36"/>
      <c r="C959" s="36"/>
      <c r="D959" s="50"/>
      <c r="E959" s="54"/>
      <c r="F959" s="54"/>
      <c r="G959" s="54"/>
      <c r="H959" s="54"/>
    </row>
    <row r="960">
      <c r="A960" s="54"/>
      <c r="B960" s="36"/>
      <c r="C960" s="36"/>
      <c r="D960" s="50"/>
      <c r="E960" s="54"/>
      <c r="F960" s="54"/>
      <c r="G960" s="54"/>
      <c r="H960" s="54"/>
    </row>
    <row r="961">
      <c r="A961" s="54"/>
      <c r="B961" s="36"/>
      <c r="C961" s="36"/>
      <c r="D961" s="50"/>
      <c r="E961" s="54"/>
      <c r="F961" s="54"/>
      <c r="G961" s="54"/>
      <c r="H961" s="54"/>
    </row>
    <row r="962">
      <c r="A962" s="54"/>
      <c r="B962" s="36"/>
      <c r="C962" s="36"/>
      <c r="D962" s="50"/>
      <c r="E962" s="54"/>
      <c r="F962" s="54"/>
      <c r="G962" s="54"/>
      <c r="H962" s="54"/>
    </row>
    <row r="963">
      <c r="A963" s="54"/>
      <c r="B963" s="36"/>
      <c r="C963" s="36"/>
      <c r="D963" s="50"/>
      <c r="E963" s="54"/>
      <c r="F963" s="54"/>
      <c r="G963" s="54"/>
      <c r="H963" s="54"/>
    </row>
    <row r="964">
      <c r="A964" s="54"/>
      <c r="B964" s="36"/>
      <c r="C964" s="36"/>
      <c r="D964" s="50"/>
      <c r="E964" s="54"/>
      <c r="F964" s="54"/>
      <c r="G964" s="54"/>
      <c r="H964" s="54"/>
    </row>
    <row r="965">
      <c r="A965" s="54"/>
      <c r="B965" s="36"/>
      <c r="C965" s="36"/>
      <c r="D965" s="50"/>
      <c r="E965" s="54"/>
      <c r="F965" s="54"/>
      <c r="G965" s="54"/>
      <c r="H965" s="54"/>
    </row>
    <row r="966">
      <c r="A966" s="54"/>
      <c r="B966" s="36"/>
      <c r="C966" s="36"/>
      <c r="D966" s="50"/>
      <c r="E966" s="54"/>
      <c r="F966" s="54"/>
      <c r="G966" s="54"/>
      <c r="H966" s="54"/>
    </row>
    <row r="967">
      <c r="A967" s="54"/>
      <c r="B967" s="36"/>
      <c r="C967" s="36"/>
      <c r="D967" s="50"/>
      <c r="E967" s="54"/>
      <c r="F967" s="54"/>
      <c r="G967" s="54"/>
      <c r="H967" s="54"/>
    </row>
    <row r="968">
      <c r="A968" s="54"/>
      <c r="B968" s="36"/>
      <c r="C968" s="36"/>
      <c r="D968" s="50"/>
      <c r="E968" s="54"/>
      <c r="F968" s="54"/>
      <c r="G968" s="54"/>
      <c r="H968" s="54"/>
    </row>
    <row r="969">
      <c r="A969" s="54"/>
      <c r="B969" s="36"/>
      <c r="C969" s="36"/>
      <c r="D969" s="50"/>
      <c r="E969" s="54"/>
      <c r="F969" s="54"/>
      <c r="G969" s="54"/>
      <c r="H969" s="54"/>
    </row>
    <row r="970">
      <c r="A970" s="54"/>
      <c r="B970" s="36"/>
      <c r="C970" s="36"/>
      <c r="D970" s="50"/>
      <c r="E970" s="54"/>
      <c r="F970" s="54"/>
      <c r="G970" s="54"/>
      <c r="H970" s="54"/>
    </row>
    <row r="971">
      <c r="A971" s="54"/>
      <c r="B971" s="36"/>
      <c r="C971" s="36"/>
      <c r="D971" s="50"/>
      <c r="E971" s="54"/>
      <c r="F971" s="54"/>
      <c r="G971" s="54"/>
      <c r="H971" s="54"/>
    </row>
    <row r="972">
      <c r="A972" s="54"/>
      <c r="B972" s="36"/>
      <c r="C972" s="36"/>
      <c r="D972" s="50"/>
      <c r="E972" s="54"/>
      <c r="F972" s="54"/>
      <c r="G972" s="54"/>
      <c r="H972" s="54"/>
    </row>
    <row r="973">
      <c r="A973" s="54"/>
      <c r="B973" s="36"/>
      <c r="C973" s="36"/>
      <c r="D973" s="50"/>
      <c r="E973" s="54"/>
      <c r="F973" s="54"/>
      <c r="G973" s="54"/>
      <c r="H973" s="54"/>
    </row>
    <row r="974">
      <c r="A974" s="54"/>
      <c r="B974" s="36"/>
      <c r="C974" s="36"/>
      <c r="D974" s="50"/>
      <c r="E974" s="54"/>
      <c r="F974" s="54"/>
      <c r="G974" s="54"/>
      <c r="H974" s="54"/>
    </row>
    <row r="975">
      <c r="A975" s="54"/>
      <c r="B975" s="36"/>
      <c r="C975" s="36"/>
      <c r="D975" s="50"/>
      <c r="E975" s="54"/>
      <c r="F975" s="54"/>
      <c r="G975" s="54"/>
      <c r="H975" s="54"/>
    </row>
    <row r="976">
      <c r="A976" s="54"/>
      <c r="B976" s="36"/>
      <c r="C976" s="36"/>
      <c r="D976" s="50"/>
      <c r="E976" s="54"/>
      <c r="F976" s="54"/>
      <c r="G976" s="54"/>
      <c r="H976" s="54"/>
    </row>
    <row r="977">
      <c r="A977" s="54"/>
      <c r="B977" s="36"/>
      <c r="C977" s="36"/>
      <c r="D977" s="50"/>
      <c r="E977" s="54"/>
      <c r="F977" s="54"/>
      <c r="G977" s="54"/>
      <c r="H977" s="54"/>
    </row>
    <row r="978">
      <c r="A978" s="54"/>
      <c r="B978" s="36"/>
      <c r="C978" s="36"/>
      <c r="D978" s="50"/>
      <c r="E978" s="54"/>
      <c r="F978" s="54"/>
      <c r="G978" s="54"/>
      <c r="H978" s="54"/>
    </row>
    <row r="979">
      <c r="A979" s="54"/>
      <c r="B979" s="36"/>
      <c r="C979" s="36"/>
      <c r="D979" s="50"/>
      <c r="E979" s="54"/>
      <c r="F979" s="54"/>
      <c r="G979" s="54"/>
      <c r="H979" s="54"/>
    </row>
    <row r="980">
      <c r="A980" s="54"/>
      <c r="B980" s="36"/>
      <c r="C980" s="36"/>
      <c r="D980" s="50"/>
      <c r="E980" s="54"/>
      <c r="F980" s="54"/>
      <c r="G980" s="54"/>
      <c r="H980" s="54"/>
    </row>
    <row r="981">
      <c r="A981" s="54"/>
      <c r="B981" s="36"/>
      <c r="C981" s="36"/>
      <c r="D981" s="50"/>
      <c r="E981" s="54"/>
      <c r="F981" s="54"/>
      <c r="G981" s="54"/>
      <c r="H981" s="54"/>
    </row>
    <row r="982">
      <c r="A982" s="54"/>
      <c r="B982" s="36"/>
      <c r="C982" s="36"/>
      <c r="D982" s="50"/>
      <c r="E982" s="54"/>
      <c r="F982" s="54"/>
      <c r="G982" s="54"/>
      <c r="H982" s="54"/>
    </row>
    <row r="983">
      <c r="A983" s="54"/>
      <c r="B983" s="36"/>
      <c r="C983" s="36"/>
      <c r="D983" s="50"/>
      <c r="E983" s="54"/>
      <c r="F983" s="54"/>
      <c r="G983" s="54"/>
      <c r="H983" s="54"/>
    </row>
    <row r="984">
      <c r="A984" s="54"/>
      <c r="B984" s="36"/>
      <c r="C984" s="36"/>
      <c r="D984" s="50"/>
      <c r="E984" s="54"/>
      <c r="F984" s="54"/>
      <c r="G984" s="54"/>
      <c r="H984" s="54"/>
    </row>
    <row r="985">
      <c r="A985" s="54"/>
      <c r="B985" s="36"/>
      <c r="C985" s="36"/>
      <c r="D985" s="50"/>
      <c r="E985" s="54"/>
      <c r="F985" s="54"/>
      <c r="G985" s="54"/>
      <c r="H985" s="54"/>
    </row>
    <row r="986">
      <c r="A986" s="54"/>
      <c r="B986" s="36"/>
      <c r="C986" s="36"/>
      <c r="D986" s="50"/>
      <c r="E986" s="54"/>
      <c r="F986" s="54"/>
      <c r="G986" s="54"/>
      <c r="H986" s="54"/>
    </row>
    <row r="987">
      <c r="A987" s="54"/>
      <c r="B987" s="36"/>
      <c r="C987" s="36"/>
      <c r="D987" s="50"/>
      <c r="E987" s="54"/>
      <c r="F987" s="54"/>
      <c r="G987" s="54"/>
      <c r="H987" s="54"/>
    </row>
    <row r="988">
      <c r="A988" s="54"/>
      <c r="B988" s="36"/>
      <c r="C988" s="36"/>
      <c r="D988" s="50"/>
      <c r="E988" s="54"/>
      <c r="F988" s="54"/>
      <c r="G988" s="54"/>
      <c r="H988" s="54"/>
    </row>
    <row r="989">
      <c r="A989" s="54"/>
      <c r="B989" s="36"/>
      <c r="C989" s="36"/>
      <c r="D989" s="50"/>
      <c r="E989" s="54"/>
      <c r="F989" s="54"/>
      <c r="G989" s="54"/>
      <c r="H989" s="54"/>
    </row>
    <row r="990">
      <c r="A990" s="54"/>
      <c r="B990" s="36"/>
      <c r="C990" s="36"/>
      <c r="D990" s="50"/>
      <c r="E990" s="54"/>
      <c r="F990" s="54"/>
      <c r="G990" s="54"/>
      <c r="H990" s="54"/>
    </row>
    <row r="991">
      <c r="A991" s="54"/>
      <c r="B991" s="36"/>
      <c r="C991" s="36"/>
      <c r="D991" s="50"/>
      <c r="E991" s="54"/>
      <c r="F991" s="54"/>
      <c r="G991" s="54"/>
      <c r="H991" s="54"/>
    </row>
    <row r="992">
      <c r="A992" s="54"/>
      <c r="B992" s="36"/>
      <c r="C992" s="36"/>
      <c r="D992" s="50"/>
      <c r="E992" s="54"/>
      <c r="F992" s="54"/>
      <c r="G992" s="54"/>
      <c r="H992" s="54"/>
    </row>
    <row r="993">
      <c r="A993" s="54"/>
      <c r="B993" s="36"/>
      <c r="C993" s="36"/>
      <c r="D993" s="50"/>
      <c r="E993" s="54"/>
      <c r="F993" s="54"/>
      <c r="G993" s="54"/>
      <c r="H993" s="54"/>
    </row>
    <row r="994">
      <c r="A994" s="54"/>
      <c r="B994" s="36"/>
      <c r="C994" s="36"/>
      <c r="D994" s="50"/>
      <c r="E994" s="54"/>
      <c r="F994" s="54"/>
      <c r="G994" s="54"/>
      <c r="H994" s="54"/>
    </row>
    <row r="995">
      <c r="A995" s="54"/>
      <c r="B995" s="36"/>
      <c r="C995" s="36"/>
      <c r="D995" s="50"/>
      <c r="E995" s="54"/>
      <c r="F995" s="54"/>
      <c r="G995" s="54"/>
      <c r="H995" s="54"/>
    </row>
    <row r="996">
      <c r="A996" s="54"/>
      <c r="B996" s="36"/>
      <c r="C996" s="36"/>
      <c r="D996" s="50"/>
      <c r="E996" s="54"/>
      <c r="F996" s="54"/>
      <c r="G996" s="54"/>
      <c r="H996" s="54"/>
    </row>
    <row r="997">
      <c r="A997" s="54"/>
      <c r="B997" s="36"/>
      <c r="C997" s="36"/>
      <c r="D997" s="50"/>
      <c r="E997" s="54"/>
      <c r="F997" s="54"/>
      <c r="G997" s="54"/>
      <c r="H997" s="54"/>
    </row>
    <row r="998">
      <c r="A998" s="54"/>
      <c r="B998" s="36"/>
      <c r="C998" s="36"/>
      <c r="D998" s="50"/>
      <c r="E998" s="54"/>
      <c r="F998" s="54"/>
      <c r="G998" s="54"/>
      <c r="H998" s="54"/>
    </row>
    <row r="999">
      <c r="A999" s="54"/>
      <c r="B999" s="36"/>
      <c r="C999" s="36"/>
      <c r="D999" s="50"/>
      <c r="E999" s="54"/>
      <c r="F999" s="54"/>
      <c r="G999" s="54"/>
      <c r="H999" s="54"/>
    </row>
  </sheetData>
  <autoFilter ref="$A$1:$J$81"/>
  <dataValidations>
    <dataValidation type="list" allowBlank="1" showErrorMessage="1" sqref="J2:J81">
      <formula1>"Trend Analysis ,Gap Detection,Evidence-based QA,Comparative Synthesis"</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49.0"/>
    <col customWidth="1" min="6" max="6" width="23.88"/>
    <col customWidth="1" min="7" max="7" width="36.38"/>
    <col customWidth="1" min="8" max="8" width="21.38"/>
    <col customWidth="1" min="9" max="9" width="67.0"/>
    <col customWidth="1" min="10" max="10" width="115.63"/>
  </cols>
  <sheetData>
    <row r="1">
      <c r="A1" s="41" t="s">
        <v>41</v>
      </c>
      <c r="B1" s="41" t="s">
        <v>42</v>
      </c>
      <c r="C1" s="41" t="s">
        <v>43</v>
      </c>
      <c r="D1" s="41" t="s">
        <v>44</v>
      </c>
      <c r="E1" s="32" t="s">
        <v>3</v>
      </c>
      <c r="F1" s="32" t="s">
        <v>4</v>
      </c>
      <c r="G1" s="32" t="s">
        <v>5</v>
      </c>
      <c r="H1" s="32" t="s">
        <v>6</v>
      </c>
      <c r="I1" s="41" t="s">
        <v>45</v>
      </c>
      <c r="J1" s="19" t="s">
        <v>1406</v>
      </c>
    </row>
    <row r="2" hidden="1">
      <c r="A2" s="43">
        <v>1.0</v>
      </c>
      <c r="B2" s="19" t="s">
        <v>46</v>
      </c>
      <c r="C2" s="19" t="s">
        <v>1085</v>
      </c>
      <c r="D2" s="19" t="s">
        <v>1086</v>
      </c>
      <c r="E2" s="43">
        <v>1.0</v>
      </c>
      <c r="F2" s="43">
        <v>0.989</v>
      </c>
      <c r="G2" s="43">
        <v>1.0</v>
      </c>
      <c r="H2" s="43">
        <v>1.0</v>
      </c>
      <c r="I2" s="44" t="str">
        <f>IMAGE("https://drive.google.com/uc?export=view&amp;id=1rXwc2KepCQHjbo_S0oa9EO3cMlFopCQ-")</f>
        <v/>
      </c>
      <c r="J2" s="19" t="s">
        <v>14</v>
      </c>
    </row>
    <row r="3">
      <c r="A3" s="43">
        <v>2.0</v>
      </c>
      <c r="B3" s="19" t="s">
        <v>49</v>
      </c>
      <c r="C3" s="19" t="s">
        <v>1087</v>
      </c>
      <c r="D3" s="19" t="s">
        <v>1088</v>
      </c>
      <c r="E3" s="43">
        <v>0.111</v>
      </c>
      <c r="F3" s="43">
        <v>1.0</v>
      </c>
      <c r="G3" s="43">
        <v>0.5</v>
      </c>
      <c r="H3" s="43">
        <v>0.5</v>
      </c>
      <c r="I3" s="44" t="str">
        <f>IMAGE("https://drive.google.com/uc?export=view&amp;id=1TGXOcLD6XH8Qr5U6MnlCVL7jSDwBRZEm")</f>
        <v/>
      </c>
      <c r="J3" s="19" t="s">
        <v>14</v>
      </c>
    </row>
    <row r="4">
      <c r="A4" s="43">
        <v>3.0</v>
      </c>
      <c r="B4" s="19" t="s">
        <v>52</v>
      </c>
      <c r="C4" s="19" t="s">
        <v>1089</v>
      </c>
      <c r="D4" s="19" t="s">
        <v>1090</v>
      </c>
      <c r="E4" s="43">
        <v>0.529</v>
      </c>
      <c r="F4" s="43">
        <v>0.844</v>
      </c>
      <c r="G4" s="43">
        <v>1.0</v>
      </c>
      <c r="H4" s="43">
        <v>0.4</v>
      </c>
      <c r="I4" s="44" t="str">
        <f>IMAGE("https://drive.google.com/uc?export=view&amp;id=1sL7sve1ukprGuMZLpFuo0oQTWJ_rggtV")</f>
        <v/>
      </c>
      <c r="J4" s="19" t="s">
        <v>14</v>
      </c>
    </row>
    <row r="5" hidden="1">
      <c r="A5" s="43">
        <v>4.0</v>
      </c>
      <c r="B5" s="19" t="s">
        <v>55</v>
      </c>
      <c r="C5" s="19" t="s">
        <v>1091</v>
      </c>
      <c r="D5" s="19" t="s">
        <v>1092</v>
      </c>
      <c r="E5" s="43">
        <v>0.438</v>
      </c>
      <c r="F5" s="43">
        <v>1.0</v>
      </c>
      <c r="G5" s="43">
        <v>1.0</v>
      </c>
      <c r="H5" s="43">
        <v>1.0</v>
      </c>
      <c r="I5" s="44" t="str">
        <f>IMAGE("https://drive.google.com/uc?export=view&amp;id=1q_3r6AZ5xgnq6x-ISS7APw5SrJbNCqZ6")</f>
        <v/>
      </c>
      <c r="J5" s="19" t="s">
        <v>14</v>
      </c>
    </row>
    <row r="6" hidden="1">
      <c r="A6" s="43">
        <v>5.0</v>
      </c>
      <c r="B6" s="19" t="s">
        <v>58</v>
      </c>
      <c r="C6" s="19" t="s">
        <v>1093</v>
      </c>
      <c r="D6" s="19" t="s">
        <v>1094</v>
      </c>
      <c r="E6" s="43">
        <v>1.0</v>
      </c>
      <c r="F6" s="43">
        <v>0.876</v>
      </c>
      <c r="G6" s="43">
        <v>1.0</v>
      </c>
      <c r="H6" s="43">
        <v>0.857</v>
      </c>
      <c r="I6" s="44" t="str">
        <f>IMAGE("https://drive.google.com/uc?export=view&amp;id=1z3_cwm3CEfL8KRUUUoSYdcStzl_0vjYh")</f>
        <v/>
      </c>
      <c r="J6" s="19" t="s">
        <v>14</v>
      </c>
    </row>
    <row r="7" hidden="1">
      <c r="A7" s="43">
        <v>6.0</v>
      </c>
      <c r="B7" s="19" t="s">
        <v>64</v>
      </c>
      <c r="C7" s="19" t="s">
        <v>1095</v>
      </c>
      <c r="D7" s="19" t="s">
        <v>1096</v>
      </c>
      <c r="E7" s="43">
        <v>1.0</v>
      </c>
      <c r="F7" s="43">
        <v>0.474</v>
      </c>
      <c r="G7" s="43">
        <v>1.0</v>
      </c>
      <c r="H7" s="43">
        <v>0.857</v>
      </c>
      <c r="I7" s="44" t="str">
        <f>IMAGE("https://drive.google.com/uc?export=view&amp;id=1y51faqzdwFIofLNoTIXrYGdRsxQcB1ZX")</f>
        <v/>
      </c>
      <c r="J7" s="19" t="s">
        <v>14</v>
      </c>
    </row>
    <row r="8" hidden="1">
      <c r="A8" s="43">
        <v>7.0</v>
      </c>
      <c r="B8" s="19" t="s">
        <v>67</v>
      </c>
      <c r="C8" s="19" t="s">
        <v>1097</v>
      </c>
      <c r="D8" s="19" t="s">
        <v>1098</v>
      </c>
      <c r="E8" s="43">
        <v>0.25</v>
      </c>
      <c r="F8" s="43">
        <v>0.891</v>
      </c>
      <c r="G8" s="43">
        <v>1.0</v>
      </c>
      <c r="H8" s="43">
        <v>1.0</v>
      </c>
      <c r="I8" s="44" t="str">
        <f>IMAGE("https://drive.google.com/uc?export=view&amp;id=1yZmZY5Qa_0FWoIFDEbvi_xM2SkxaCECl")</f>
        <v/>
      </c>
      <c r="J8" s="19" t="s">
        <v>14</v>
      </c>
    </row>
    <row r="9" hidden="1">
      <c r="A9" s="43">
        <v>8.0</v>
      </c>
      <c r="B9" s="19" t="s">
        <v>70</v>
      </c>
      <c r="C9" s="19" t="s">
        <v>1099</v>
      </c>
      <c r="D9" s="19" t="s">
        <v>1100</v>
      </c>
      <c r="E9" s="43">
        <v>0.917</v>
      </c>
      <c r="F9" s="43">
        <v>0.503</v>
      </c>
      <c r="G9" s="43">
        <v>1.0</v>
      </c>
      <c r="H9" s="43">
        <v>0.833</v>
      </c>
      <c r="I9" s="44" t="str">
        <f>IMAGE("https://drive.google.com/uc?export=view&amp;id=17wlvcyFQ5_zKC543hOFLeMOKel3G6NJ_")</f>
        <v/>
      </c>
      <c r="J9" s="19" t="s">
        <v>14</v>
      </c>
    </row>
    <row r="10" hidden="1">
      <c r="A10" s="43">
        <v>9.0</v>
      </c>
      <c r="B10" s="19" t="s">
        <v>73</v>
      </c>
      <c r="C10" s="19" t="s">
        <v>1101</v>
      </c>
      <c r="D10" s="19" t="s">
        <v>1102</v>
      </c>
      <c r="E10" s="43">
        <v>0.905</v>
      </c>
      <c r="F10" s="43">
        <v>0.876</v>
      </c>
      <c r="G10" s="43">
        <v>1.0</v>
      </c>
      <c r="H10" s="43">
        <v>0.556</v>
      </c>
      <c r="I10" s="44" t="str">
        <f>IMAGE("https://drive.google.com/uc?export=view&amp;id=1DZZKFVysrferPzkhtHF6mAaYRMw-926Z")</f>
        <v/>
      </c>
      <c r="J10" s="19" t="s">
        <v>14</v>
      </c>
    </row>
    <row r="11" hidden="1">
      <c r="A11" s="43">
        <v>10.0</v>
      </c>
      <c r="B11" s="19" t="s">
        <v>76</v>
      </c>
      <c r="C11" s="19" t="s">
        <v>1103</v>
      </c>
      <c r="D11" s="19" t="s">
        <v>1104</v>
      </c>
      <c r="E11" s="43">
        <v>1.0</v>
      </c>
      <c r="F11" s="43">
        <v>0.682</v>
      </c>
      <c r="G11" s="43">
        <v>1.0</v>
      </c>
      <c r="H11" s="43">
        <v>1.0</v>
      </c>
      <c r="I11" s="44" t="str">
        <f>IMAGE("https://drive.google.com/uc?export=view&amp;id=1b7sm1db3_4GcvfeBEV7cmONz_N8RxPS6")</f>
        <v/>
      </c>
      <c r="J11" s="19" t="s">
        <v>14</v>
      </c>
    </row>
    <row r="12" hidden="1">
      <c r="A12" s="43">
        <v>11.0</v>
      </c>
      <c r="B12" s="19" t="s">
        <v>79</v>
      </c>
      <c r="C12" s="19" t="s">
        <v>1105</v>
      </c>
      <c r="D12" s="19" t="s">
        <v>1106</v>
      </c>
      <c r="E12" s="43">
        <v>0.692</v>
      </c>
      <c r="F12" s="43">
        <v>1.0</v>
      </c>
      <c r="G12" s="43">
        <v>1.0</v>
      </c>
      <c r="H12" s="43">
        <v>0.8</v>
      </c>
      <c r="I12" s="44" t="str">
        <f>IMAGE("https://drive.google.com/uc?export=view&amp;id=18XTA5FfCatJ-pcc4DwnkBxrqVgkK8p9j")</f>
        <v/>
      </c>
      <c r="J12" s="19" t="s">
        <v>14</v>
      </c>
    </row>
    <row r="13" hidden="1">
      <c r="A13" s="43">
        <v>12.0</v>
      </c>
      <c r="B13" s="19" t="s">
        <v>82</v>
      </c>
      <c r="C13" s="19" t="s">
        <v>1107</v>
      </c>
      <c r="D13" s="19" t="s">
        <v>1108</v>
      </c>
      <c r="E13" s="43">
        <v>1.0</v>
      </c>
      <c r="F13" s="43">
        <v>0.811</v>
      </c>
      <c r="G13" s="43">
        <v>1.0</v>
      </c>
      <c r="H13" s="43">
        <v>1.0</v>
      </c>
      <c r="I13" s="44" t="str">
        <f>IMAGE("https://drive.google.com/uc?export=view&amp;id=1URGr56kOeOvhZa9QM-ihA8s6Q9J9Li30")</f>
        <v/>
      </c>
      <c r="J13" s="19" t="s">
        <v>14</v>
      </c>
    </row>
    <row r="14">
      <c r="A14" s="43">
        <v>13.0</v>
      </c>
      <c r="B14" s="19" t="s">
        <v>85</v>
      </c>
      <c r="C14" s="19" t="s">
        <v>1109</v>
      </c>
      <c r="D14" s="19" t="s">
        <v>1110</v>
      </c>
      <c r="E14" s="43">
        <v>0.273</v>
      </c>
      <c r="F14" s="43">
        <v>0.985</v>
      </c>
      <c r="G14" s="43">
        <v>0.333</v>
      </c>
      <c r="H14" s="43">
        <v>0.0</v>
      </c>
      <c r="I14" s="44" t="str">
        <f>IMAGE("https://drive.google.com/uc?export=view&amp;id=194SVOoGDuv-GBFOf1ZF5MoxucsFyTYOt")</f>
        <v/>
      </c>
      <c r="J14" s="19" t="s">
        <v>14</v>
      </c>
    </row>
    <row r="15" hidden="1">
      <c r="A15" s="43">
        <v>14.0</v>
      </c>
      <c r="B15" s="19" t="s">
        <v>88</v>
      </c>
      <c r="C15" s="19" t="s">
        <v>1111</v>
      </c>
      <c r="D15" s="19" t="s">
        <v>1112</v>
      </c>
      <c r="E15" s="43">
        <v>0.611</v>
      </c>
      <c r="F15" s="43">
        <v>0.807</v>
      </c>
      <c r="G15" s="43">
        <v>1.0</v>
      </c>
      <c r="H15" s="43">
        <v>1.0</v>
      </c>
      <c r="I15" s="44" t="str">
        <f>IMAGE("https://drive.google.com/uc?export=view&amp;id=1OZlvisRPkp8HBDJFCMvV7rR99x8ljFRU")</f>
        <v/>
      </c>
      <c r="J15" s="19" t="s">
        <v>14</v>
      </c>
    </row>
    <row r="16" hidden="1">
      <c r="A16" s="43">
        <v>15.0</v>
      </c>
      <c r="B16" s="19" t="s">
        <v>91</v>
      </c>
      <c r="C16" s="19" t="s">
        <v>1113</v>
      </c>
      <c r="D16" s="19" t="s">
        <v>1114</v>
      </c>
      <c r="E16" s="43">
        <v>0.333</v>
      </c>
      <c r="F16" s="43">
        <v>0.997</v>
      </c>
      <c r="G16" s="43">
        <v>1.0</v>
      </c>
      <c r="H16" s="43">
        <v>1.0</v>
      </c>
      <c r="I16" s="44" t="str">
        <f>IMAGE("https://drive.google.com/uc?export=view&amp;id=1YJzsA2LwSrMCiI_WnGoDCA-wQehRzjBn")</f>
        <v/>
      </c>
      <c r="J16" s="19" t="s">
        <v>14</v>
      </c>
    </row>
    <row r="17" hidden="1">
      <c r="A17" s="43">
        <v>16.0</v>
      </c>
      <c r="B17" s="19" t="s">
        <v>94</v>
      </c>
      <c r="C17" s="19" t="s">
        <v>1115</v>
      </c>
      <c r="D17" s="19" t="s">
        <v>1116</v>
      </c>
      <c r="E17" s="43">
        <v>0.474</v>
      </c>
      <c r="F17" s="43">
        <v>0.889</v>
      </c>
      <c r="G17" s="43">
        <v>1.0</v>
      </c>
      <c r="H17" s="43">
        <v>0.8</v>
      </c>
      <c r="I17" s="44" t="str">
        <f>IMAGE("https://drive.google.com/uc?export=view&amp;id=1_qJu3lMjLrNg-57tqf6z8X324k4bX3Xt")</f>
        <v/>
      </c>
      <c r="J17" s="19" t="s">
        <v>14</v>
      </c>
    </row>
    <row r="18" hidden="1">
      <c r="A18" s="43">
        <v>17.0</v>
      </c>
      <c r="B18" s="19" t="s">
        <v>61</v>
      </c>
      <c r="C18" s="19" t="s">
        <v>1117</v>
      </c>
      <c r="D18" s="19" t="s">
        <v>1118</v>
      </c>
      <c r="E18" s="43">
        <v>0.667</v>
      </c>
      <c r="F18" s="43">
        <v>0.998</v>
      </c>
      <c r="G18" s="43">
        <v>1.0</v>
      </c>
      <c r="H18" s="43">
        <v>0.8</v>
      </c>
      <c r="I18" s="44" t="str">
        <f>IMAGE("https://drive.google.com/uc?export=view&amp;id=19CPrkesLCRzuGSboch7PMg4lya6UhfT7")</f>
        <v/>
      </c>
      <c r="J18" s="19" t="s">
        <v>14</v>
      </c>
    </row>
    <row r="19" hidden="1">
      <c r="A19" s="43">
        <v>18.0</v>
      </c>
      <c r="B19" s="19" t="s">
        <v>97</v>
      </c>
      <c r="C19" s="19" t="s">
        <v>1119</v>
      </c>
      <c r="D19" s="19" t="s">
        <v>1120</v>
      </c>
      <c r="E19" s="43">
        <v>0.917</v>
      </c>
      <c r="F19" s="43">
        <v>0.851</v>
      </c>
      <c r="G19" s="43">
        <v>1.0</v>
      </c>
      <c r="H19" s="43">
        <v>1.0</v>
      </c>
      <c r="I19" s="44" t="str">
        <f>IMAGE("https://drive.google.com/uc?export=view&amp;id=1NmDk99ntZkIj0Mfeeuwg0VdFntICwU3O")</f>
        <v/>
      </c>
      <c r="J19" s="19" t="s">
        <v>14</v>
      </c>
    </row>
    <row r="20" hidden="1">
      <c r="A20" s="43">
        <v>19.0</v>
      </c>
      <c r="B20" s="19" t="s">
        <v>100</v>
      </c>
      <c r="C20" s="19" t="s">
        <v>1121</v>
      </c>
      <c r="D20" s="19" t="s">
        <v>1122</v>
      </c>
      <c r="E20" s="43">
        <v>0.556</v>
      </c>
      <c r="F20" s="43">
        <v>0.962</v>
      </c>
      <c r="G20" s="43">
        <v>1.0</v>
      </c>
      <c r="H20" s="43">
        <v>1.0</v>
      </c>
      <c r="I20" s="44" t="str">
        <f>IMAGE("https://drive.google.com/uc?export=view&amp;id=1AbKrb-jE5fOIJfHZmbMbTOP6O-kotcpk")</f>
        <v/>
      </c>
      <c r="J20" s="19" t="s">
        <v>14</v>
      </c>
    </row>
    <row r="21" hidden="1">
      <c r="A21" s="43">
        <v>20.0</v>
      </c>
      <c r="B21" s="19" t="s">
        <v>115</v>
      </c>
      <c r="C21" s="19" t="s">
        <v>1123</v>
      </c>
      <c r="D21" s="19" t="s">
        <v>1124</v>
      </c>
      <c r="E21" s="43">
        <v>0.5</v>
      </c>
      <c r="F21" s="43">
        <v>0.979</v>
      </c>
      <c r="G21" s="43">
        <v>1.0</v>
      </c>
      <c r="H21" s="43">
        <v>1.0</v>
      </c>
      <c r="I21" s="44" t="str">
        <f>IMAGE("https://drive.google.com/uc?export=view&amp;id=1JkfnyBRgI2u4R2pruw-Uy1cZ0bJ2XvQK")</f>
        <v/>
      </c>
      <c r="J21" s="19" t="s">
        <v>14</v>
      </c>
    </row>
    <row r="22" hidden="1">
      <c r="A22" s="43">
        <v>21.0</v>
      </c>
      <c r="B22" s="19" t="s">
        <v>103</v>
      </c>
      <c r="C22" s="19" t="s">
        <v>1125</v>
      </c>
      <c r="D22" s="19" t="s">
        <v>1126</v>
      </c>
      <c r="E22" s="43">
        <v>0.556</v>
      </c>
      <c r="F22" s="43">
        <v>0.814</v>
      </c>
      <c r="G22" s="43">
        <v>1.0</v>
      </c>
      <c r="H22" s="43">
        <v>1.0</v>
      </c>
      <c r="I22" s="44" t="str">
        <f>IMAGE("https://drive.google.com/uc?export=view&amp;id=1hMgzPwBsE7ZOpVVFwxKX4ZLl989OoOYL")</f>
        <v/>
      </c>
      <c r="J22" s="19" t="s">
        <v>15</v>
      </c>
    </row>
    <row r="23" hidden="1">
      <c r="A23" s="43">
        <v>22.0</v>
      </c>
      <c r="B23" s="19" t="s">
        <v>106</v>
      </c>
      <c r="C23" s="19" t="s">
        <v>1127</v>
      </c>
      <c r="D23" s="19" t="s">
        <v>1128</v>
      </c>
      <c r="E23" s="43">
        <v>0.444</v>
      </c>
      <c r="F23" s="43">
        <v>0.0</v>
      </c>
      <c r="G23" s="43">
        <v>0.0</v>
      </c>
      <c r="H23" s="43">
        <v>0.667</v>
      </c>
      <c r="I23" s="44" t="str">
        <f>IMAGE("https://drive.google.com/uc?export=view&amp;id=1eH0fE7w-5Jucww9xPf1pb0nBUqAdLuDy")</f>
        <v/>
      </c>
      <c r="J23" s="19" t="s">
        <v>15</v>
      </c>
    </row>
    <row r="24" hidden="1">
      <c r="A24" s="43">
        <v>23.0</v>
      </c>
      <c r="B24" s="19" t="s">
        <v>109</v>
      </c>
      <c r="C24" s="19" t="s">
        <v>1129</v>
      </c>
      <c r="D24" s="19" t="s">
        <v>1130</v>
      </c>
      <c r="E24" s="43">
        <v>0.467</v>
      </c>
      <c r="F24" s="43">
        <v>0.0</v>
      </c>
      <c r="G24" s="43">
        <v>1.0</v>
      </c>
      <c r="H24" s="43">
        <v>0.8</v>
      </c>
      <c r="I24" s="44" t="str">
        <f>IMAGE("https://drive.google.com/uc?export=view&amp;id=193xsr14xWG8iVl6l4e0n21_GomTSNEXx")</f>
        <v/>
      </c>
      <c r="J24" s="19" t="s">
        <v>15</v>
      </c>
    </row>
    <row r="25" hidden="1">
      <c r="A25" s="43">
        <v>24.0</v>
      </c>
      <c r="B25" s="19" t="s">
        <v>112</v>
      </c>
      <c r="C25" s="19" t="s">
        <v>1131</v>
      </c>
      <c r="D25" s="19" t="s">
        <v>1132</v>
      </c>
      <c r="E25" s="43">
        <v>0.667</v>
      </c>
      <c r="F25" s="43">
        <v>0.987</v>
      </c>
      <c r="G25" s="43">
        <v>1.0</v>
      </c>
      <c r="H25" s="43">
        <v>1.0</v>
      </c>
      <c r="I25" s="44" t="str">
        <f>IMAGE("https://drive.google.com/uc?export=view&amp;id=1eNBYkyhXxUZM2FFHP31gPQo_4BwB540x")</f>
        <v/>
      </c>
      <c r="J25" s="19" t="s">
        <v>15</v>
      </c>
    </row>
    <row r="26">
      <c r="A26" s="43">
        <v>25.0</v>
      </c>
      <c r="B26" s="19" t="s">
        <v>118</v>
      </c>
      <c r="C26" s="19" t="s">
        <v>1133</v>
      </c>
      <c r="D26" s="19" t="s">
        <v>1134</v>
      </c>
      <c r="E26" s="43">
        <v>0.75</v>
      </c>
      <c r="F26" s="43">
        <v>0.0</v>
      </c>
      <c r="G26" s="43">
        <v>0.0</v>
      </c>
      <c r="H26" s="43">
        <v>0.333</v>
      </c>
      <c r="I26" s="44" t="str">
        <f>IMAGE("https://drive.google.com/uc?export=view&amp;id=1RTSzKpQfGhCnOWPNWuq8U50kxs4uLEcB")</f>
        <v/>
      </c>
      <c r="J26" s="19" t="s">
        <v>15</v>
      </c>
    </row>
    <row r="27" hidden="1">
      <c r="A27" s="43">
        <v>26.0</v>
      </c>
      <c r="B27" s="19" t="s">
        <v>121</v>
      </c>
      <c r="C27" s="19" t="s">
        <v>1135</v>
      </c>
      <c r="D27" s="19" t="s">
        <v>1136</v>
      </c>
      <c r="E27" s="43">
        <v>0.25</v>
      </c>
      <c r="F27" s="43">
        <v>0.978</v>
      </c>
      <c r="G27" s="43">
        <v>0.333</v>
      </c>
      <c r="H27" s="43">
        <v>1.0</v>
      </c>
      <c r="I27" s="44" t="str">
        <f>IMAGE("https://drive.google.com/uc?export=view&amp;id=1rASatqW0Z7TKOp_t_4Gzk8xNExbe_sMS")</f>
        <v/>
      </c>
      <c r="J27" s="19" t="s">
        <v>15</v>
      </c>
    </row>
    <row r="28" hidden="1">
      <c r="A28" s="43">
        <v>27.0</v>
      </c>
      <c r="B28" s="19" t="s">
        <v>124</v>
      </c>
      <c r="C28" s="19" t="s">
        <v>1137</v>
      </c>
      <c r="D28" s="19" t="s">
        <v>1138</v>
      </c>
      <c r="E28" s="43">
        <v>0.833</v>
      </c>
      <c r="F28" s="43">
        <v>0.992</v>
      </c>
      <c r="G28" s="43">
        <v>1.0</v>
      </c>
      <c r="H28" s="43">
        <v>1.0</v>
      </c>
      <c r="I28" s="44" t="str">
        <f>IMAGE("https://drive.google.com/uc?export=view&amp;id=1v-KK0lqUP96CLq8QC5GXa8eCzJCPyVUO")</f>
        <v/>
      </c>
      <c r="J28" s="19" t="s">
        <v>15</v>
      </c>
    </row>
    <row r="29" hidden="1">
      <c r="A29" s="43">
        <v>28.0</v>
      </c>
      <c r="B29" s="19" t="s">
        <v>127</v>
      </c>
      <c r="C29" s="19" t="s">
        <v>1139</v>
      </c>
      <c r="D29" s="19" t="s">
        <v>1140</v>
      </c>
      <c r="E29" s="43">
        <v>0.889</v>
      </c>
      <c r="F29" s="43">
        <v>0.919</v>
      </c>
      <c r="G29" s="43">
        <v>0.833</v>
      </c>
      <c r="H29" s="43">
        <v>0.75</v>
      </c>
      <c r="I29" s="44" t="str">
        <f>IMAGE("https://drive.google.com/uc?export=view&amp;id=18t_oVmRMuh6SUwzHF6nBPEhTgheYDVD5")</f>
        <v/>
      </c>
      <c r="J29" s="19" t="s">
        <v>15</v>
      </c>
    </row>
    <row r="30" hidden="1">
      <c r="A30" s="43">
        <v>29.0</v>
      </c>
      <c r="B30" s="19" t="s">
        <v>130</v>
      </c>
      <c r="C30" s="19" t="s">
        <v>1141</v>
      </c>
      <c r="D30" s="19" t="s">
        <v>1142</v>
      </c>
      <c r="E30" s="43">
        <v>0.462</v>
      </c>
      <c r="F30" s="43">
        <v>0.798</v>
      </c>
      <c r="G30" s="43">
        <v>1.0</v>
      </c>
      <c r="H30" s="43">
        <v>0.667</v>
      </c>
      <c r="I30" s="44" t="str">
        <f>IMAGE("https://drive.google.com/uc?export=view&amp;id=1J8WpbbZm8o4qPFRRW64eHjn6MGlWS7-M")</f>
        <v/>
      </c>
      <c r="J30" s="19" t="s">
        <v>15</v>
      </c>
    </row>
    <row r="31">
      <c r="A31" s="43">
        <v>30.0</v>
      </c>
      <c r="B31" s="19" t="s">
        <v>133</v>
      </c>
      <c r="C31" s="19" t="s">
        <v>1143</v>
      </c>
      <c r="D31" s="19" t="s">
        <v>1144</v>
      </c>
      <c r="E31" s="43">
        <v>1.0</v>
      </c>
      <c r="F31" s="43">
        <v>0.973</v>
      </c>
      <c r="G31" s="43">
        <v>1.0</v>
      </c>
      <c r="H31" s="43">
        <v>0.375</v>
      </c>
      <c r="I31" s="44" t="str">
        <f>IMAGE("https://drive.google.com/uc?export=view&amp;id=1j9Z4y3FNSe9YeVlspAOWGLTmKHzzH0sK")</f>
        <v/>
      </c>
      <c r="J31" s="19" t="s">
        <v>15</v>
      </c>
    </row>
    <row r="32" hidden="1">
      <c r="A32" s="43">
        <v>31.0</v>
      </c>
      <c r="B32" s="19" t="s">
        <v>136</v>
      </c>
      <c r="C32" s="19" t="s">
        <v>1145</v>
      </c>
      <c r="D32" s="19" t="s">
        <v>1146</v>
      </c>
      <c r="E32" s="43">
        <v>0.667</v>
      </c>
      <c r="F32" s="43">
        <v>0.802</v>
      </c>
      <c r="G32" s="43">
        <v>1.0</v>
      </c>
      <c r="H32" s="43">
        <v>1.0</v>
      </c>
      <c r="I32" s="44" t="str">
        <f>IMAGE("https://drive.google.com/uc?export=view&amp;id=1YeC_OB6kQHxBgxgx8doeN5ZC2Lttm9YO")</f>
        <v/>
      </c>
      <c r="J32" s="19" t="s">
        <v>15</v>
      </c>
    </row>
    <row r="33" hidden="1">
      <c r="A33" s="43">
        <v>32.0</v>
      </c>
      <c r="B33" s="19" t="s">
        <v>139</v>
      </c>
      <c r="C33" s="19" t="s">
        <v>1147</v>
      </c>
      <c r="D33" s="19" t="s">
        <v>1148</v>
      </c>
      <c r="E33" s="43">
        <v>1.0</v>
      </c>
      <c r="F33" s="43">
        <v>1.0</v>
      </c>
      <c r="G33" s="43">
        <v>1.0</v>
      </c>
      <c r="H33" s="43">
        <v>0.75</v>
      </c>
      <c r="I33" s="44" t="str">
        <f>IMAGE("https://drive.google.com/uc?export=view&amp;id=1GQNNyfruRu2VCzOpDr1IvFJDtw4T9PHg")</f>
        <v/>
      </c>
      <c r="J33" s="19" t="s">
        <v>15</v>
      </c>
    </row>
    <row r="34" hidden="1">
      <c r="A34" s="43">
        <v>33.0</v>
      </c>
      <c r="B34" s="19" t="s">
        <v>142</v>
      </c>
      <c r="C34" s="19" t="s">
        <v>1149</v>
      </c>
      <c r="D34" s="19" t="s">
        <v>1150</v>
      </c>
      <c r="E34" s="43">
        <v>0.929</v>
      </c>
      <c r="F34" s="43">
        <v>0.8</v>
      </c>
      <c r="G34" s="43">
        <v>1.0</v>
      </c>
      <c r="H34" s="43">
        <v>0.8</v>
      </c>
      <c r="I34" s="44" t="str">
        <f>IMAGE("https://drive.google.com/uc?export=view&amp;id=1FL93PorbJE8H6Ybw-S-c8cP5SMxG92db")</f>
        <v/>
      </c>
      <c r="J34" s="19" t="s">
        <v>15</v>
      </c>
    </row>
    <row r="35" hidden="1">
      <c r="A35" s="43">
        <v>34.0</v>
      </c>
      <c r="B35" s="19" t="s">
        <v>145</v>
      </c>
      <c r="C35" s="19" t="s">
        <v>1151</v>
      </c>
      <c r="D35" s="19" t="s">
        <v>1152</v>
      </c>
      <c r="E35" s="43">
        <v>0.882</v>
      </c>
      <c r="F35" s="43">
        <v>0.998</v>
      </c>
      <c r="G35" s="43">
        <v>1.0</v>
      </c>
      <c r="H35" s="43">
        <v>0.75</v>
      </c>
      <c r="I35" s="44" t="str">
        <f>IMAGE("https://drive.google.com/uc?export=view&amp;id=1ZQgARpbK4F9qgVRHWgueetSGjOaO9IfI")</f>
        <v/>
      </c>
      <c r="J35" s="19" t="s">
        <v>15</v>
      </c>
    </row>
    <row r="36" hidden="1">
      <c r="A36" s="43">
        <v>35.0</v>
      </c>
      <c r="B36" s="19" t="s">
        <v>148</v>
      </c>
      <c r="C36" s="19" t="s">
        <v>1153</v>
      </c>
      <c r="D36" s="19" t="s">
        <v>1154</v>
      </c>
      <c r="E36" s="43">
        <v>0.75</v>
      </c>
      <c r="F36" s="43">
        <v>0.762</v>
      </c>
      <c r="G36" s="43">
        <v>1.0</v>
      </c>
      <c r="H36" s="43">
        <v>1.0</v>
      </c>
      <c r="I36" s="44" t="str">
        <f>IMAGE("https://drive.google.com/uc?export=view&amp;id=1NAjR022rVqMKHfQWJD7XSp1YwsgfiAzx")</f>
        <v/>
      </c>
      <c r="J36" s="19" t="s">
        <v>15</v>
      </c>
    </row>
    <row r="37" hidden="1">
      <c r="A37" s="43">
        <v>36.0</v>
      </c>
      <c r="B37" s="19" t="s">
        <v>151</v>
      </c>
      <c r="C37" s="19" t="s">
        <v>1155</v>
      </c>
      <c r="D37" s="19" t="s">
        <v>1156</v>
      </c>
      <c r="E37" s="43">
        <v>1.0</v>
      </c>
      <c r="F37" s="43">
        <v>0.914</v>
      </c>
      <c r="G37" s="43">
        <v>1.0</v>
      </c>
      <c r="H37" s="43">
        <v>0.833</v>
      </c>
      <c r="I37" s="44" t="str">
        <f>IMAGE("https://drive.google.com/uc?export=view&amp;id=1xmGB8gD4kawe5wnWxtrFMBRvhiLELzCr")</f>
        <v/>
      </c>
      <c r="J37" s="19" t="s">
        <v>15</v>
      </c>
    </row>
    <row r="38" hidden="1">
      <c r="A38" s="43">
        <v>37.0</v>
      </c>
      <c r="B38" s="19" t="s">
        <v>154</v>
      </c>
      <c r="C38" s="19" t="s">
        <v>1157</v>
      </c>
      <c r="D38" s="19" t="s">
        <v>1158</v>
      </c>
      <c r="E38" s="43">
        <v>1.0</v>
      </c>
      <c r="F38" s="43">
        <v>0.949</v>
      </c>
      <c r="G38" s="43">
        <v>1.0</v>
      </c>
      <c r="H38" s="43">
        <v>0.833</v>
      </c>
      <c r="I38" s="44" t="str">
        <f>IMAGE("https://drive.google.com/uc?export=view&amp;id=1qA4Femqi2sRBhMuwnyuK_TCqSsVRrTlZ")</f>
        <v/>
      </c>
      <c r="J38" s="19" t="s">
        <v>15</v>
      </c>
    </row>
    <row r="39">
      <c r="A39" s="43">
        <v>38.0</v>
      </c>
      <c r="B39" s="19" t="s">
        <v>157</v>
      </c>
      <c r="C39" s="19" t="s">
        <v>1159</v>
      </c>
      <c r="D39" s="19" t="s">
        <v>1160</v>
      </c>
      <c r="E39" s="43">
        <v>0.333</v>
      </c>
      <c r="F39" s="43">
        <v>0.654</v>
      </c>
      <c r="G39" s="43">
        <v>0.333</v>
      </c>
      <c r="H39" s="43">
        <v>0.5</v>
      </c>
      <c r="I39" s="44" t="str">
        <f>IMAGE("https://drive.google.com/uc?export=view&amp;id=1q1ti9ncOkHJXze6_Uv8NzeMHemBvPKgH")</f>
        <v/>
      </c>
      <c r="J39" s="19" t="s">
        <v>15</v>
      </c>
    </row>
    <row r="40" hidden="1">
      <c r="A40" s="43">
        <v>39.0</v>
      </c>
      <c r="B40" s="19" t="s">
        <v>160</v>
      </c>
      <c r="C40" s="19" t="s">
        <v>1161</v>
      </c>
      <c r="D40" s="19" t="s">
        <v>1162</v>
      </c>
      <c r="E40" s="43">
        <v>0.556</v>
      </c>
      <c r="F40" s="43">
        <v>0.795</v>
      </c>
      <c r="G40" s="43">
        <v>0.583</v>
      </c>
      <c r="H40" s="43">
        <v>0.75</v>
      </c>
      <c r="I40" s="44" t="str">
        <f>IMAGE("https://drive.google.com/uc?export=view&amp;id=1TlMutgO1U-gE4y5KrYAhu3SWCkSgGgJX")</f>
        <v/>
      </c>
      <c r="J40" s="19" t="s">
        <v>15</v>
      </c>
    </row>
    <row r="41" hidden="1">
      <c r="A41" s="43">
        <v>40.0</v>
      </c>
      <c r="B41" s="19" t="s">
        <v>163</v>
      </c>
      <c r="C41" s="19" t="s">
        <v>1163</v>
      </c>
      <c r="D41" s="19" t="s">
        <v>1164</v>
      </c>
      <c r="E41" s="43">
        <v>0.895</v>
      </c>
      <c r="F41" s="43">
        <v>0.665</v>
      </c>
      <c r="G41" s="43">
        <v>1.0</v>
      </c>
      <c r="H41" s="43">
        <v>0.8</v>
      </c>
      <c r="I41" s="44" t="str">
        <f>IMAGE("https://drive.google.com/uc?export=view&amp;id=1gpf5dZcntxXuQRmIGgJHZruffFJNcOZ8")</f>
        <v/>
      </c>
      <c r="J41" s="19" t="s">
        <v>15</v>
      </c>
    </row>
    <row r="42" hidden="1">
      <c r="A42" s="43">
        <v>41.0</v>
      </c>
      <c r="B42" s="19" t="s">
        <v>166</v>
      </c>
      <c r="C42" s="19" t="s">
        <v>1165</v>
      </c>
      <c r="D42" s="19" t="s">
        <v>1166</v>
      </c>
      <c r="E42" s="43">
        <v>0.154</v>
      </c>
      <c r="F42" s="43">
        <v>1.0</v>
      </c>
      <c r="G42" s="43">
        <v>1.0</v>
      </c>
      <c r="H42" s="43">
        <v>0.667</v>
      </c>
      <c r="I42" s="44" t="str">
        <f>IMAGE("https://drive.google.com/uc?export=view&amp;id=1h6PBG9q7iUSC8C3H001y4kWH3Vk3EhN6")</f>
        <v/>
      </c>
      <c r="J42" s="19" t="s">
        <v>16</v>
      </c>
    </row>
    <row r="43" hidden="1">
      <c r="A43" s="43">
        <v>42.0</v>
      </c>
      <c r="B43" s="19" t="s">
        <v>169</v>
      </c>
      <c r="C43" s="19" t="s">
        <v>1167</v>
      </c>
      <c r="D43" s="19" t="s">
        <v>1168</v>
      </c>
      <c r="E43" s="43">
        <v>0.55</v>
      </c>
      <c r="F43" s="43">
        <v>0.875</v>
      </c>
      <c r="G43" s="43">
        <v>0.333</v>
      </c>
      <c r="H43" s="43">
        <v>0.857</v>
      </c>
      <c r="I43" s="44" t="str">
        <f>IMAGE("https://drive.google.com/uc?export=view&amp;id=10PmKpYMi_Zu_b7d5domaaXZkPEfEu7J0")</f>
        <v/>
      </c>
      <c r="J43" s="19" t="s">
        <v>16</v>
      </c>
    </row>
    <row r="44">
      <c r="A44" s="43">
        <v>43.0</v>
      </c>
      <c r="B44" s="19" t="s">
        <v>172</v>
      </c>
      <c r="C44" s="19" t="s">
        <v>1169</v>
      </c>
      <c r="D44" s="19" t="s">
        <v>1170</v>
      </c>
      <c r="E44" s="43">
        <v>1.0</v>
      </c>
      <c r="F44" s="43">
        <v>0.976</v>
      </c>
      <c r="G44" s="43">
        <v>1.0</v>
      </c>
      <c r="H44" s="43">
        <v>0.0</v>
      </c>
      <c r="I44" s="44" t="str">
        <f>IMAGE("https://drive.google.com/uc?export=view&amp;id=1I6clpa8hdQ2memeoF5FUHO1wTy1fT_5D")</f>
        <v/>
      </c>
      <c r="J44" s="19" t="s">
        <v>16</v>
      </c>
    </row>
    <row r="45">
      <c r="A45" s="43">
        <v>44.0</v>
      </c>
      <c r="B45" s="19" t="s">
        <v>175</v>
      </c>
      <c r="C45" s="19" t="s">
        <v>1171</v>
      </c>
      <c r="D45" s="19" t="s">
        <v>1172</v>
      </c>
      <c r="E45" s="43">
        <v>0.333</v>
      </c>
      <c r="F45" s="43">
        <v>0.837</v>
      </c>
      <c r="G45" s="43">
        <v>0.833</v>
      </c>
      <c r="H45" s="43">
        <v>0.5</v>
      </c>
      <c r="I45" s="44" t="str">
        <f>IMAGE("https://drive.google.com/uc?export=view&amp;id=1YRen-uhDOxEDa78RJdU9xmOZ2YiOFNKo")</f>
        <v/>
      </c>
      <c r="J45" s="19" t="s">
        <v>16</v>
      </c>
    </row>
    <row r="46">
      <c r="A46" s="43">
        <v>45.0</v>
      </c>
      <c r="B46" s="19" t="s">
        <v>178</v>
      </c>
      <c r="C46" s="19" t="s">
        <v>1173</v>
      </c>
      <c r="D46" s="19" t="s">
        <v>1174</v>
      </c>
      <c r="E46" s="43">
        <v>0.636</v>
      </c>
      <c r="F46" s="43">
        <v>0.946</v>
      </c>
      <c r="G46" s="43">
        <v>0.833</v>
      </c>
      <c r="H46" s="43">
        <v>0.0</v>
      </c>
      <c r="I46" s="44" t="str">
        <f>IMAGE("https://drive.google.com/uc?export=view&amp;id=1DTZteJLPUzrZuSTBIVWkwN7COcvFX0fK")</f>
        <v/>
      </c>
      <c r="J46" s="19" t="s">
        <v>16</v>
      </c>
    </row>
    <row r="47" hidden="1">
      <c r="A47" s="43">
        <v>46.0</v>
      </c>
      <c r="B47" s="19" t="s">
        <v>181</v>
      </c>
      <c r="C47" s="19" t="s">
        <v>1175</v>
      </c>
      <c r="D47" s="19" t="s">
        <v>1176</v>
      </c>
      <c r="E47" s="43">
        <v>1.0</v>
      </c>
      <c r="F47" s="43">
        <v>0.818</v>
      </c>
      <c r="G47" s="43">
        <v>1.0</v>
      </c>
      <c r="H47" s="43">
        <v>1.0</v>
      </c>
      <c r="I47" s="44" t="str">
        <f>IMAGE("https://drive.google.com/uc?export=view&amp;id=1Fineull5tDAOQUMARWq9e8CKnv9aAbu8")</f>
        <v/>
      </c>
      <c r="J47" s="19" t="s">
        <v>16</v>
      </c>
    </row>
    <row r="48">
      <c r="A48" s="43">
        <v>47.0</v>
      </c>
      <c r="B48" s="19" t="s">
        <v>184</v>
      </c>
      <c r="C48" s="19" t="s">
        <v>1177</v>
      </c>
      <c r="D48" s="19" t="s">
        <v>1178</v>
      </c>
      <c r="E48" s="43">
        <v>0.3</v>
      </c>
      <c r="F48" s="43">
        <v>0.85</v>
      </c>
      <c r="G48" s="43">
        <v>1.0</v>
      </c>
      <c r="H48" s="43">
        <v>0.333</v>
      </c>
      <c r="I48" s="44" t="str">
        <f>IMAGE("https://drive.google.com/uc?export=view&amp;id=10MkwMfhucKytEH1dVlZ12DZql91x8LIR")</f>
        <v/>
      </c>
      <c r="J48" s="19" t="s">
        <v>16</v>
      </c>
    </row>
    <row r="49" hidden="1">
      <c r="A49" s="43">
        <v>48.0</v>
      </c>
      <c r="B49" s="19" t="s">
        <v>187</v>
      </c>
      <c r="C49" s="19" t="s">
        <v>1179</v>
      </c>
      <c r="D49" s="19" t="s">
        <v>1180</v>
      </c>
      <c r="E49" s="43">
        <v>1.0</v>
      </c>
      <c r="F49" s="43">
        <v>0.682</v>
      </c>
      <c r="G49" s="43">
        <v>1.0</v>
      </c>
      <c r="H49" s="43">
        <v>0.8</v>
      </c>
      <c r="I49" s="44" t="str">
        <f>IMAGE("https://drive.google.com/uc?export=view&amp;id=12wq8xGbtrwefNvEBIaNLWtsh80sUz2_K")</f>
        <v/>
      </c>
      <c r="J49" s="19" t="s">
        <v>16</v>
      </c>
    </row>
    <row r="50">
      <c r="A50" s="43">
        <v>49.0</v>
      </c>
      <c r="B50" s="19" t="s">
        <v>190</v>
      </c>
      <c r="C50" s="19" t="s">
        <v>1181</v>
      </c>
      <c r="D50" s="19" t="s">
        <v>1182</v>
      </c>
      <c r="E50" s="43">
        <v>0.545</v>
      </c>
      <c r="F50" s="43">
        <v>0.908</v>
      </c>
      <c r="G50" s="43">
        <v>1.0</v>
      </c>
      <c r="H50" s="43">
        <v>0.286</v>
      </c>
      <c r="I50" s="44" t="str">
        <f>IMAGE("https://drive.google.com/uc?export=view&amp;id=1Tqd7IhwEoSxyytT3w2jVu236Wxpp0Nn6")</f>
        <v/>
      </c>
      <c r="J50" s="19" t="s">
        <v>16</v>
      </c>
    </row>
    <row r="51">
      <c r="A51" s="43">
        <v>50.0</v>
      </c>
      <c r="B51" s="19" t="s">
        <v>193</v>
      </c>
      <c r="C51" s="19" t="s">
        <v>1183</v>
      </c>
      <c r="D51" s="19" t="s">
        <v>1184</v>
      </c>
      <c r="E51" s="43">
        <v>0.615</v>
      </c>
      <c r="F51" s="43">
        <v>0.892</v>
      </c>
      <c r="G51" s="43">
        <v>0.5</v>
      </c>
      <c r="H51" s="43">
        <v>0.0</v>
      </c>
      <c r="I51" s="44" t="str">
        <f>IMAGE("https://drive.google.com/uc?export=view&amp;id=1saIKZdwzMQwRWzW5wnlvCeKEn2qY1wyj")</f>
        <v/>
      </c>
      <c r="J51" s="19" t="s">
        <v>16</v>
      </c>
    </row>
    <row r="52" hidden="1">
      <c r="A52" s="43">
        <v>51.0</v>
      </c>
      <c r="B52" s="19" t="s">
        <v>196</v>
      </c>
      <c r="C52" s="19" t="s">
        <v>1185</v>
      </c>
      <c r="D52" s="19" t="s">
        <v>1186</v>
      </c>
      <c r="E52" s="43">
        <v>0.286</v>
      </c>
      <c r="F52" s="43">
        <v>0.842</v>
      </c>
      <c r="G52" s="43">
        <v>1.0</v>
      </c>
      <c r="H52" s="43">
        <v>1.0</v>
      </c>
      <c r="I52" s="44" t="str">
        <f>IMAGE("https://drive.google.com/uc?export=view&amp;id=1KFO1j3xXJKjvFXBySg4YmHUhioqj_79E")</f>
        <v/>
      </c>
      <c r="J52" s="19" t="s">
        <v>16</v>
      </c>
    </row>
    <row r="53" hidden="1">
      <c r="A53" s="43">
        <v>52.0</v>
      </c>
      <c r="B53" s="19" t="s">
        <v>199</v>
      </c>
      <c r="C53" s="19" t="s">
        <v>1187</v>
      </c>
      <c r="D53" s="19" t="s">
        <v>1188</v>
      </c>
      <c r="E53" s="43">
        <v>1.0</v>
      </c>
      <c r="F53" s="43">
        <v>0.987</v>
      </c>
      <c r="G53" s="43">
        <v>0.333</v>
      </c>
      <c r="H53" s="43">
        <v>0.833</v>
      </c>
      <c r="I53" s="44" t="str">
        <f>IMAGE("https://drive.google.com/uc?export=view&amp;id=1hwDNbmIwmc4JLJ8tSFviiDcVG_xJRac3")</f>
        <v/>
      </c>
      <c r="J53" s="19" t="s">
        <v>16</v>
      </c>
    </row>
    <row r="54" hidden="1">
      <c r="A54" s="43">
        <v>53.0</v>
      </c>
      <c r="B54" s="19" t="s">
        <v>202</v>
      </c>
      <c r="C54" s="19" t="s">
        <v>1189</v>
      </c>
      <c r="D54" s="19" t="s">
        <v>1190</v>
      </c>
      <c r="E54" s="43">
        <v>0.909</v>
      </c>
      <c r="F54" s="43">
        <v>0.865</v>
      </c>
      <c r="G54" s="43">
        <v>1.0</v>
      </c>
      <c r="H54" s="43">
        <v>1.0</v>
      </c>
      <c r="I54" s="44" t="str">
        <f>IMAGE("https://drive.google.com/uc?export=view&amp;id=1y1JdzNm6vs6_IElHFNnF-mmaxxTBcmV0")</f>
        <v/>
      </c>
      <c r="J54" s="19" t="s">
        <v>16</v>
      </c>
    </row>
    <row r="55" hidden="1">
      <c r="A55" s="43">
        <v>54.0</v>
      </c>
      <c r="B55" s="19" t="s">
        <v>205</v>
      </c>
      <c r="C55" s="19" t="s">
        <v>1191</v>
      </c>
      <c r="D55" s="19" t="s">
        <v>1192</v>
      </c>
      <c r="E55" s="43">
        <v>0.824</v>
      </c>
      <c r="F55" s="43">
        <v>1.0</v>
      </c>
      <c r="G55" s="43">
        <v>1.0</v>
      </c>
      <c r="H55" s="43">
        <v>1.0</v>
      </c>
      <c r="I55" s="44" t="str">
        <f>IMAGE("https://drive.google.com/uc?export=view&amp;id=1ZFJ6cRr-SW6NvgB-taRZ1-iM-CUnbhwD")</f>
        <v/>
      </c>
      <c r="J55" s="19" t="s">
        <v>16</v>
      </c>
    </row>
    <row r="56" hidden="1">
      <c r="A56" s="43">
        <v>55.0</v>
      </c>
      <c r="B56" s="19" t="s">
        <v>208</v>
      </c>
      <c r="C56" s="19" t="s">
        <v>1193</v>
      </c>
      <c r="D56" s="19" t="s">
        <v>1194</v>
      </c>
      <c r="E56" s="43">
        <v>0.933</v>
      </c>
      <c r="F56" s="43">
        <v>0.769</v>
      </c>
      <c r="G56" s="43">
        <v>1.0</v>
      </c>
      <c r="H56" s="43">
        <v>1.0</v>
      </c>
      <c r="I56" s="44" t="str">
        <f>IMAGE("https://drive.google.com/uc?export=view&amp;id=1Kj2MDpGUhXgaNHgERzu0jsFD-6rDKr2y")</f>
        <v/>
      </c>
      <c r="J56" s="19" t="s">
        <v>16</v>
      </c>
    </row>
    <row r="57" hidden="1">
      <c r="A57" s="43">
        <v>56.0</v>
      </c>
      <c r="B57" s="19" t="s">
        <v>211</v>
      </c>
      <c r="C57" s="19" t="s">
        <v>1195</v>
      </c>
      <c r="D57" s="19" t="s">
        <v>1196</v>
      </c>
      <c r="E57" s="43">
        <v>1.0</v>
      </c>
      <c r="F57" s="43">
        <v>0.973</v>
      </c>
      <c r="G57" s="43">
        <v>1.0</v>
      </c>
      <c r="H57" s="43">
        <v>1.0</v>
      </c>
      <c r="I57" s="44" t="str">
        <f>IMAGE("https://drive.google.com/uc?export=view&amp;id=1AhUvBXfM5KN7UWJtwYy4zb4buDTDAp-4")</f>
        <v/>
      </c>
      <c r="J57" s="19" t="s">
        <v>16</v>
      </c>
    </row>
    <row r="58" hidden="1">
      <c r="A58" s="43">
        <v>57.0</v>
      </c>
      <c r="B58" s="19" t="s">
        <v>214</v>
      </c>
      <c r="C58" s="19" t="s">
        <v>1197</v>
      </c>
      <c r="D58" s="19" t="s">
        <v>1198</v>
      </c>
      <c r="E58" s="43">
        <v>0.75</v>
      </c>
      <c r="F58" s="43">
        <v>0.901</v>
      </c>
      <c r="G58" s="43">
        <v>1.0</v>
      </c>
      <c r="H58" s="43">
        <v>1.0</v>
      </c>
      <c r="I58" s="44" t="str">
        <f>IMAGE("https://drive.google.com/uc?export=view&amp;id=13k8Pc7hlNreAMnF6B-29Etb7SFmTBWyj")</f>
        <v/>
      </c>
      <c r="J58" s="19" t="s">
        <v>16</v>
      </c>
    </row>
    <row r="59">
      <c r="A59" s="43">
        <v>58.0</v>
      </c>
      <c r="B59" s="19" t="s">
        <v>217</v>
      </c>
      <c r="C59" s="19" t="s">
        <v>1199</v>
      </c>
      <c r="D59" s="19" t="s">
        <v>1200</v>
      </c>
      <c r="E59" s="43">
        <v>0.0</v>
      </c>
      <c r="F59" s="43">
        <v>0.876</v>
      </c>
      <c r="G59" s="43">
        <v>0.0</v>
      </c>
      <c r="H59" s="43">
        <v>0.0</v>
      </c>
      <c r="I59" s="44" t="str">
        <f>IMAGE("https://drive.google.com/uc?export=view&amp;id=1OjUgQedpRNOSTUksdISOhGeWCF_i7EcW")</f>
        <v/>
      </c>
      <c r="J59" s="19" t="s">
        <v>16</v>
      </c>
    </row>
    <row r="60">
      <c r="A60" s="43">
        <v>59.0</v>
      </c>
      <c r="B60" s="19" t="s">
        <v>220</v>
      </c>
      <c r="C60" s="19" t="s">
        <v>1201</v>
      </c>
      <c r="D60" s="19" t="s">
        <v>1202</v>
      </c>
      <c r="E60" s="43">
        <v>0.9</v>
      </c>
      <c r="F60" s="43">
        <v>0.765</v>
      </c>
      <c r="G60" s="43">
        <v>1.0</v>
      </c>
      <c r="H60" s="43">
        <v>0.143</v>
      </c>
      <c r="I60" s="44" t="str">
        <f>IMAGE("https://drive.google.com/uc?export=view&amp;id=1o6dm_nphu0az6I_SuwwaVSahw08bijp1")</f>
        <v/>
      </c>
      <c r="J60" s="19" t="s">
        <v>16</v>
      </c>
    </row>
    <row r="61" hidden="1">
      <c r="A61" s="43">
        <v>60.0</v>
      </c>
      <c r="B61" s="19" t="s">
        <v>223</v>
      </c>
      <c r="C61" s="19" t="s">
        <v>1203</v>
      </c>
      <c r="D61" s="19" t="s">
        <v>1204</v>
      </c>
      <c r="E61" s="43">
        <v>0.667</v>
      </c>
      <c r="F61" s="43">
        <v>0.798</v>
      </c>
      <c r="G61" s="43">
        <v>1.0</v>
      </c>
      <c r="H61" s="43">
        <v>1.0</v>
      </c>
      <c r="I61" s="44" t="str">
        <f>IMAGE("https://drive.google.com/uc?export=view&amp;id=1hMcwpLoGduQ3Hf2woXVGPpeCz2EBCiwU")</f>
        <v/>
      </c>
      <c r="J61" s="19" t="s">
        <v>16</v>
      </c>
    </row>
    <row r="62" hidden="1">
      <c r="A62" s="43">
        <v>61.0</v>
      </c>
      <c r="B62" s="19" t="s">
        <v>229</v>
      </c>
      <c r="C62" s="19" t="s">
        <v>1205</v>
      </c>
      <c r="D62" s="19" t="s">
        <v>1206</v>
      </c>
      <c r="E62" s="43">
        <v>0.875</v>
      </c>
      <c r="F62" s="43">
        <v>0.0</v>
      </c>
      <c r="G62" s="43">
        <v>0.0</v>
      </c>
      <c r="H62" s="43">
        <v>1.0</v>
      </c>
      <c r="I62" s="44" t="str">
        <f>IMAGE("https://drive.google.com/uc?export=view&amp;id=1D7jirXqX4C64GH9XVlZx3u7azDbTVusm")</f>
        <v/>
      </c>
      <c r="J62" s="19" t="s">
        <v>17</v>
      </c>
    </row>
    <row r="63" hidden="1">
      <c r="A63" s="43">
        <v>62.0</v>
      </c>
      <c r="B63" s="19" t="s">
        <v>226</v>
      </c>
      <c r="C63" s="19" t="s">
        <v>1207</v>
      </c>
      <c r="D63" s="19" t="s">
        <v>1208</v>
      </c>
      <c r="E63" s="43">
        <v>0.727</v>
      </c>
      <c r="F63" s="43">
        <v>0.998</v>
      </c>
      <c r="G63" s="43">
        <v>1.0</v>
      </c>
      <c r="H63" s="43">
        <v>1.0</v>
      </c>
      <c r="I63" s="44" t="str">
        <f>IMAGE("https://drive.google.com/uc?export=view&amp;id=1YYZTBySOrjJ6Blfu6HC8xg-A677cKSKf")</f>
        <v/>
      </c>
      <c r="J63" s="19" t="s">
        <v>17</v>
      </c>
    </row>
    <row r="64" hidden="1">
      <c r="A64" s="43">
        <v>63.0</v>
      </c>
      <c r="B64" s="19" t="s">
        <v>232</v>
      </c>
      <c r="C64" s="19" t="s">
        <v>1209</v>
      </c>
      <c r="D64" s="19" t="s">
        <v>1210</v>
      </c>
      <c r="E64" s="43">
        <v>0.667</v>
      </c>
      <c r="F64" s="43">
        <v>0.996</v>
      </c>
      <c r="G64" s="43">
        <v>0.833</v>
      </c>
      <c r="H64" s="43">
        <v>1.0</v>
      </c>
      <c r="I64" s="44" t="str">
        <f>IMAGE("https://drive.google.com/uc?export=view&amp;id=1byv1WhFlZVY-IrW3p91D_sLwmK5J-xKR")</f>
        <v/>
      </c>
      <c r="J64" s="19" t="s">
        <v>17</v>
      </c>
    </row>
    <row r="65" hidden="1">
      <c r="A65" s="43">
        <v>64.0</v>
      </c>
      <c r="B65" s="19" t="s">
        <v>235</v>
      </c>
      <c r="C65" s="19" t="s">
        <v>1211</v>
      </c>
      <c r="D65" s="19" t="s">
        <v>1212</v>
      </c>
      <c r="E65" s="43">
        <v>1.0</v>
      </c>
      <c r="F65" s="43">
        <v>0.993</v>
      </c>
      <c r="G65" s="43">
        <v>1.0</v>
      </c>
      <c r="H65" s="43">
        <v>0.8</v>
      </c>
      <c r="I65" s="44" t="str">
        <f>IMAGE("https://drive.google.com/uc?export=view&amp;id=1meo5LhFVMahNAyV_gClt02RYVaeaF6Rn")</f>
        <v/>
      </c>
      <c r="J65" s="19" t="s">
        <v>17</v>
      </c>
    </row>
    <row r="66" hidden="1">
      <c r="A66" s="43">
        <v>65.0</v>
      </c>
      <c r="B66" s="19" t="s">
        <v>238</v>
      </c>
      <c r="C66" s="19" t="s">
        <v>1213</v>
      </c>
      <c r="D66" s="19" t="s">
        <v>1214</v>
      </c>
      <c r="E66" s="43">
        <v>0.5</v>
      </c>
      <c r="F66" s="43">
        <v>0.794</v>
      </c>
      <c r="G66" s="43">
        <v>1.0</v>
      </c>
      <c r="H66" s="43">
        <v>1.0</v>
      </c>
      <c r="I66" s="44" t="str">
        <f>IMAGE("https://drive.google.com/uc?export=view&amp;id=1_1v3zAh5tTwQGrqFtt087DsZfktvKNAm")</f>
        <v/>
      </c>
      <c r="J66" s="19" t="s">
        <v>17</v>
      </c>
    </row>
    <row r="67" hidden="1">
      <c r="A67" s="43">
        <v>66.0</v>
      </c>
      <c r="B67" s="19" t="s">
        <v>241</v>
      </c>
      <c r="C67" s="19" t="s">
        <v>1215</v>
      </c>
      <c r="D67" s="19" t="s">
        <v>1216</v>
      </c>
      <c r="E67" s="43">
        <v>1.0</v>
      </c>
      <c r="F67" s="43">
        <v>0.0</v>
      </c>
      <c r="G67" s="43">
        <v>0.0</v>
      </c>
      <c r="H67" s="43">
        <v>0.833</v>
      </c>
      <c r="I67" s="44" t="str">
        <f>IMAGE("https://drive.google.com/uc?export=view&amp;id=1UmgWThcmM2JQC_g0hFT62bXDFx-VHI0v")</f>
        <v/>
      </c>
      <c r="J67" s="19" t="s">
        <v>17</v>
      </c>
    </row>
    <row r="68" hidden="1">
      <c r="A68" s="43">
        <v>67.0</v>
      </c>
      <c r="B68" s="19" t="s">
        <v>244</v>
      </c>
      <c r="C68" s="19" t="s">
        <v>1217</v>
      </c>
      <c r="D68" s="19" t="s">
        <v>1218</v>
      </c>
      <c r="E68" s="43">
        <v>0.714</v>
      </c>
      <c r="F68" s="43">
        <v>0.999</v>
      </c>
      <c r="G68" s="43">
        <v>0.583</v>
      </c>
      <c r="H68" s="43">
        <v>1.0</v>
      </c>
      <c r="I68" s="44" t="str">
        <f>IMAGE("https://drive.google.com/uc?export=view&amp;id=1uFqKyN9ggY__ZH8DG4DXWarQZZlHg_RZ")</f>
        <v/>
      </c>
      <c r="J68" s="19" t="s">
        <v>17</v>
      </c>
    </row>
    <row r="69">
      <c r="A69" s="43">
        <v>68.0</v>
      </c>
      <c r="B69" s="19" t="s">
        <v>247</v>
      </c>
      <c r="C69" s="19" t="s">
        <v>1219</v>
      </c>
      <c r="D69" s="19" t="s">
        <v>1220</v>
      </c>
      <c r="E69" s="43">
        <v>0.75</v>
      </c>
      <c r="F69" s="43">
        <v>0.0</v>
      </c>
      <c r="G69" s="43">
        <v>0.0</v>
      </c>
      <c r="H69" s="43">
        <v>0.333</v>
      </c>
      <c r="I69" s="44" t="str">
        <f>IMAGE("https://drive.google.com/uc?export=view&amp;id=1vqPGgT9p2QQW4vIebI6EH154mLNOe4bK")</f>
        <v/>
      </c>
      <c r="J69" s="19" t="s">
        <v>17</v>
      </c>
    </row>
    <row r="70" hidden="1">
      <c r="A70" s="43">
        <v>69.0</v>
      </c>
      <c r="B70" s="19" t="s">
        <v>250</v>
      </c>
      <c r="C70" s="19" t="s">
        <v>1221</v>
      </c>
      <c r="D70" s="19" t="s">
        <v>1222</v>
      </c>
      <c r="E70" s="43">
        <v>0.545</v>
      </c>
      <c r="F70" s="43">
        <v>0.862</v>
      </c>
      <c r="G70" s="43">
        <v>0.583</v>
      </c>
      <c r="H70" s="43">
        <v>1.0</v>
      </c>
      <c r="I70" s="44" t="str">
        <f>IMAGE("https://drive.google.com/uc?export=view&amp;id=18A9mB_NSl98PEXTR3ABtPlVUv27pFAmF")</f>
        <v/>
      </c>
      <c r="J70" s="19" t="s">
        <v>17</v>
      </c>
    </row>
    <row r="71" hidden="1">
      <c r="A71" s="43">
        <v>70.0</v>
      </c>
      <c r="B71" s="19" t="s">
        <v>253</v>
      </c>
      <c r="C71" s="19" t="s">
        <v>1223</v>
      </c>
      <c r="D71" s="19" t="s">
        <v>1224</v>
      </c>
      <c r="E71" s="43">
        <v>0.75</v>
      </c>
      <c r="F71" s="43">
        <v>0.932</v>
      </c>
      <c r="G71" s="43">
        <v>1.0</v>
      </c>
      <c r="H71" s="43">
        <v>1.0</v>
      </c>
      <c r="I71" s="44" t="str">
        <f>IMAGE("https://drive.google.com/uc?export=view&amp;id=1HjXMhIFT9Y_PEz1GsyHmOkDRY4IykypX")</f>
        <v/>
      </c>
      <c r="J71" s="19" t="s">
        <v>17</v>
      </c>
    </row>
    <row r="72" hidden="1">
      <c r="A72" s="43">
        <v>71.0</v>
      </c>
      <c r="B72" s="19" t="s">
        <v>256</v>
      </c>
      <c r="C72" s="19" t="s">
        <v>1225</v>
      </c>
      <c r="D72" s="19" t="s">
        <v>1226</v>
      </c>
      <c r="E72" s="43">
        <v>1.0</v>
      </c>
      <c r="F72" s="43">
        <v>1.0</v>
      </c>
      <c r="G72" s="43">
        <v>0.583</v>
      </c>
      <c r="H72" s="43">
        <v>1.0</v>
      </c>
      <c r="I72" s="44" t="str">
        <f>IMAGE("https://drive.google.com/uc?export=view&amp;id=1fPC2SS8DkFDMB_pNdlK7FhPENhzeEdxB")</f>
        <v/>
      </c>
      <c r="J72" s="19" t="s">
        <v>17</v>
      </c>
    </row>
    <row r="73" hidden="1">
      <c r="A73" s="43">
        <v>72.0</v>
      </c>
      <c r="B73" s="19" t="s">
        <v>259</v>
      </c>
      <c r="C73" s="19" t="s">
        <v>1227</v>
      </c>
      <c r="D73" s="19" t="s">
        <v>1228</v>
      </c>
      <c r="E73" s="43">
        <v>1.0</v>
      </c>
      <c r="F73" s="43">
        <v>0.996</v>
      </c>
      <c r="G73" s="43">
        <v>1.0</v>
      </c>
      <c r="H73" s="43">
        <v>1.0</v>
      </c>
      <c r="I73" s="44" t="str">
        <f>IMAGE("https://drive.google.com/uc?export=view&amp;id=100GhVUDslwTnLK51jkkGwLGumg2-0Iid")</f>
        <v/>
      </c>
      <c r="J73" s="19" t="s">
        <v>17</v>
      </c>
    </row>
    <row r="74" hidden="1">
      <c r="A74" s="43">
        <v>73.0</v>
      </c>
      <c r="B74" s="19" t="s">
        <v>262</v>
      </c>
      <c r="C74" s="19" t="s">
        <v>1229</v>
      </c>
      <c r="D74" s="19" t="s">
        <v>1230</v>
      </c>
      <c r="E74" s="43">
        <v>0.3</v>
      </c>
      <c r="F74" s="43">
        <v>0.942</v>
      </c>
      <c r="G74" s="43">
        <v>1.0</v>
      </c>
      <c r="H74" s="43">
        <v>1.0</v>
      </c>
      <c r="I74" s="44" t="str">
        <f>IMAGE("https://drive.google.com/uc?export=view&amp;id=1NtsutbsgsIWbs1UUsxHZNYbtLYP37AYh")</f>
        <v/>
      </c>
      <c r="J74" s="19" t="s">
        <v>17</v>
      </c>
    </row>
    <row r="75">
      <c r="A75" s="43">
        <v>74.0</v>
      </c>
      <c r="B75" s="19" t="s">
        <v>265</v>
      </c>
      <c r="C75" s="19" t="s">
        <v>1231</v>
      </c>
      <c r="D75" s="19" t="s">
        <v>1232</v>
      </c>
      <c r="E75" s="43">
        <v>0.375</v>
      </c>
      <c r="F75" s="43">
        <v>0.892</v>
      </c>
      <c r="G75" s="43">
        <v>1.0</v>
      </c>
      <c r="H75" s="43">
        <v>0.125</v>
      </c>
      <c r="I75" s="44" t="str">
        <f>IMAGE("https://drive.google.com/uc?export=view&amp;id=13ZbN1Na0swMrAc0n-55NzD4JTRazej2x")</f>
        <v/>
      </c>
      <c r="J75" s="19" t="s">
        <v>17</v>
      </c>
    </row>
    <row r="76" hidden="1">
      <c r="A76" s="43">
        <v>75.0</v>
      </c>
      <c r="B76" s="19" t="s">
        <v>268</v>
      </c>
      <c r="C76" s="19" t="s">
        <v>1233</v>
      </c>
      <c r="D76" s="19" t="s">
        <v>1234</v>
      </c>
      <c r="E76" s="43">
        <v>1.0</v>
      </c>
      <c r="F76" s="43">
        <v>0.759</v>
      </c>
      <c r="G76" s="43">
        <v>1.0</v>
      </c>
      <c r="H76" s="43">
        <v>1.0</v>
      </c>
      <c r="I76" s="44" t="str">
        <f>IMAGE("https://drive.google.com/uc?export=view&amp;id=1U7XpiQVeOnQABh_nKmoa2xYZqh490W3j")</f>
        <v/>
      </c>
      <c r="J76" s="19" t="s">
        <v>17</v>
      </c>
    </row>
    <row r="77">
      <c r="A77" s="43">
        <v>76.0</v>
      </c>
      <c r="B77" s="19" t="s">
        <v>271</v>
      </c>
      <c r="C77" s="19" t="s">
        <v>1235</v>
      </c>
      <c r="D77" s="19" t="s">
        <v>1236</v>
      </c>
      <c r="E77" s="43">
        <v>0.778</v>
      </c>
      <c r="F77" s="43">
        <v>0.906</v>
      </c>
      <c r="G77" s="43">
        <v>1.0</v>
      </c>
      <c r="H77" s="43">
        <v>0.0</v>
      </c>
      <c r="I77" s="44" t="str">
        <f>IMAGE("https://drive.google.com/uc?export=view&amp;id=1oFayl393D96kD1KPxbF6Woc7rA-zM9kT")</f>
        <v/>
      </c>
      <c r="J77" s="19" t="s">
        <v>17</v>
      </c>
    </row>
    <row r="78" hidden="1">
      <c r="A78" s="43">
        <v>77.0</v>
      </c>
      <c r="B78" s="19" t="s">
        <v>274</v>
      </c>
      <c r="C78" s="19" t="s">
        <v>1237</v>
      </c>
      <c r="D78" s="19" t="s">
        <v>1238</v>
      </c>
      <c r="E78" s="43">
        <v>0.769</v>
      </c>
      <c r="F78" s="43">
        <v>0.675</v>
      </c>
      <c r="G78" s="43">
        <v>0.833</v>
      </c>
      <c r="H78" s="43">
        <v>0.8</v>
      </c>
      <c r="I78" s="44" t="str">
        <f>IMAGE("https://drive.google.com/uc?export=view&amp;id=1zgCtvbPXcjO6QqYEIJnbaRDFCiYe2dxJ")</f>
        <v/>
      </c>
      <c r="J78" s="19" t="s">
        <v>17</v>
      </c>
    </row>
    <row r="79" hidden="1">
      <c r="A79" s="43">
        <v>78.0</v>
      </c>
      <c r="B79" s="19" t="s">
        <v>277</v>
      </c>
      <c r="C79" s="19" t="s">
        <v>1239</v>
      </c>
      <c r="D79" s="19" t="s">
        <v>1240</v>
      </c>
      <c r="E79" s="43">
        <v>1.0</v>
      </c>
      <c r="F79" s="43">
        <v>0.951</v>
      </c>
      <c r="G79" s="43">
        <v>0.833</v>
      </c>
      <c r="H79" s="43">
        <v>0.8</v>
      </c>
      <c r="I79" s="44" t="str">
        <f>IMAGE("https://drive.google.com/uc?export=view&amp;id=1EBXD1qcjLYCt8QBhSB6OZjKk6xKLvoDW")</f>
        <v/>
      </c>
      <c r="J79" s="19" t="s">
        <v>17</v>
      </c>
    </row>
    <row r="80" hidden="1">
      <c r="A80" s="43">
        <v>79.0</v>
      </c>
      <c r="B80" s="19" t="s">
        <v>280</v>
      </c>
      <c r="C80" s="19" t="s">
        <v>1241</v>
      </c>
      <c r="D80" s="19" t="s">
        <v>1242</v>
      </c>
      <c r="E80" s="43">
        <v>0.222</v>
      </c>
      <c r="F80" s="43">
        <v>0.882</v>
      </c>
      <c r="G80" s="43">
        <v>1.0</v>
      </c>
      <c r="H80" s="43">
        <v>1.0</v>
      </c>
      <c r="I80" s="44" t="str">
        <f>IMAGE("https://drive.google.com/uc?export=view&amp;id=1-A7HyU-YYEjw7tqUzxnqpiscYqnaIbCY")</f>
        <v/>
      </c>
      <c r="J80" s="19" t="s">
        <v>17</v>
      </c>
    </row>
    <row r="81" hidden="1">
      <c r="A81" s="43">
        <v>80.0</v>
      </c>
      <c r="B81" s="19" t="s">
        <v>283</v>
      </c>
      <c r="C81" s="19" t="s">
        <v>1243</v>
      </c>
      <c r="D81" s="19" t="s">
        <v>1244</v>
      </c>
      <c r="E81" s="43">
        <v>0.143</v>
      </c>
      <c r="F81" s="43">
        <v>0.768</v>
      </c>
      <c r="G81" s="43">
        <v>0.333</v>
      </c>
      <c r="H81" s="43">
        <v>1.0</v>
      </c>
      <c r="I81" s="44" t="str">
        <f>IMAGE("https://drive.google.com/uc?export=view&amp;id=1BMMLbt8aKypqU4MKLKnrNgTmuDfaZ8cy")</f>
        <v/>
      </c>
      <c r="J81" s="19" t="s">
        <v>17</v>
      </c>
    </row>
  </sheetData>
  <autoFilter ref="$A$1:$J$81">
    <filterColumn colId="7">
      <customFilters>
        <customFilter operator="lessThanOrEqual" val="0.5"/>
      </customFilters>
    </filterColumn>
  </autoFilter>
  <dataValidations>
    <dataValidation type="list" allowBlank="1" showErrorMessage="1" sqref="J2:J81">
      <formula1>"Trend Analysis ,Gap Detection,Evidence-based QA,Comparative Synthesis"</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63"/>
    <col customWidth="1" min="3" max="4" width="36.38"/>
    <col customWidth="1" min="6" max="6" width="26.5"/>
    <col customWidth="1" min="7" max="7" width="22.5"/>
    <col customWidth="1" min="8" max="8" width="26.88"/>
    <col customWidth="1" min="9" max="9" width="60.5"/>
    <col customWidth="1" min="10" max="10" width="51.38"/>
  </cols>
  <sheetData>
    <row r="1">
      <c r="A1" s="32" t="s">
        <v>41</v>
      </c>
      <c r="B1" s="32" t="s">
        <v>42</v>
      </c>
      <c r="C1" s="32" t="s">
        <v>43</v>
      </c>
      <c r="D1" s="32" t="s">
        <v>44</v>
      </c>
      <c r="E1" s="32" t="s">
        <v>3</v>
      </c>
      <c r="F1" s="32" t="s">
        <v>4</v>
      </c>
      <c r="G1" s="32" t="s">
        <v>5</v>
      </c>
      <c r="H1" s="32" t="s">
        <v>6</v>
      </c>
      <c r="I1" s="32" t="s">
        <v>45</v>
      </c>
      <c r="J1" s="37" t="s">
        <v>1406</v>
      </c>
    </row>
    <row r="2">
      <c r="A2" s="49">
        <v>1.0</v>
      </c>
      <c r="B2" s="47" t="s">
        <v>46</v>
      </c>
      <c r="C2" s="47" t="s">
        <v>1245</v>
      </c>
      <c r="D2" s="47" t="s">
        <v>1246</v>
      </c>
      <c r="E2" s="48">
        <v>1.0</v>
      </c>
      <c r="F2" s="48">
        <v>0.987</v>
      </c>
      <c r="G2" s="48">
        <v>1.0</v>
      </c>
      <c r="H2" s="48">
        <v>1.0</v>
      </c>
      <c r="I2" s="50" t="str">
        <f>IMAGE("https://drive.google.com/uc?export=view&amp;id=1oecwbxky2xyQM2dMmuClumTfeRskuPO_")</f>
        <v/>
      </c>
      <c r="J2" s="47" t="s">
        <v>14</v>
      </c>
    </row>
    <row r="3">
      <c r="A3" s="49">
        <v>1.0</v>
      </c>
      <c r="B3" s="47" t="s">
        <v>49</v>
      </c>
      <c r="C3" s="47" t="s">
        <v>1247</v>
      </c>
      <c r="D3" s="47" t="s">
        <v>1248</v>
      </c>
      <c r="E3" s="48">
        <v>0.364</v>
      </c>
      <c r="F3" s="48">
        <v>0.941</v>
      </c>
      <c r="G3" s="48">
        <v>0.5</v>
      </c>
      <c r="H3" s="48">
        <v>1.0</v>
      </c>
      <c r="I3" s="50" t="str">
        <f>IMAGE("https://drive.google.com/uc?export=view&amp;id=1y9BlsoztE3Krb0HX3YxUI0X9zk6-nK17")</f>
        <v/>
      </c>
      <c r="J3" s="47" t="s">
        <v>14</v>
      </c>
    </row>
    <row r="4">
      <c r="A4" s="49">
        <v>3.0</v>
      </c>
      <c r="B4" s="47" t="s">
        <v>52</v>
      </c>
      <c r="C4" s="47" t="s">
        <v>1249</v>
      </c>
      <c r="D4" s="47" t="s">
        <v>1250</v>
      </c>
      <c r="E4" s="48">
        <v>0.25</v>
      </c>
      <c r="F4" s="48">
        <v>0.968</v>
      </c>
      <c r="G4" s="48">
        <v>1.0</v>
      </c>
      <c r="H4" s="48">
        <v>1.0</v>
      </c>
      <c r="I4" s="50" t="str">
        <f>IMAGE("https://drive.google.com/uc?export=view&amp;id=1RMKZ6zx45ojeXVohOhSK6ztp3lc7VRAL")</f>
        <v/>
      </c>
      <c r="J4" s="47" t="s">
        <v>14</v>
      </c>
    </row>
    <row r="5">
      <c r="A5" s="49">
        <v>4.0</v>
      </c>
      <c r="B5" s="47" t="s">
        <v>55</v>
      </c>
      <c r="C5" s="47" t="s">
        <v>1251</v>
      </c>
      <c r="D5" s="47" t="s">
        <v>1252</v>
      </c>
      <c r="E5" s="48">
        <v>0.294</v>
      </c>
      <c r="F5" s="48">
        <v>1.0</v>
      </c>
      <c r="G5" s="48">
        <v>1.0</v>
      </c>
      <c r="H5" s="48">
        <v>1.0</v>
      </c>
      <c r="I5" s="50" t="str">
        <f>IMAGE("https://drive.google.com/uc?export=view&amp;id=1rgkaWkwaUd6EdGUgapUFq8J9856pr8xY")</f>
        <v/>
      </c>
      <c r="J5" s="47" t="s">
        <v>14</v>
      </c>
    </row>
    <row r="6">
      <c r="A6" s="49">
        <v>5.0</v>
      </c>
      <c r="B6" s="47" t="s">
        <v>58</v>
      </c>
      <c r="C6" s="47" t="s">
        <v>1253</v>
      </c>
      <c r="D6" s="47" t="s">
        <v>1254</v>
      </c>
      <c r="E6" s="48">
        <v>1.0</v>
      </c>
      <c r="F6" s="48">
        <v>0.978</v>
      </c>
      <c r="G6" s="48">
        <v>1.0</v>
      </c>
      <c r="H6" s="48">
        <v>1.0</v>
      </c>
      <c r="I6" s="50" t="str">
        <f>IMAGE("https://drive.google.com/uc?export=view&amp;id=1ZVEPXnfe4dDv6ISvka6YRn6CRve5qTfH")</f>
        <v/>
      </c>
      <c r="J6" s="47" t="s">
        <v>14</v>
      </c>
    </row>
    <row r="7">
      <c r="A7" s="49">
        <v>6.0</v>
      </c>
      <c r="B7" s="47" t="s">
        <v>61</v>
      </c>
      <c r="C7" s="47" t="s">
        <v>1255</v>
      </c>
      <c r="D7" s="47" t="s">
        <v>1256</v>
      </c>
      <c r="E7" s="48">
        <v>1.0</v>
      </c>
      <c r="F7" s="48">
        <v>0.989</v>
      </c>
      <c r="G7" s="48">
        <v>1.0</v>
      </c>
      <c r="H7" s="48">
        <v>0.833</v>
      </c>
      <c r="I7" s="50" t="str">
        <f>IMAGE("https://drive.google.com/uc?export=view&amp;id=1iOlFZmv0C-FczaA08Sa8Xdm88495_fo_")</f>
        <v/>
      </c>
      <c r="J7" s="47" t="s">
        <v>14</v>
      </c>
    </row>
    <row r="8">
      <c r="A8" s="49">
        <v>7.0</v>
      </c>
      <c r="B8" s="47" t="s">
        <v>64</v>
      </c>
      <c r="C8" s="47" t="s">
        <v>1257</v>
      </c>
      <c r="D8" s="47" t="s">
        <v>1258</v>
      </c>
      <c r="E8" s="48">
        <v>1.0</v>
      </c>
      <c r="F8" s="48">
        <v>0.84</v>
      </c>
      <c r="G8" s="48">
        <v>0.5</v>
      </c>
      <c r="H8" s="48">
        <v>1.0</v>
      </c>
      <c r="I8" s="50" t="str">
        <f>IMAGE("https://drive.google.com/uc?export=view&amp;id=1U3XDaWfFqnOfLod__T8OSGx49WcJGVmI")</f>
        <v/>
      </c>
      <c r="J8" s="47" t="s">
        <v>14</v>
      </c>
    </row>
    <row r="9">
      <c r="A9" s="49">
        <v>8.0</v>
      </c>
      <c r="B9" s="47" t="s">
        <v>67</v>
      </c>
      <c r="C9" s="47" t="s">
        <v>1259</v>
      </c>
      <c r="D9" s="47" t="s">
        <v>1260</v>
      </c>
      <c r="E9" s="48">
        <v>0.684</v>
      </c>
      <c r="F9" s="48">
        <v>0.89</v>
      </c>
      <c r="G9" s="48">
        <v>1.0</v>
      </c>
      <c r="H9" s="48">
        <v>1.0</v>
      </c>
      <c r="I9" s="50" t="str">
        <f>IMAGE("https://drive.google.com/uc?export=view&amp;id=10u7VwwVhMPGrkd8DZMpoAYnQV-hc0pEi")</f>
        <v/>
      </c>
      <c r="J9" s="47" t="s">
        <v>14</v>
      </c>
    </row>
    <row r="10">
      <c r="A10" s="49">
        <v>9.0</v>
      </c>
      <c r="B10" s="47" t="s">
        <v>70</v>
      </c>
      <c r="C10" s="47" t="s">
        <v>1261</v>
      </c>
      <c r="D10" s="47" t="s">
        <v>1262</v>
      </c>
      <c r="E10" s="48">
        <v>0.667</v>
      </c>
      <c r="F10" s="48">
        <v>0.494</v>
      </c>
      <c r="G10" s="48">
        <v>1.0</v>
      </c>
      <c r="H10" s="48">
        <v>1.0</v>
      </c>
      <c r="I10" s="50" t="str">
        <f>IMAGE("https://drive.google.com/uc?export=view&amp;id=1dZSqzxCzCGcjFiUcR5v0dR7mp2Xm5nV5")</f>
        <v/>
      </c>
      <c r="J10" s="47" t="s">
        <v>14</v>
      </c>
    </row>
    <row r="11">
      <c r="A11" s="49">
        <v>10.0</v>
      </c>
      <c r="B11" s="47" t="s">
        <v>73</v>
      </c>
      <c r="C11" s="47" t="s">
        <v>1263</v>
      </c>
      <c r="D11" s="47" t="s">
        <v>1264</v>
      </c>
      <c r="E11" s="48">
        <v>0.545</v>
      </c>
      <c r="F11" s="48">
        <v>0.876</v>
      </c>
      <c r="G11" s="48">
        <v>0.679</v>
      </c>
      <c r="H11" s="48">
        <v>1.0</v>
      </c>
      <c r="I11" s="50" t="str">
        <f>IMAGE("https://drive.google.com/uc?export=view&amp;id=12fbycJ6qEfGdQkZegf4uZDtQg_BLpaSh")</f>
        <v/>
      </c>
      <c r="J11" s="47" t="s">
        <v>14</v>
      </c>
    </row>
    <row r="12">
      <c r="A12" s="49">
        <v>11.0</v>
      </c>
      <c r="B12" s="47" t="s">
        <v>76</v>
      </c>
      <c r="C12" s="47" t="s">
        <v>1265</v>
      </c>
      <c r="D12" s="47" t="s">
        <v>1266</v>
      </c>
      <c r="E12" s="48">
        <v>0.667</v>
      </c>
      <c r="F12" s="48">
        <v>0.649</v>
      </c>
      <c r="G12" s="48">
        <v>1.0</v>
      </c>
      <c r="H12" s="48">
        <v>0.833</v>
      </c>
      <c r="I12" s="50" t="str">
        <f>IMAGE("https://drive.google.com/uc?export=view&amp;id=1A7puzQtTNx6HNCH5ZwgLY7GKJ8SEn6yk")</f>
        <v/>
      </c>
      <c r="J12" s="47" t="s">
        <v>14</v>
      </c>
    </row>
    <row r="13">
      <c r="A13" s="49">
        <v>12.0</v>
      </c>
      <c r="B13" s="47" t="s">
        <v>79</v>
      </c>
      <c r="C13" s="47" t="s">
        <v>1267</v>
      </c>
      <c r="D13" s="47" t="s">
        <v>1268</v>
      </c>
      <c r="E13" s="48">
        <v>0.167</v>
      </c>
      <c r="F13" s="48">
        <v>0.909</v>
      </c>
      <c r="G13" s="48">
        <v>1.0</v>
      </c>
      <c r="H13" s="48">
        <v>1.0</v>
      </c>
      <c r="I13" s="50" t="str">
        <f>IMAGE("https://drive.google.com/uc?export=view&amp;id=1-G4CS2thNgG67zqt-Smr59J3rIOxmlEG")</f>
        <v/>
      </c>
      <c r="J13" s="47" t="s">
        <v>14</v>
      </c>
    </row>
    <row r="14">
      <c r="A14" s="49">
        <v>13.0</v>
      </c>
      <c r="B14" s="47" t="s">
        <v>82</v>
      </c>
      <c r="C14" s="47" t="s">
        <v>1269</v>
      </c>
      <c r="D14" s="47" t="s">
        <v>1270</v>
      </c>
      <c r="E14" s="48">
        <v>1.0</v>
      </c>
      <c r="F14" s="48">
        <v>0.642</v>
      </c>
      <c r="G14" s="48">
        <v>1.0</v>
      </c>
      <c r="H14" s="48">
        <v>1.0</v>
      </c>
      <c r="I14" s="50" t="str">
        <f>IMAGE("https://drive.google.com/uc?export=view&amp;id=1RIqFC_In0wWSzrKnXi7CVhBEuIAwtE7s")</f>
        <v/>
      </c>
      <c r="J14" s="47" t="s">
        <v>14</v>
      </c>
    </row>
    <row r="15">
      <c r="A15" s="49">
        <v>14.0</v>
      </c>
      <c r="B15" s="47" t="s">
        <v>85</v>
      </c>
      <c r="C15" s="47" t="s">
        <v>1271</v>
      </c>
      <c r="D15" s="47" t="s">
        <v>1272</v>
      </c>
      <c r="E15" s="48">
        <v>0.7</v>
      </c>
      <c r="F15" s="48">
        <v>0.987</v>
      </c>
      <c r="G15" s="48">
        <v>0.804</v>
      </c>
      <c r="H15" s="48">
        <v>1.0</v>
      </c>
      <c r="I15" s="50" t="str">
        <f>IMAGE("https://drive.google.com/uc?export=view&amp;id=19Qz5vBOQBODYkq7talnwrR3YtMs8Fgtw")</f>
        <v/>
      </c>
      <c r="J15" s="47" t="s">
        <v>14</v>
      </c>
    </row>
    <row r="16">
      <c r="A16" s="49">
        <v>15.0</v>
      </c>
      <c r="B16" s="47" t="s">
        <v>88</v>
      </c>
      <c r="C16" s="47" t="s">
        <v>1273</v>
      </c>
      <c r="D16" s="47" t="s">
        <v>1274</v>
      </c>
      <c r="E16" s="48">
        <v>0.619</v>
      </c>
      <c r="F16" s="48">
        <v>0.877</v>
      </c>
      <c r="G16" s="48">
        <v>1.0</v>
      </c>
      <c r="H16" s="48">
        <v>1.0</v>
      </c>
      <c r="I16" s="50" t="str">
        <f>IMAGE("https://drive.google.com/uc?export=view&amp;id=1F1H5a2uT42hjNwVm7K3VZnscgEj6zinh")</f>
        <v/>
      </c>
      <c r="J16" s="47" t="s">
        <v>14</v>
      </c>
    </row>
    <row r="17">
      <c r="A17" s="49">
        <v>16.0</v>
      </c>
      <c r="B17" s="47" t="s">
        <v>91</v>
      </c>
      <c r="C17" s="47" t="s">
        <v>1275</v>
      </c>
      <c r="D17" s="47" t="s">
        <v>1276</v>
      </c>
      <c r="E17" s="48">
        <v>0.4</v>
      </c>
      <c r="F17" s="48">
        <v>0.997</v>
      </c>
      <c r="G17" s="48">
        <v>0.887</v>
      </c>
      <c r="H17" s="48">
        <v>1.0</v>
      </c>
      <c r="I17" s="50" t="str">
        <f>IMAGE("https://drive.google.com/uc?export=view&amp;id=1uNx0MK9j4lGrVnD3GdUeSlyLr4ulAaTY")</f>
        <v/>
      </c>
      <c r="J17" s="47" t="s">
        <v>14</v>
      </c>
    </row>
    <row r="18">
      <c r="A18" s="49">
        <v>17.0</v>
      </c>
      <c r="B18" s="47" t="s">
        <v>94</v>
      </c>
      <c r="C18" s="47" t="s">
        <v>1277</v>
      </c>
      <c r="D18" s="47" t="s">
        <v>1278</v>
      </c>
      <c r="E18" s="48">
        <v>1.0</v>
      </c>
      <c r="F18" s="48">
        <v>0.845</v>
      </c>
      <c r="G18" s="48">
        <v>0.806</v>
      </c>
      <c r="H18" s="48">
        <v>0.8</v>
      </c>
      <c r="I18" s="50" t="str">
        <f>IMAGE("https://drive.google.com/uc?export=view&amp;id=15SFT_t85Ey5LLkjNTGsXUQzMkMy2ioSR")</f>
        <v/>
      </c>
      <c r="J18" s="47" t="s">
        <v>14</v>
      </c>
    </row>
    <row r="19">
      <c r="A19" s="35">
        <v>18.0</v>
      </c>
      <c r="B19" s="37" t="s">
        <v>97</v>
      </c>
      <c r="C19" s="37" t="s">
        <v>1279</v>
      </c>
      <c r="D19" s="37" t="s">
        <v>1280</v>
      </c>
      <c r="E19" s="38">
        <v>0.0</v>
      </c>
      <c r="F19" s="38">
        <v>0.844</v>
      </c>
      <c r="G19" s="38">
        <v>0.0</v>
      </c>
      <c r="H19" s="38">
        <v>0.333</v>
      </c>
      <c r="I19" s="36" t="str">
        <f>IMAGE("https://drive.google.com/uc?export=view&amp;id=1sM15VPFCnImoeQjsAdOTBa-MNDL7X8MS")</f>
        <v/>
      </c>
      <c r="J19" s="37" t="s">
        <v>14</v>
      </c>
    </row>
    <row r="20">
      <c r="A20" s="49">
        <v>19.0</v>
      </c>
      <c r="B20" s="47" t="s">
        <v>100</v>
      </c>
      <c r="C20" s="47" t="s">
        <v>1281</v>
      </c>
      <c r="D20" s="47" t="s">
        <v>1282</v>
      </c>
      <c r="E20" s="48">
        <v>0.733</v>
      </c>
      <c r="F20" s="48">
        <v>0.915</v>
      </c>
      <c r="G20" s="48">
        <v>1.0</v>
      </c>
      <c r="H20" s="48">
        <v>1.0</v>
      </c>
      <c r="I20" s="50" t="str">
        <f>IMAGE("https://drive.google.com/uc?export=view&amp;id=1AAlbT5s75VtBglvaUq4mn-IueO4lT2Ct")</f>
        <v/>
      </c>
      <c r="J20" s="47" t="s">
        <v>14</v>
      </c>
    </row>
    <row r="21">
      <c r="A21" s="49">
        <v>20.0</v>
      </c>
      <c r="B21" s="47" t="s">
        <v>115</v>
      </c>
      <c r="C21" s="47" t="s">
        <v>1283</v>
      </c>
      <c r="D21" s="47" t="s">
        <v>1284</v>
      </c>
      <c r="E21" s="48">
        <v>0.923</v>
      </c>
      <c r="F21" s="48">
        <v>0.979</v>
      </c>
      <c r="G21" s="48">
        <v>1.0</v>
      </c>
      <c r="H21" s="48">
        <v>1.0</v>
      </c>
      <c r="I21" s="50" t="str">
        <f>IMAGE("https://drive.google.com/uc?export=view&amp;id=18jgohjZ7wUibQ47sx8tkgCFQ-bW16_Wc")</f>
        <v/>
      </c>
      <c r="J21" s="47" t="s">
        <v>14</v>
      </c>
    </row>
    <row r="22">
      <c r="A22" s="49">
        <v>21.0</v>
      </c>
      <c r="B22" s="47" t="s">
        <v>103</v>
      </c>
      <c r="C22" s="47" t="s">
        <v>1285</v>
      </c>
      <c r="D22" s="47" t="s">
        <v>1286</v>
      </c>
      <c r="E22" s="48">
        <v>1.0</v>
      </c>
      <c r="F22" s="48">
        <v>0.818</v>
      </c>
      <c r="G22" s="48">
        <v>1.0</v>
      </c>
      <c r="H22" s="48">
        <v>1.0</v>
      </c>
      <c r="I22" s="50" t="str">
        <f>IMAGE("https://drive.google.com/uc?export=view&amp;id=1QHQIxjywzSgHqbR3igHHZBp_-EYSDeIO")</f>
        <v/>
      </c>
      <c r="J22" s="47" t="s">
        <v>15</v>
      </c>
    </row>
    <row r="23">
      <c r="A23" s="49">
        <v>22.0</v>
      </c>
      <c r="B23" s="47" t="s">
        <v>106</v>
      </c>
      <c r="C23" s="47" t="s">
        <v>1287</v>
      </c>
      <c r="D23" s="47" t="s">
        <v>1288</v>
      </c>
      <c r="E23" s="48">
        <v>0.889</v>
      </c>
      <c r="F23" s="48">
        <v>0.0</v>
      </c>
      <c r="G23" s="48">
        <v>0.0</v>
      </c>
      <c r="H23" s="48">
        <v>0.667</v>
      </c>
      <c r="I23" s="50" t="str">
        <f>IMAGE("https://drive.google.com/uc?export=view&amp;id=1E-gkl9Jl8qRypr4NdgH48NM-5Xdqlzhm")</f>
        <v/>
      </c>
      <c r="J23" s="47" t="s">
        <v>15</v>
      </c>
    </row>
    <row r="24">
      <c r="A24" s="35">
        <v>23.0</v>
      </c>
      <c r="B24" s="37" t="s">
        <v>109</v>
      </c>
      <c r="C24" s="37" t="s">
        <v>1289</v>
      </c>
      <c r="D24" s="37" t="s">
        <v>1290</v>
      </c>
      <c r="E24" s="38">
        <v>0.667</v>
      </c>
      <c r="F24" s="38">
        <v>1.0</v>
      </c>
      <c r="G24" s="38">
        <v>0.917</v>
      </c>
      <c r="H24" s="38">
        <v>0.444</v>
      </c>
      <c r="I24" s="36" t="str">
        <f>IMAGE("https://drive.google.com/uc?export=view&amp;id=11GO_a5i2o_9bazC55y5GYfiXZTQuEiEn")</f>
        <v/>
      </c>
      <c r="J24" s="37" t="s">
        <v>15</v>
      </c>
    </row>
    <row r="25">
      <c r="A25" s="49">
        <v>24.0</v>
      </c>
      <c r="B25" s="47" t="s">
        <v>112</v>
      </c>
      <c r="C25" s="47" t="s">
        <v>1291</v>
      </c>
      <c r="D25" s="47" t="s">
        <v>1292</v>
      </c>
      <c r="E25" s="48">
        <v>1.0</v>
      </c>
      <c r="F25" s="48">
        <v>0.987</v>
      </c>
      <c r="G25" s="48">
        <v>1.0</v>
      </c>
      <c r="H25" s="48">
        <v>0.8</v>
      </c>
      <c r="I25" s="50" t="str">
        <f>IMAGE("https://drive.google.com/uc?export=view&amp;id=1YUrJB4XUPdR_6gOskvialo3otMZReaMm")</f>
        <v/>
      </c>
      <c r="J25" s="47" t="s">
        <v>15</v>
      </c>
    </row>
    <row r="26">
      <c r="A26" s="49">
        <v>25.0</v>
      </c>
      <c r="B26" s="47" t="s">
        <v>118</v>
      </c>
      <c r="C26" s="47" t="s">
        <v>1293</v>
      </c>
      <c r="D26" s="47" t="s">
        <v>1294</v>
      </c>
      <c r="E26" s="48">
        <v>0.727</v>
      </c>
      <c r="F26" s="48">
        <v>0.591</v>
      </c>
      <c r="G26" s="48">
        <v>0.887</v>
      </c>
      <c r="H26" s="48">
        <v>0.857</v>
      </c>
      <c r="I26" s="50" t="str">
        <f>IMAGE("https://drive.google.com/uc?export=view&amp;id=18JO3aK9-iwL6G1xbLNgAurmu6lDbPSFT")</f>
        <v/>
      </c>
      <c r="J26" s="47" t="s">
        <v>15</v>
      </c>
    </row>
    <row r="27">
      <c r="A27" s="49">
        <v>26.0</v>
      </c>
      <c r="B27" s="47" t="s">
        <v>121</v>
      </c>
      <c r="C27" s="47" t="s">
        <v>1295</v>
      </c>
      <c r="D27" s="47" t="s">
        <v>1296</v>
      </c>
      <c r="E27" s="48">
        <v>0.6</v>
      </c>
      <c r="F27" s="48">
        <v>0.963</v>
      </c>
      <c r="G27" s="48">
        <v>0.833</v>
      </c>
      <c r="H27" s="48">
        <v>1.0</v>
      </c>
      <c r="I27" s="50" t="str">
        <f>IMAGE("https://drive.google.com/uc?export=view&amp;id=1SN1F0bnFM9hOAsrn6PcEU0O_EFdkX1Fa")</f>
        <v/>
      </c>
      <c r="J27" s="47" t="s">
        <v>15</v>
      </c>
    </row>
    <row r="28">
      <c r="A28" s="49">
        <v>27.0</v>
      </c>
      <c r="B28" s="47" t="s">
        <v>124</v>
      </c>
      <c r="C28" s="47" t="s">
        <v>1297</v>
      </c>
      <c r="D28" s="47" t="s">
        <v>1298</v>
      </c>
      <c r="E28" s="48">
        <v>1.0</v>
      </c>
      <c r="F28" s="48">
        <v>0.996</v>
      </c>
      <c r="G28" s="48">
        <v>1.0</v>
      </c>
      <c r="H28" s="48">
        <v>0.8</v>
      </c>
      <c r="I28" s="50" t="str">
        <f>IMAGE("https://drive.google.com/uc?export=view&amp;id=1PRnxMX5RIj_JbKHU6xHPh8UbiZIQ3xZJ")</f>
        <v/>
      </c>
      <c r="J28" s="47" t="s">
        <v>15</v>
      </c>
    </row>
    <row r="29">
      <c r="A29" s="49">
        <v>28.0</v>
      </c>
      <c r="B29" s="47" t="s">
        <v>127</v>
      </c>
      <c r="C29" s="47" t="s">
        <v>1299</v>
      </c>
      <c r="D29" s="47" t="s">
        <v>1300</v>
      </c>
      <c r="E29" s="48">
        <v>0.857</v>
      </c>
      <c r="F29" s="48">
        <v>0.756</v>
      </c>
      <c r="G29" s="48">
        <v>1.0</v>
      </c>
      <c r="H29" s="48">
        <v>1.0</v>
      </c>
      <c r="I29" s="50" t="str">
        <f>IMAGE("https://drive.google.com/uc?export=view&amp;id=1tzI9t1Y_meFPvgMDfIeZN-8WwnSxXWn-")</f>
        <v/>
      </c>
      <c r="J29" s="47" t="s">
        <v>15</v>
      </c>
    </row>
    <row r="30">
      <c r="A30" s="49">
        <v>29.0</v>
      </c>
      <c r="B30" s="47" t="s">
        <v>130</v>
      </c>
      <c r="C30" s="47" t="s">
        <v>1301</v>
      </c>
      <c r="D30" s="47" t="s">
        <v>1302</v>
      </c>
      <c r="E30" s="48">
        <v>0.667</v>
      </c>
      <c r="F30" s="48">
        <v>0.848</v>
      </c>
      <c r="G30" s="48">
        <v>1.0</v>
      </c>
      <c r="H30" s="48">
        <v>0.556</v>
      </c>
      <c r="I30" s="50" t="str">
        <f>IMAGE("https://drive.google.com/uc?export=view&amp;id=1KNbMhQ7n8NsdZBd6egWA-rATJEZLGFkA")</f>
        <v/>
      </c>
      <c r="J30" s="47" t="s">
        <v>15</v>
      </c>
    </row>
    <row r="31">
      <c r="A31" s="49">
        <v>30.0</v>
      </c>
      <c r="B31" s="47" t="s">
        <v>136</v>
      </c>
      <c r="C31" s="47" t="s">
        <v>1303</v>
      </c>
      <c r="D31" s="47" t="s">
        <v>1304</v>
      </c>
      <c r="E31" s="48">
        <v>1.0</v>
      </c>
      <c r="F31" s="48">
        <v>0.748</v>
      </c>
      <c r="G31" s="48">
        <v>1.0</v>
      </c>
      <c r="H31" s="48">
        <v>1.0</v>
      </c>
      <c r="I31" s="47" t="s">
        <v>1305</v>
      </c>
      <c r="J31" s="47" t="s">
        <v>15</v>
      </c>
    </row>
    <row r="32">
      <c r="A32" s="35">
        <v>31.0</v>
      </c>
      <c r="B32" s="37" t="s">
        <v>139</v>
      </c>
      <c r="C32" s="37" t="s">
        <v>1306</v>
      </c>
      <c r="D32" s="37" t="s">
        <v>1307</v>
      </c>
      <c r="E32" s="38">
        <v>1.0</v>
      </c>
      <c r="F32" s="38">
        <v>1.0</v>
      </c>
      <c r="G32" s="38">
        <v>0.887</v>
      </c>
      <c r="H32" s="38">
        <v>0.4</v>
      </c>
      <c r="I32" s="36" t="str">
        <f>IMAGE("https://drive.google.com/uc?export=view&amp;id=19v5duyW3C4a9YgFJzkExXub1DOkqsG4l")</f>
        <v/>
      </c>
      <c r="J32" s="37" t="s">
        <v>15</v>
      </c>
    </row>
    <row r="33">
      <c r="A33" s="49">
        <v>32.0</v>
      </c>
      <c r="B33" s="47" t="s">
        <v>133</v>
      </c>
      <c r="C33" s="47" t="s">
        <v>1308</v>
      </c>
      <c r="D33" s="47" t="s">
        <v>1309</v>
      </c>
      <c r="E33" s="48">
        <v>0.714</v>
      </c>
      <c r="F33" s="48">
        <v>0.873</v>
      </c>
      <c r="G33" s="48">
        <v>1.0</v>
      </c>
      <c r="H33" s="48">
        <v>1.0</v>
      </c>
      <c r="I33" s="50" t="str">
        <f>IMAGE("https://drive.google.com/uc?export=view&amp;id=1m4HxoIsw7lEbUoKeHEuY52mBsdjRreR2")</f>
        <v/>
      </c>
      <c r="J33" s="47" t="s">
        <v>15</v>
      </c>
    </row>
    <row r="34">
      <c r="A34" s="49">
        <v>33.0</v>
      </c>
      <c r="B34" s="47" t="s">
        <v>142</v>
      </c>
      <c r="C34" s="47" t="s">
        <v>1310</v>
      </c>
      <c r="D34" s="47" t="s">
        <v>1311</v>
      </c>
      <c r="E34" s="48">
        <v>0.957</v>
      </c>
      <c r="F34" s="48">
        <v>0.589</v>
      </c>
      <c r="G34" s="48">
        <v>1.0</v>
      </c>
      <c r="H34" s="48">
        <v>1.0</v>
      </c>
      <c r="I34" s="50" t="str">
        <f>IMAGE("https://drive.google.com/uc?export=view&amp;id=1mcxnIj0hNZBwhmPqyVm1exRojWVgXSLk")</f>
        <v/>
      </c>
      <c r="J34" s="47" t="s">
        <v>15</v>
      </c>
    </row>
    <row r="35">
      <c r="A35" s="49">
        <v>34.0</v>
      </c>
      <c r="B35" s="47" t="s">
        <v>145</v>
      </c>
      <c r="C35" s="47" t="s">
        <v>1312</v>
      </c>
      <c r="D35" s="47" t="s">
        <v>1313</v>
      </c>
      <c r="E35" s="48">
        <v>1.0</v>
      </c>
      <c r="F35" s="48">
        <v>0.998</v>
      </c>
      <c r="G35" s="48">
        <v>1.0</v>
      </c>
      <c r="H35" s="48">
        <v>1.0</v>
      </c>
      <c r="I35" s="50" t="str">
        <f>IMAGE("https://drive.google.com/uc?export=view&amp;id=1bB0m-UM2VKepRyTWtMXYgJaBVtR8D69a")</f>
        <v/>
      </c>
      <c r="J35" s="47" t="s">
        <v>15</v>
      </c>
    </row>
    <row r="36">
      <c r="A36" s="49">
        <v>35.0</v>
      </c>
      <c r="B36" s="47" t="s">
        <v>148</v>
      </c>
      <c r="C36" s="47" t="s">
        <v>1314</v>
      </c>
      <c r="D36" s="47" t="s">
        <v>1315</v>
      </c>
      <c r="E36" s="48">
        <v>0.3</v>
      </c>
      <c r="F36" s="48">
        <v>0.992</v>
      </c>
      <c r="G36" s="48">
        <v>1.0</v>
      </c>
      <c r="H36" s="48">
        <v>0.833</v>
      </c>
      <c r="I36" s="50" t="str">
        <f>IMAGE("https://drive.google.com/uc?export=view&amp;id=1olfP43i-u_bEk45yQxcxnjQ0SZc1K8DQ")</f>
        <v/>
      </c>
      <c r="J36" s="47" t="s">
        <v>15</v>
      </c>
    </row>
    <row r="37">
      <c r="A37" s="49">
        <v>36.0</v>
      </c>
      <c r="B37" s="47" t="s">
        <v>151</v>
      </c>
      <c r="C37" s="47" t="s">
        <v>1316</v>
      </c>
      <c r="D37" s="47" t="s">
        <v>1317</v>
      </c>
      <c r="E37" s="48">
        <v>0.455</v>
      </c>
      <c r="F37" s="48">
        <v>0.989</v>
      </c>
      <c r="G37" s="48">
        <v>1.0</v>
      </c>
      <c r="H37" s="48">
        <v>1.0</v>
      </c>
      <c r="I37" s="50" t="str">
        <f>IMAGE("https://drive.google.com/uc?export=view&amp;id=1Tvaw8hrgt7KtAQUtLkO4SSOoYx3noAew")</f>
        <v/>
      </c>
      <c r="J37" s="47" t="s">
        <v>15</v>
      </c>
    </row>
    <row r="38">
      <c r="A38" s="49">
        <v>37.0</v>
      </c>
      <c r="B38" s="47" t="s">
        <v>154</v>
      </c>
      <c r="C38" s="47" t="s">
        <v>1318</v>
      </c>
      <c r="D38" s="47" t="s">
        <v>1319</v>
      </c>
      <c r="E38" s="48">
        <v>0.909</v>
      </c>
      <c r="F38" s="48">
        <v>0.68</v>
      </c>
      <c r="G38" s="48">
        <v>1.0</v>
      </c>
      <c r="H38" s="48">
        <v>1.0</v>
      </c>
      <c r="I38" s="50" t="str">
        <f>IMAGE("https://drive.google.com/uc?export=view&amp;id=1sEB3ACNpCgvcZ6gUf--kK1aAqL2Xv8Xp")</f>
        <v/>
      </c>
      <c r="J38" s="47" t="s">
        <v>15</v>
      </c>
    </row>
    <row r="39">
      <c r="A39" s="35">
        <v>38.0</v>
      </c>
      <c r="B39" s="37" t="s">
        <v>157</v>
      </c>
      <c r="C39" s="37" t="s">
        <v>1320</v>
      </c>
      <c r="D39" s="37" t="s">
        <v>1321</v>
      </c>
      <c r="E39" s="38">
        <v>0.455</v>
      </c>
      <c r="F39" s="38">
        <v>0.998</v>
      </c>
      <c r="G39" s="38">
        <v>0.806</v>
      </c>
      <c r="H39" s="38">
        <v>0.429</v>
      </c>
      <c r="I39" s="36" t="str">
        <f>IMAGE("https://drive.google.com/uc?export=view&amp;id=18eoquw7yRi0KnWf5OKWO632CzErdPx5q")</f>
        <v/>
      </c>
      <c r="J39" s="37" t="s">
        <v>15</v>
      </c>
    </row>
    <row r="40">
      <c r="A40" s="49">
        <v>39.0</v>
      </c>
      <c r="B40" s="47" t="s">
        <v>160</v>
      </c>
      <c r="C40" s="47" t="s">
        <v>1322</v>
      </c>
      <c r="D40" s="47" t="s">
        <v>1323</v>
      </c>
      <c r="E40" s="48">
        <v>1.0</v>
      </c>
      <c r="F40" s="48">
        <v>0.973</v>
      </c>
      <c r="G40" s="48">
        <v>1.0</v>
      </c>
      <c r="H40" s="48">
        <v>0.75</v>
      </c>
      <c r="I40" s="50" t="str">
        <f>IMAGE("https://drive.google.com/uc?export=view&amp;id=1lhHrOy4Q5KepHUh4ASj-_TvjrxG5Z7Iw")</f>
        <v/>
      </c>
      <c r="J40" s="47" t="s">
        <v>15</v>
      </c>
    </row>
    <row r="41">
      <c r="A41" s="49">
        <v>40.0</v>
      </c>
      <c r="B41" s="47" t="s">
        <v>163</v>
      </c>
      <c r="C41" s="47" t="s">
        <v>1324</v>
      </c>
      <c r="D41" s="47" t="s">
        <v>1325</v>
      </c>
      <c r="E41" s="48">
        <v>0.92</v>
      </c>
      <c r="F41" s="48">
        <v>0.629</v>
      </c>
      <c r="G41" s="48">
        <v>0.95</v>
      </c>
      <c r="H41" s="48">
        <v>1.0</v>
      </c>
      <c r="I41" s="50" t="str">
        <f>IMAGE("https://drive.google.com/uc?export=view&amp;id=1aoK5gETYeEq_r3vRV4AS7DrPKi3sRsib")</f>
        <v/>
      </c>
      <c r="J41" s="47" t="s">
        <v>15</v>
      </c>
    </row>
    <row r="42">
      <c r="A42" s="49">
        <v>41.0</v>
      </c>
      <c r="B42" s="47" t="s">
        <v>166</v>
      </c>
      <c r="C42" s="47" t="s">
        <v>1326</v>
      </c>
      <c r="D42" s="47" t="s">
        <v>1327</v>
      </c>
      <c r="E42" s="48">
        <v>0.667</v>
      </c>
      <c r="F42" s="48">
        <v>0.986</v>
      </c>
      <c r="G42" s="48">
        <v>1.0</v>
      </c>
      <c r="H42" s="48">
        <v>0.667</v>
      </c>
      <c r="I42" s="50" t="str">
        <f>IMAGE("https://drive.google.com/uc?export=view&amp;id=1QixMFa2jPcY_hYkpUiAYU5zXpyyuz99H")</f>
        <v/>
      </c>
      <c r="J42" s="47" t="s">
        <v>16</v>
      </c>
    </row>
    <row r="43">
      <c r="A43" s="49">
        <v>42.0</v>
      </c>
      <c r="B43" s="47" t="s">
        <v>169</v>
      </c>
      <c r="C43" s="47" t="s">
        <v>1328</v>
      </c>
      <c r="D43" s="47" t="s">
        <v>1329</v>
      </c>
      <c r="E43" s="48">
        <v>0.727</v>
      </c>
      <c r="F43" s="48">
        <v>0.9</v>
      </c>
      <c r="G43" s="48">
        <v>0.756</v>
      </c>
      <c r="H43" s="48">
        <v>1.0</v>
      </c>
      <c r="I43" s="50" t="str">
        <f>IMAGE("https://drive.google.com/uc?export=view&amp;id=1GPO-Bp6lBmjqJmNEn3GWwq7jZuhgM6uA")</f>
        <v/>
      </c>
      <c r="J43" s="47" t="s">
        <v>16</v>
      </c>
    </row>
    <row r="44">
      <c r="A44" s="49">
        <v>43.0</v>
      </c>
      <c r="B44" s="47" t="s">
        <v>172</v>
      </c>
      <c r="C44" s="47" t="s">
        <v>1330</v>
      </c>
      <c r="D44" s="47" t="s">
        <v>1331</v>
      </c>
      <c r="E44" s="48">
        <v>1.0</v>
      </c>
      <c r="F44" s="48">
        <v>0.97</v>
      </c>
      <c r="G44" s="48">
        <v>1.0</v>
      </c>
      <c r="H44" s="48">
        <v>1.0</v>
      </c>
      <c r="I44" s="50" t="str">
        <f>IMAGE("https://drive.google.com/uc?export=view&amp;id=16Wz2tyFMhBPr36pxeafMqzoeAwcEuHHt")</f>
        <v/>
      </c>
      <c r="J44" s="47" t="s">
        <v>16</v>
      </c>
    </row>
    <row r="45">
      <c r="A45" s="35">
        <v>44.0</v>
      </c>
      <c r="B45" s="37" t="s">
        <v>175</v>
      </c>
      <c r="C45" s="37" t="s">
        <v>1332</v>
      </c>
      <c r="D45" s="37" t="s">
        <v>1333</v>
      </c>
      <c r="E45" s="38">
        <v>1.0</v>
      </c>
      <c r="F45" s="38">
        <v>0.888</v>
      </c>
      <c r="G45" s="38">
        <v>0.833</v>
      </c>
      <c r="H45" s="38">
        <v>0.1</v>
      </c>
      <c r="I45" s="36" t="str">
        <f>IMAGE("https://drive.google.com/uc?export=view&amp;id=1oH97pxPs9t5m-X4FOr-m_-uGjLL4CrNK")</f>
        <v/>
      </c>
      <c r="J45" s="37" t="s">
        <v>16</v>
      </c>
    </row>
    <row r="46">
      <c r="A46" s="35">
        <v>45.0</v>
      </c>
      <c r="B46" s="37" t="s">
        <v>178</v>
      </c>
      <c r="C46" s="37" t="s">
        <v>1334</v>
      </c>
      <c r="D46" s="37" t="s">
        <v>1335</v>
      </c>
      <c r="E46" s="38">
        <v>0.727</v>
      </c>
      <c r="F46" s="38">
        <v>0.947</v>
      </c>
      <c r="G46" s="38">
        <v>1.0</v>
      </c>
      <c r="H46" s="38">
        <v>0.0</v>
      </c>
      <c r="I46" s="36" t="str">
        <f>IMAGE("https://drive.google.com/uc?export=view&amp;id=1duRZnrmw7PZXPyiDG9-9jqhV3MPGe4Gv")</f>
        <v/>
      </c>
      <c r="J46" s="37" t="s">
        <v>16</v>
      </c>
    </row>
    <row r="47">
      <c r="A47" s="49">
        <v>46.0</v>
      </c>
      <c r="B47" s="47" t="s">
        <v>856</v>
      </c>
      <c r="C47" s="47" t="s">
        <v>1336</v>
      </c>
      <c r="D47" s="47" t="s">
        <v>1337</v>
      </c>
      <c r="E47" s="48">
        <v>0.7</v>
      </c>
      <c r="F47" s="48">
        <v>0.942</v>
      </c>
      <c r="G47" s="48">
        <v>1.0</v>
      </c>
      <c r="H47" s="48">
        <v>1.0</v>
      </c>
      <c r="I47" s="50" t="str">
        <f>IMAGE("https://drive.google.com/uc?export=view&amp;id=16SG6Kzeh-EXt3LjhB5hqOFMNXbxzhNuR")</f>
        <v/>
      </c>
      <c r="J47" s="47" t="s">
        <v>16</v>
      </c>
    </row>
    <row r="48">
      <c r="A48" s="49">
        <v>47.0</v>
      </c>
      <c r="B48" s="47" t="s">
        <v>184</v>
      </c>
      <c r="C48" s="47" t="s">
        <v>1338</v>
      </c>
      <c r="D48" s="47" t="s">
        <v>1339</v>
      </c>
      <c r="E48" s="48">
        <v>0.444</v>
      </c>
      <c r="F48" s="48">
        <v>0.85</v>
      </c>
      <c r="G48" s="48">
        <v>1.0</v>
      </c>
      <c r="H48" s="48">
        <v>1.0</v>
      </c>
      <c r="I48" s="50" t="str">
        <f>IMAGE("https://drive.google.com/uc?export=view&amp;id=1WC3ptt0IDZevWFFMcj8l8WYxynazrwS6")</f>
        <v/>
      </c>
      <c r="J48" s="47" t="s">
        <v>16</v>
      </c>
    </row>
    <row r="49">
      <c r="A49" s="49">
        <v>48.0</v>
      </c>
      <c r="B49" s="47" t="s">
        <v>187</v>
      </c>
      <c r="C49" s="47" t="s">
        <v>1340</v>
      </c>
      <c r="D49" s="47" t="s">
        <v>1341</v>
      </c>
      <c r="E49" s="48">
        <v>0.7</v>
      </c>
      <c r="F49" s="48">
        <v>0.942</v>
      </c>
      <c r="G49" s="48">
        <v>0.679</v>
      </c>
      <c r="H49" s="48">
        <v>1.0</v>
      </c>
      <c r="I49" s="50" t="str">
        <f>IMAGE("https://drive.google.com/uc?export=view&amp;id=1bbQqgoPT3uaZ2-e4Q_I0JuZonuxCSLkd")</f>
        <v/>
      </c>
      <c r="J49" s="47" t="s">
        <v>16</v>
      </c>
    </row>
    <row r="50">
      <c r="A50" s="35">
        <v>49.0</v>
      </c>
      <c r="B50" s="37" t="s">
        <v>193</v>
      </c>
      <c r="C50" s="37" t="s">
        <v>1342</v>
      </c>
      <c r="D50" s="37" t="s">
        <v>1343</v>
      </c>
      <c r="E50" s="38">
        <v>0.143</v>
      </c>
      <c r="F50" s="38">
        <v>0.873</v>
      </c>
      <c r="G50" s="38">
        <v>1.0</v>
      </c>
      <c r="H50" s="38">
        <v>0.0</v>
      </c>
      <c r="I50" s="36" t="str">
        <f>IMAGE("https://drive.google.com/uc?export=view&amp;id=1UQByIBuysccoqSbwFIksvq9S4-9hZxa7")</f>
        <v/>
      </c>
      <c r="J50" s="37" t="s">
        <v>16</v>
      </c>
    </row>
    <row r="51">
      <c r="A51" s="49">
        <v>50.0</v>
      </c>
      <c r="B51" s="47" t="s">
        <v>190</v>
      </c>
      <c r="C51" s="47" t="s">
        <v>1344</v>
      </c>
      <c r="D51" s="47" t="s">
        <v>1345</v>
      </c>
      <c r="E51" s="48">
        <v>0.0</v>
      </c>
      <c r="F51" s="48">
        <v>0.892</v>
      </c>
      <c r="G51" s="48">
        <v>0.95</v>
      </c>
      <c r="H51" s="48">
        <v>1.0</v>
      </c>
      <c r="I51" s="50" t="str">
        <f>IMAGE("https://drive.google.com/uc?export=view&amp;id=1NLDwQtX5cdxryBwwM3CTYC4QFcdZ9V_x")</f>
        <v/>
      </c>
      <c r="J51" s="47" t="s">
        <v>16</v>
      </c>
    </row>
    <row r="52">
      <c r="A52" s="49">
        <v>51.0</v>
      </c>
      <c r="B52" s="47" t="s">
        <v>196</v>
      </c>
      <c r="C52" s="47" t="s">
        <v>1346</v>
      </c>
      <c r="D52" s="47" t="s">
        <v>1347</v>
      </c>
      <c r="E52" s="48">
        <v>0.8</v>
      </c>
      <c r="F52" s="48">
        <v>0.765</v>
      </c>
      <c r="G52" s="48">
        <v>1.0</v>
      </c>
      <c r="H52" s="48">
        <v>1.0</v>
      </c>
      <c r="I52" s="50" t="str">
        <f>IMAGE("https://drive.google.com/uc?export=view&amp;id=1FXQz0xgu_18ZKBg3OieK6WkuGlkJTNbS")</f>
        <v/>
      </c>
      <c r="J52" s="47" t="s">
        <v>16</v>
      </c>
    </row>
    <row r="53">
      <c r="A53" s="49">
        <v>52.0</v>
      </c>
      <c r="B53" s="47" t="s">
        <v>199</v>
      </c>
      <c r="C53" s="47" t="s">
        <v>1348</v>
      </c>
      <c r="D53" s="47" t="s">
        <v>1349</v>
      </c>
      <c r="E53" s="48">
        <v>0.652</v>
      </c>
      <c r="F53" s="48">
        <v>0.929</v>
      </c>
      <c r="G53" s="48">
        <v>1.0</v>
      </c>
      <c r="H53" s="48">
        <v>1.0</v>
      </c>
      <c r="I53" s="50" t="str">
        <f>IMAGE("https://drive.google.com/uc?export=view&amp;id=11bj0TpFb4uaVE03XnDmBebrf2ry-232Z")</f>
        <v/>
      </c>
      <c r="J53" s="47" t="s">
        <v>16</v>
      </c>
    </row>
    <row r="54">
      <c r="A54" s="49">
        <v>53.0</v>
      </c>
      <c r="B54" s="47" t="s">
        <v>205</v>
      </c>
      <c r="C54" s="47" t="s">
        <v>1350</v>
      </c>
      <c r="D54" s="47" t="s">
        <v>1351</v>
      </c>
      <c r="E54" s="48">
        <v>0.0</v>
      </c>
      <c r="F54" s="48">
        <v>1.0</v>
      </c>
      <c r="G54" s="48">
        <v>1.0</v>
      </c>
      <c r="H54" s="48">
        <v>1.0</v>
      </c>
      <c r="I54" s="50" t="str">
        <f>IMAGE("https://drive.google.com/uc?export=view&amp;id=1lMl-CJN840wmZlV1waGSPw7qCZT243tn")</f>
        <v/>
      </c>
      <c r="J54" s="47" t="s">
        <v>16</v>
      </c>
    </row>
    <row r="55">
      <c r="A55" s="49">
        <v>54.0</v>
      </c>
      <c r="B55" s="47" t="s">
        <v>202</v>
      </c>
      <c r="C55" s="47" t="s">
        <v>1352</v>
      </c>
      <c r="D55" s="47" t="s">
        <v>1353</v>
      </c>
      <c r="E55" s="48">
        <v>1.0</v>
      </c>
      <c r="F55" s="48">
        <v>0.878</v>
      </c>
      <c r="G55" s="48">
        <v>1.0</v>
      </c>
      <c r="H55" s="48">
        <v>1.0</v>
      </c>
      <c r="I55" s="50" t="str">
        <f>IMAGE("https://drive.google.com/uc?export=view&amp;id=1ANsuDncMU9bQ--16Ui7uiWvISwyA3Q0L")</f>
        <v/>
      </c>
      <c r="J55" s="47" t="s">
        <v>16</v>
      </c>
    </row>
    <row r="56">
      <c r="A56" s="49">
        <v>55.0</v>
      </c>
      <c r="B56" s="47" t="s">
        <v>208</v>
      </c>
      <c r="C56" s="47" t="s">
        <v>1354</v>
      </c>
      <c r="D56" s="47" t="s">
        <v>1355</v>
      </c>
      <c r="E56" s="48">
        <v>0.762</v>
      </c>
      <c r="F56" s="48">
        <v>0.734</v>
      </c>
      <c r="G56" s="48">
        <v>0.95</v>
      </c>
      <c r="H56" s="48">
        <v>1.0</v>
      </c>
      <c r="I56" s="50" t="str">
        <f>IMAGE("https://drive.google.com/uc?export=view&amp;id=1cpnIqyDpu03bBPOcfM_wGKbc5tks_28q")</f>
        <v/>
      </c>
      <c r="J56" s="47" t="s">
        <v>16</v>
      </c>
    </row>
    <row r="57">
      <c r="A57" s="49">
        <v>56.0</v>
      </c>
      <c r="B57" s="47" t="s">
        <v>211</v>
      </c>
      <c r="C57" s="47" t="s">
        <v>1356</v>
      </c>
      <c r="D57" s="47" t="s">
        <v>1357</v>
      </c>
      <c r="E57" s="48">
        <v>1.0</v>
      </c>
      <c r="F57" s="48">
        <v>0.9</v>
      </c>
      <c r="G57" s="48">
        <v>0.756</v>
      </c>
      <c r="H57" s="48">
        <v>1.0</v>
      </c>
      <c r="I57" s="50" t="str">
        <f>IMAGE("https://drive.google.com/uc?export=view&amp;id=1EkslpVZmPL7_Gm2RCXb0nXGS3zEwAhpw")</f>
        <v/>
      </c>
      <c r="J57" s="47" t="s">
        <v>16</v>
      </c>
    </row>
    <row r="58">
      <c r="A58" s="49">
        <v>57.0</v>
      </c>
      <c r="B58" s="47" t="s">
        <v>214</v>
      </c>
      <c r="C58" s="47" t="s">
        <v>1358</v>
      </c>
      <c r="D58" s="47" t="s">
        <v>1359</v>
      </c>
      <c r="E58" s="48">
        <v>0.917</v>
      </c>
      <c r="F58" s="48">
        <v>0.946</v>
      </c>
      <c r="G58" s="48">
        <v>1.0</v>
      </c>
      <c r="H58" s="48">
        <v>1.0</v>
      </c>
      <c r="I58" s="50" t="str">
        <f>IMAGE("https://drive.google.com/uc?export=view&amp;id=1VMDsiDPyDGh1EhVDmvWHtwIDzkCRHNCF")</f>
        <v/>
      </c>
      <c r="J58" s="47" t="s">
        <v>16</v>
      </c>
    </row>
    <row r="59">
      <c r="A59" s="35">
        <v>58.0</v>
      </c>
      <c r="B59" s="37" t="s">
        <v>217</v>
      </c>
      <c r="C59" s="37" t="s">
        <v>1360</v>
      </c>
      <c r="D59" s="37" t="s">
        <v>1361</v>
      </c>
      <c r="E59" s="38">
        <v>0.933</v>
      </c>
      <c r="F59" s="38">
        <v>0.989</v>
      </c>
      <c r="G59" s="38">
        <v>0.25</v>
      </c>
      <c r="H59" s="38">
        <v>0.0</v>
      </c>
      <c r="I59" s="36" t="str">
        <f>IMAGE("https://drive.google.com/uc?export=view&amp;id=1Eur0a82kicMWAHjIGHtqzzDNGLfBNqrm")</f>
        <v/>
      </c>
      <c r="J59" s="37" t="s">
        <v>16</v>
      </c>
    </row>
    <row r="60">
      <c r="A60" s="49">
        <v>59.0</v>
      </c>
      <c r="B60" s="47" t="s">
        <v>220</v>
      </c>
      <c r="C60" s="47" t="s">
        <v>1362</v>
      </c>
      <c r="D60" s="47" t="s">
        <v>1363</v>
      </c>
      <c r="E60" s="48">
        <v>0.588</v>
      </c>
      <c r="F60" s="48">
        <v>0.624</v>
      </c>
      <c r="G60" s="48">
        <v>0.917</v>
      </c>
      <c r="H60" s="48">
        <v>1.0</v>
      </c>
      <c r="I60" s="50" t="str">
        <f>IMAGE("https://drive.google.com/uc?export=view&amp;id=1JzQofGOHNp5YH77LWAg6rPHPOkurvsPp")</f>
        <v/>
      </c>
      <c r="J60" s="47" t="s">
        <v>16</v>
      </c>
    </row>
    <row r="61">
      <c r="A61" s="49">
        <v>60.0</v>
      </c>
      <c r="B61" s="47" t="s">
        <v>223</v>
      </c>
      <c r="C61" s="47" t="s">
        <v>1364</v>
      </c>
      <c r="D61" s="47" t="s">
        <v>1365</v>
      </c>
      <c r="E61" s="48">
        <v>0.722</v>
      </c>
      <c r="F61" s="48">
        <v>0.812</v>
      </c>
      <c r="G61" s="48">
        <v>1.0</v>
      </c>
      <c r="H61" s="48">
        <v>1.0</v>
      </c>
      <c r="I61" s="50" t="str">
        <f>IMAGE("https://drive.google.com/uc?export=view&amp;id=1c5FhTPKwTK-dEhr4qZ8q8K7hiatPJb-4")</f>
        <v/>
      </c>
      <c r="J61" s="47" t="s">
        <v>16</v>
      </c>
    </row>
    <row r="62">
      <c r="A62" s="35">
        <v>61.0</v>
      </c>
      <c r="B62" s="37" t="s">
        <v>226</v>
      </c>
      <c r="C62" s="37" t="s">
        <v>1366</v>
      </c>
      <c r="D62" s="37" t="s">
        <v>1367</v>
      </c>
      <c r="E62" s="38">
        <v>0.667</v>
      </c>
      <c r="F62" s="38">
        <v>0.991</v>
      </c>
      <c r="G62" s="38">
        <v>1.0</v>
      </c>
      <c r="H62" s="38">
        <v>0.0</v>
      </c>
      <c r="I62" s="36" t="str">
        <f>IMAGE("https://drive.google.com/uc?export=view&amp;id=15v_Jv02trVmBgq42Wp78dkP21QSdgKjM")</f>
        <v/>
      </c>
      <c r="J62" s="37" t="s">
        <v>17</v>
      </c>
    </row>
    <row r="63">
      <c r="A63" s="49">
        <v>62.0</v>
      </c>
      <c r="B63" s="47" t="s">
        <v>229</v>
      </c>
      <c r="C63" s="47" t="s">
        <v>1368</v>
      </c>
      <c r="D63" s="47" t="s">
        <v>1369</v>
      </c>
      <c r="E63" s="48">
        <v>0.75</v>
      </c>
      <c r="F63" s="48">
        <v>0.0</v>
      </c>
      <c r="G63" s="48">
        <v>0.0</v>
      </c>
      <c r="H63" s="48">
        <v>1.0</v>
      </c>
      <c r="I63" s="50" t="str">
        <f>IMAGE("https://drive.google.com/uc?export=view&amp;id=19WvOdsFZtMEPBX2AH0_aEzgou8bH3sOL")</f>
        <v/>
      </c>
      <c r="J63" s="47" t="s">
        <v>17</v>
      </c>
    </row>
    <row r="64">
      <c r="A64" s="35">
        <v>63.0</v>
      </c>
      <c r="B64" s="37" t="s">
        <v>232</v>
      </c>
      <c r="C64" s="37" t="s">
        <v>1370</v>
      </c>
      <c r="D64" s="37" t="s">
        <v>1371</v>
      </c>
      <c r="E64" s="38">
        <v>1.0</v>
      </c>
      <c r="F64" s="38">
        <v>0.992</v>
      </c>
      <c r="G64" s="38">
        <v>1.0</v>
      </c>
      <c r="H64" s="38">
        <v>0.167</v>
      </c>
      <c r="I64" s="36" t="str">
        <f>IMAGE("https://drive.google.com/uc?export=view&amp;id=1nKcFw0ic67npFLF3_LF73XMQhOQ6VLRE")</f>
        <v/>
      </c>
      <c r="J64" s="37" t="s">
        <v>17</v>
      </c>
    </row>
    <row r="65">
      <c r="A65" s="49">
        <v>64.0</v>
      </c>
      <c r="B65" s="47" t="s">
        <v>235</v>
      </c>
      <c r="C65" s="47" t="s">
        <v>1372</v>
      </c>
      <c r="D65" s="47" t="s">
        <v>1373</v>
      </c>
      <c r="E65" s="48">
        <v>1.0</v>
      </c>
      <c r="F65" s="48">
        <v>1.0</v>
      </c>
      <c r="G65" s="48">
        <v>1.0</v>
      </c>
      <c r="H65" s="48">
        <v>0.833</v>
      </c>
      <c r="I65" s="50" t="str">
        <f>IMAGE("https://drive.google.com/uc?export=view&amp;id=1Gcc9rn4mO_jLz7e1pBpYasNAn0G6XVVQ")</f>
        <v/>
      </c>
      <c r="J65" s="47" t="s">
        <v>17</v>
      </c>
    </row>
    <row r="66">
      <c r="A66" s="49">
        <v>65.0</v>
      </c>
      <c r="B66" s="47" t="s">
        <v>238</v>
      </c>
      <c r="C66" s="47" t="s">
        <v>1374</v>
      </c>
      <c r="D66" s="47" t="s">
        <v>1375</v>
      </c>
      <c r="E66" s="48">
        <v>0.5</v>
      </c>
      <c r="F66" s="48">
        <v>0.85</v>
      </c>
      <c r="G66" s="48">
        <v>1.0</v>
      </c>
      <c r="H66" s="48">
        <v>0.8</v>
      </c>
      <c r="I66" s="50" t="str">
        <f>IMAGE("https://drive.google.com/uc?export=view&amp;id=1dg0UG4si6_1yA-iu2OE6WykfVb3zi8u1")</f>
        <v/>
      </c>
      <c r="J66" s="47" t="s">
        <v>17</v>
      </c>
    </row>
    <row r="67">
      <c r="A67" s="49">
        <v>66.0</v>
      </c>
      <c r="B67" s="47" t="s">
        <v>241</v>
      </c>
      <c r="C67" s="47" t="s">
        <v>1376</v>
      </c>
      <c r="D67" s="47" t="s">
        <v>1377</v>
      </c>
      <c r="E67" s="48">
        <v>0.5</v>
      </c>
      <c r="F67" s="48">
        <v>0.0</v>
      </c>
      <c r="G67" s="48">
        <v>0.0</v>
      </c>
      <c r="H67" s="48">
        <v>0.727</v>
      </c>
      <c r="I67" s="50" t="str">
        <f>IMAGE("https://drive.google.com/uc?export=view&amp;id=1QQm_oSN9Sm23XRf8Q_TpaPaEInVB5PHi")</f>
        <v/>
      </c>
      <c r="J67" s="47" t="s">
        <v>17</v>
      </c>
    </row>
    <row r="68">
      <c r="A68" s="49">
        <v>67.0</v>
      </c>
      <c r="B68" s="47" t="s">
        <v>244</v>
      </c>
      <c r="C68" s="47" t="s">
        <v>1378</v>
      </c>
      <c r="D68" s="47" t="s">
        <v>1379</v>
      </c>
      <c r="E68" s="48">
        <v>1.0</v>
      </c>
      <c r="F68" s="48">
        <v>0.999</v>
      </c>
      <c r="G68" s="48">
        <v>0.333</v>
      </c>
      <c r="H68" s="48">
        <v>1.0</v>
      </c>
      <c r="I68" s="50" t="str">
        <f>IMAGE("https://drive.google.com/uc?export=view&amp;id=12hUCE_s3xfHAP_VXENARsFvGYkR9CDIW")</f>
        <v/>
      </c>
      <c r="J68" s="47" t="s">
        <v>17</v>
      </c>
    </row>
    <row r="69">
      <c r="A69" s="49">
        <v>68.0</v>
      </c>
      <c r="B69" s="47" t="s">
        <v>247</v>
      </c>
      <c r="C69" s="47" t="s">
        <v>1380</v>
      </c>
      <c r="D69" s="47" t="s">
        <v>1381</v>
      </c>
      <c r="E69" s="48">
        <v>0.811</v>
      </c>
      <c r="F69" s="48">
        <v>0.99</v>
      </c>
      <c r="G69" s="48">
        <v>0.804</v>
      </c>
      <c r="H69" s="48">
        <v>1.0</v>
      </c>
      <c r="I69" s="50" t="str">
        <f>IMAGE("https://drive.google.com/uc?export=view&amp;id=1rP--0CZ673bewQIoL_VpWKGdF65gVFyR")</f>
        <v/>
      </c>
      <c r="J69" s="47" t="s">
        <v>17</v>
      </c>
    </row>
    <row r="70">
      <c r="A70" s="49">
        <v>69.0</v>
      </c>
      <c r="B70" s="47" t="s">
        <v>250</v>
      </c>
      <c r="C70" s="47" t="s">
        <v>1382</v>
      </c>
      <c r="D70" s="47" t="s">
        <v>1383</v>
      </c>
      <c r="E70" s="48">
        <v>0.714</v>
      </c>
      <c r="F70" s="48">
        <v>1.0</v>
      </c>
      <c r="G70" s="48">
        <v>0.45</v>
      </c>
      <c r="H70" s="48">
        <v>0.8</v>
      </c>
      <c r="I70" s="50" t="str">
        <f>IMAGE("https://drive.google.com/uc?export=view&amp;id=1vfybwVUrFi_NB52tS5xKwFRDi06inuV9")</f>
        <v/>
      </c>
      <c r="J70" s="47" t="s">
        <v>17</v>
      </c>
    </row>
    <row r="71">
      <c r="A71" s="49">
        <v>70.0</v>
      </c>
      <c r="B71" s="47" t="s">
        <v>253</v>
      </c>
      <c r="C71" s="47" t="s">
        <v>1384</v>
      </c>
      <c r="D71" s="47" t="s">
        <v>1385</v>
      </c>
      <c r="E71" s="48">
        <v>0.923</v>
      </c>
      <c r="F71" s="48">
        <v>0.975</v>
      </c>
      <c r="G71" s="48">
        <v>0.25</v>
      </c>
      <c r="H71" s="48">
        <v>0.571</v>
      </c>
      <c r="I71" s="50" t="str">
        <f>IMAGE("https://drive.google.com/uc?export=view&amp;id=1VC88GDCuYHDv1sH0OYkF9fxKb95EWcN6")</f>
        <v/>
      </c>
      <c r="J71" s="47" t="s">
        <v>17</v>
      </c>
    </row>
    <row r="72">
      <c r="A72" s="35">
        <v>71.0</v>
      </c>
      <c r="B72" s="37" t="s">
        <v>256</v>
      </c>
      <c r="C72" s="37" t="s">
        <v>1386</v>
      </c>
      <c r="D72" s="37" t="s">
        <v>1387</v>
      </c>
      <c r="E72" s="38">
        <v>1.0</v>
      </c>
      <c r="F72" s="38">
        <v>0.746</v>
      </c>
      <c r="G72" s="38">
        <v>0.533</v>
      </c>
      <c r="H72" s="38">
        <v>0.222</v>
      </c>
      <c r="I72" s="36" t="str">
        <f>IMAGE("https://drive.google.com/uc?export=view&amp;id=1jhXD3ZjPuNdn-mzEm2hnSGmk_inM9jhz")</f>
        <v/>
      </c>
      <c r="J72" s="37" t="s">
        <v>17</v>
      </c>
    </row>
    <row r="73">
      <c r="A73" s="49">
        <v>72.0</v>
      </c>
      <c r="B73" s="47" t="s">
        <v>259</v>
      </c>
      <c r="C73" s="47" t="s">
        <v>1388</v>
      </c>
      <c r="D73" s="47" t="s">
        <v>1389</v>
      </c>
      <c r="E73" s="48">
        <v>0.933</v>
      </c>
      <c r="F73" s="48">
        <v>0.996</v>
      </c>
      <c r="G73" s="48">
        <v>1.0</v>
      </c>
      <c r="H73" s="48">
        <v>0.833</v>
      </c>
      <c r="I73" s="50" t="str">
        <f>IMAGE("https://drive.google.com/uc?export=view&amp;id=1CZC0nd018e8MDONBjEqyl6HBcMj0a67R")</f>
        <v/>
      </c>
      <c r="J73" s="47" t="s">
        <v>17</v>
      </c>
    </row>
    <row r="74">
      <c r="A74" s="35">
        <v>73.0</v>
      </c>
      <c r="B74" s="37" t="s">
        <v>262</v>
      </c>
      <c r="C74" s="37" t="s">
        <v>1390</v>
      </c>
      <c r="D74" s="37" t="s">
        <v>1391</v>
      </c>
      <c r="E74" s="38">
        <v>0.182</v>
      </c>
      <c r="F74" s="38">
        <v>0.945</v>
      </c>
      <c r="G74" s="38">
        <v>0.804</v>
      </c>
      <c r="H74" s="38">
        <v>0.25</v>
      </c>
      <c r="I74" s="36" t="str">
        <f>IMAGE("https://drive.google.com/uc?export=view&amp;id=1Ouh55qWWBQUhAo9Cz4WorK6vWSSx2Z4c")</f>
        <v/>
      </c>
      <c r="J74" s="37" t="s">
        <v>17</v>
      </c>
    </row>
    <row r="75">
      <c r="A75" s="49">
        <v>74.0</v>
      </c>
      <c r="B75" s="47" t="s">
        <v>265</v>
      </c>
      <c r="C75" s="47" t="s">
        <v>1392</v>
      </c>
      <c r="D75" s="47" t="s">
        <v>1393</v>
      </c>
      <c r="E75" s="48">
        <v>1.0</v>
      </c>
      <c r="F75" s="48">
        <v>0.857</v>
      </c>
      <c r="G75" s="48">
        <v>1.0</v>
      </c>
      <c r="H75" s="48">
        <v>1.0</v>
      </c>
      <c r="I75" s="50" t="str">
        <f>IMAGE("https://drive.google.com/uc?export=view&amp;id=10zmaU3kF6t1Sg2-rUjN2FDF8UnJn42vN")</f>
        <v/>
      </c>
      <c r="J75" s="47" t="s">
        <v>17</v>
      </c>
    </row>
    <row r="76">
      <c r="A76" s="49">
        <v>75.0</v>
      </c>
      <c r="B76" s="47" t="s">
        <v>268</v>
      </c>
      <c r="C76" s="47" t="s">
        <v>1394</v>
      </c>
      <c r="D76" s="47" t="s">
        <v>1395</v>
      </c>
      <c r="E76" s="48">
        <v>1.0</v>
      </c>
      <c r="F76" s="48">
        <v>1.0</v>
      </c>
      <c r="G76" s="48">
        <v>0.95</v>
      </c>
      <c r="H76" s="48">
        <v>0.875</v>
      </c>
      <c r="I76" s="50" t="str">
        <f>IMAGE("https://drive.google.com/uc?export=view&amp;id=1Pz619TqEUM5vnkeC0ebOjeBKgfCtDL6h")</f>
        <v/>
      </c>
      <c r="J76" s="47" t="s">
        <v>17</v>
      </c>
    </row>
    <row r="77">
      <c r="A77" s="49">
        <v>76.0</v>
      </c>
      <c r="B77" s="47" t="s">
        <v>271</v>
      </c>
      <c r="C77" s="47" t="s">
        <v>1396</v>
      </c>
      <c r="D77" s="47" t="s">
        <v>1397</v>
      </c>
      <c r="E77" s="48">
        <v>0.75</v>
      </c>
      <c r="F77" s="48">
        <v>0.906</v>
      </c>
      <c r="G77" s="48">
        <v>1.0</v>
      </c>
      <c r="H77" s="48">
        <v>0.875</v>
      </c>
      <c r="I77" s="50" t="str">
        <f>IMAGE("https://drive.google.com/uc?export=view&amp;id=1JQjW-SgA2qYTS4JZfntkXgemNR79d8YV")</f>
        <v/>
      </c>
      <c r="J77" s="47" t="s">
        <v>17</v>
      </c>
    </row>
    <row r="78">
      <c r="A78" s="49">
        <v>77.0</v>
      </c>
      <c r="B78" s="47" t="s">
        <v>274</v>
      </c>
      <c r="C78" s="47" t="s">
        <v>1398</v>
      </c>
      <c r="D78" s="47" t="s">
        <v>1399</v>
      </c>
      <c r="E78" s="48">
        <v>0.5</v>
      </c>
      <c r="F78" s="48">
        <v>0.878</v>
      </c>
      <c r="G78" s="48">
        <v>1.0</v>
      </c>
      <c r="H78" s="48">
        <v>1.0</v>
      </c>
      <c r="I78" s="50" t="str">
        <f>IMAGE("https://drive.google.com/uc?export=view&amp;id=1CzA_KNvSVRf7cK6agcBvUodSGDj0fSIa")</f>
        <v/>
      </c>
      <c r="J78" s="47" t="s">
        <v>17</v>
      </c>
    </row>
    <row r="79">
      <c r="A79" s="49">
        <v>78.0</v>
      </c>
      <c r="B79" s="47" t="s">
        <v>277</v>
      </c>
      <c r="C79" s="47" t="s">
        <v>1400</v>
      </c>
      <c r="D79" s="47" t="s">
        <v>1401</v>
      </c>
      <c r="E79" s="48">
        <v>1.0</v>
      </c>
      <c r="F79" s="48">
        <v>0.951</v>
      </c>
      <c r="G79" s="48">
        <v>1.0</v>
      </c>
      <c r="H79" s="48">
        <v>1.0</v>
      </c>
      <c r="I79" s="50" t="str">
        <f>IMAGE("https://drive.google.com/uc?export=view&amp;id=1tad17aX3jQXQPlkmIyb_oV7popGcT3Q3")</f>
        <v/>
      </c>
      <c r="J79" s="47" t="s">
        <v>17</v>
      </c>
    </row>
    <row r="80">
      <c r="A80" s="35">
        <v>79.0</v>
      </c>
      <c r="B80" s="37" t="s">
        <v>283</v>
      </c>
      <c r="C80" s="37" t="s">
        <v>1402</v>
      </c>
      <c r="D80" s="37" t="s">
        <v>1403</v>
      </c>
      <c r="E80" s="38">
        <v>0.214</v>
      </c>
      <c r="F80" s="38">
        <v>0.0</v>
      </c>
      <c r="G80" s="38">
        <v>0.806</v>
      </c>
      <c r="H80" s="38">
        <v>0.0</v>
      </c>
      <c r="I80" s="36" t="str">
        <f>IMAGE("https://drive.google.com/uc?export=view&amp;id=1R347I0qw0QWBlJ2zvVKXFfT1JkSh5qwn")</f>
        <v/>
      </c>
      <c r="J80" s="37" t="s">
        <v>17</v>
      </c>
    </row>
    <row r="81">
      <c r="A81" s="49">
        <v>80.0</v>
      </c>
      <c r="B81" s="47" t="s">
        <v>280</v>
      </c>
      <c r="C81" s="47" t="s">
        <v>1404</v>
      </c>
      <c r="D81" s="47" t="s">
        <v>1405</v>
      </c>
      <c r="E81" s="48">
        <v>0.733</v>
      </c>
      <c r="F81" s="48">
        <v>0.791</v>
      </c>
      <c r="G81" s="48">
        <v>1.0</v>
      </c>
      <c r="H81" s="48">
        <v>1.0</v>
      </c>
      <c r="I81" s="50" t="str">
        <f>IMAGE("https://drive.google.com/uc?export=view&amp;id=1FrdXO2TZo46VfzLkR_xwvwOMXBAkA-pX")</f>
        <v/>
      </c>
      <c r="J81" s="47" t="s">
        <v>17</v>
      </c>
    </row>
    <row r="82">
      <c r="A82" s="7"/>
    </row>
    <row r="83">
      <c r="A83" s="7"/>
    </row>
    <row r="84">
      <c r="A84" s="7"/>
    </row>
    <row r="85">
      <c r="A85" s="7"/>
    </row>
    <row r="86">
      <c r="A86" s="7"/>
    </row>
    <row r="87">
      <c r="A87" s="7"/>
    </row>
    <row r="88">
      <c r="A88" s="7"/>
    </row>
    <row r="89">
      <c r="A89" s="7"/>
    </row>
    <row r="90">
      <c r="A90" s="7"/>
    </row>
    <row r="91">
      <c r="A91" s="7"/>
    </row>
    <row r="92">
      <c r="A92" s="7"/>
    </row>
    <row r="93">
      <c r="A93" s="7"/>
    </row>
    <row r="94">
      <c r="A94" s="7"/>
    </row>
    <row r="95">
      <c r="A95" s="7"/>
    </row>
    <row r="96">
      <c r="A96" s="7"/>
    </row>
    <row r="97">
      <c r="A97" s="7"/>
    </row>
    <row r="98">
      <c r="A98" s="7"/>
    </row>
    <row r="99">
      <c r="A99" s="7"/>
    </row>
    <row r="100">
      <c r="A100" s="7"/>
    </row>
    <row r="101">
      <c r="A101" s="7"/>
    </row>
    <row r="102">
      <c r="A102" s="7"/>
    </row>
    <row r="103">
      <c r="A103" s="7"/>
    </row>
    <row r="104">
      <c r="A104" s="7"/>
    </row>
    <row r="105">
      <c r="A105" s="7"/>
    </row>
    <row r="106">
      <c r="A106" s="7"/>
    </row>
    <row r="107">
      <c r="A107" s="7"/>
    </row>
    <row r="108">
      <c r="A108" s="7"/>
    </row>
    <row r="109">
      <c r="A109" s="7"/>
    </row>
    <row r="110">
      <c r="A110" s="7"/>
    </row>
    <row r="111">
      <c r="A111" s="7"/>
    </row>
    <row r="112">
      <c r="A112" s="7"/>
    </row>
    <row r="113">
      <c r="A113" s="7"/>
    </row>
    <row r="114">
      <c r="A114" s="7"/>
    </row>
    <row r="115">
      <c r="A115" s="7"/>
    </row>
    <row r="116">
      <c r="A116" s="7"/>
    </row>
    <row r="117">
      <c r="A117" s="7"/>
    </row>
    <row r="118">
      <c r="A118" s="7"/>
    </row>
    <row r="119">
      <c r="A119" s="7"/>
    </row>
    <row r="120">
      <c r="A120" s="7"/>
    </row>
    <row r="121">
      <c r="A121" s="7"/>
    </row>
    <row r="122">
      <c r="A122" s="7"/>
    </row>
    <row r="123">
      <c r="A123" s="7"/>
    </row>
    <row r="124">
      <c r="A124" s="7"/>
    </row>
    <row r="125">
      <c r="A125" s="7"/>
    </row>
    <row r="126">
      <c r="A126" s="7"/>
    </row>
    <row r="127">
      <c r="A127" s="7"/>
    </row>
    <row r="128">
      <c r="A128" s="7"/>
    </row>
    <row r="129">
      <c r="A129" s="7"/>
    </row>
    <row r="130">
      <c r="A130" s="7"/>
    </row>
    <row r="131">
      <c r="A131" s="7"/>
    </row>
    <row r="132">
      <c r="A132" s="7"/>
    </row>
    <row r="133">
      <c r="A133" s="7"/>
    </row>
    <row r="134">
      <c r="A134" s="7"/>
    </row>
    <row r="135">
      <c r="A135" s="7"/>
    </row>
    <row r="136">
      <c r="A136" s="7"/>
    </row>
    <row r="137">
      <c r="A137" s="7"/>
    </row>
    <row r="138">
      <c r="A138" s="7"/>
    </row>
    <row r="139">
      <c r="A139" s="7"/>
    </row>
    <row r="140">
      <c r="A140" s="7"/>
    </row>
    <row r="141">
      <c r="A141" s="7"/>
    </row>
    <row r="142">
      <c r="A142" s="7"/>
    </row>
    <row r="143">
      <c r="A143" s="7"/>
    </row>
    <row r="144">
      <c r="A144" s="7"/>
    </row>
    <row r="145">
      <c r="A145" s="7"/>
    </row>
    <row r="146">
      <c r="A146" s="7"/>
    </row>
    <row r="147">
      <c r="A147" s="7"/>
    </row>
    <row r="148">
      <c r="A148" s="7"/>
    </row>
    <row r="149">
      <c r="A149" s="7"/>
    </row>
    <row r="150">
      <c r="A150" s="7"/>
    </row>
    <row r="151">
      <c r="A151" s="7"/>
    </row>
    <row r="152">
      <c r="A152" s="7"/>
    </row>
    <row r="153">
      <c r="A153" s="7"/>
    </row>
    <row r="154">
      <c r="A154" s="7"/>
    </row>
    <row r="155">
      <c r="A155" s="7"/>
    </row>
    <row r="156">
      <c r="A156" s="7"/>
    </row>
    <row r="157">
      <c r="A157" s="7"/>
    </row>
    <row r="158">
      <c r="A158" s="7"/>
    </row>
    <row r="159">
      <c r="A159" s="7"/>
    </row>
    <row r="160">
      <c r="A160" s="7"/>
    </row>
    <row r="161">
      <c r="A161" s="7"/>
    </row>
    <row r="162">
      <c r="A162" s="7"/>
    </row>
    <row r="163">
      <c r="A163" s="7"/>
    </row>
    <row r="164">
      <c r="A164" s="7"/>
    </row>
    <row r="165">
      <c r="A165" s="7"/>
    </row>
    <row r="166">
      <c r="A166" s="7"/>
    </row>
    <row r="167">
      <c r="A167" s="7"/>
    </row>
    <row r="168">
      <c r="A168" s="7"/>
    </row>
    <row r="169">
      <c r="A169" s="7"/>
    </row>
    <row r="170">
      <c r="A170" s="7"/>
    </row>
    <row r="171">
      <c r="A171" s="7"/>
    </row>
    <row r="172">
      <c r="A172" s="7"/>
    </row>
    <row r="173">
      <c r="A173" s="7"/>
    </row>
    <row r="174">
      <c r="A174" s="7"/>
    </row>
    <row r="175">
      <c r="A175" s="7"/>
    </row>
    <row r="176">
      <c r="A176" s="7"/>
    </row>
    <row r="177">
      <c r="A177" s="7"/>
    </row>
    <row r="178">
      <c r="A178" s="7"/>
    </row>
    <row r="179">
      <c r="A179" s="7"/>
    </row>
    <row r="180">
      <c r="A180" s="7"/>
    </row>
    <row r="181">
      <c r="A181" s="7"/>
    </row>
    <row r="182">
      <c r="A182" s="7"/>
    </row>
    <row r="183">
      <c r="A183" s="7"/>
    </row>
    <row r="184">
      <c r="A184" s="7"/>
    </row>
    <row r="185">
      <c r="A185" s="7"/>
    </row>
    <row r="186">
      <c r="A186" s="7"/>
    </row>
    <row r="187">
      <c r="A187" s="7"/>
    </row>
    <row r="188">
      <c r="A188" s="7"/>
    </row>
    <row r="189">
      <c r="A189" s="7"/>
    </row>
    <row r="190">
      <c r="A190" s="7"/>
    </row>
    <row r="191">
      <c r="A191" s="7"/>
    </row>
    <row r="192">
      <c r="A192" s="7"/>
    </row>
    <row r="193">
      <c r="A193" s="7"/>
    </row>
    <row r="194">
      <c r="A194" s="7"/>
    </row>
    <row r="195">
      <c r="A195" s="7"/>
    </row>
    <row r="196">
      <c r="A196" s="7"/>
    </row>
    <row r="197">
      <c r="A197" s="7"/>
    </row>
    <row r="198">
      <c r="A198" s="7"/>
    </row>
    <row r="199">
      <c r="A199" s="7"/>
    </row>
    <row r="200">
      <c r="A200" s="7"/>
    </row>
    <row r="201">
      <c r="A201" s="7"/>
    </row>
    <row r="202">
      <c r="A202" s="7"/>
    </row>
    <row r="203">
      <c r="A203" s="7"/>
    </row>
    <row r="204">
      <c r="A204" s="7"/>
    </row>
    <row r="205">
      <c r="A205" s="7"/>
    </row>
    <row r="206">
      <c r="A206" s="7"/>
    </row>
    <row r="207">
      <c r="A207" s="7"/>
    </row>
    <row r="208">
      <c r="A208" s="7"/>
    </row>
    <row r="209">
      <c r="A209" s="7"/>
    </row>
    <row r="210">
      <c r="A210" s="7"/>
    </row>
    <row r="211">
      <c r="A211" s="7"/>
    </row>
    <row r="212">
      <c r="A212" s="7"/>
    </row>
    <row r="213">
      <c r="A213" s="7"/>
    </row>
    <row r="214">
      <c r="A214" s="7"/>
    </row>
    <row r="215">
      <c r="A215" s="7"/>
    </row>
    <row r="216">
      <c r="A216" s="7"/>
    </row>
    <row r="217">
      <c r="A217" s="7"/>
    </row>
    <row r="218">
      <c r="A218" s="7"/>
    </row>
    <row r="219">
      <c r="A219" s="7"/>
    </row>
    <row r="220">
      <c r="A220" s="7"/>
    </row>
    <row r="221">
      <c r="A221" s="7"/>
    </row>
    <row r="222">
      <c r="A222" s="7"/>
    </row>
    <row r="223">
      <c r="A223" s="7"/>
    </row>
    <row r="224">
      <c r="A224" s="7"/>
    </row>
    <row r="225">
      <c r="A225" s="7"/>
    </row>
    <row r="226">
      <c r="A226" s="7"/>
    </row>
    <row r="227">
      <c r="A227" s="7"/>
    </row>
    <row r="228">
      <c r="A228" s="7"/>
    </row>
    <row r="229">
      <c r="A229" s="7"/>
    </row>
    <row r="230">
      <c r="A230" s="7"/>
    </row>
    <row r="231">
      <c r="A231" s="7"/>
    </row>
    <row r="232">
      <c r="A232" s="7"/>
    </row>
    <row r="233">
      <c r="A233" s="7"/>
    </row>
    <row r="234">
      <c r="A234" s="7"/>
    </row>
    <row r="235">
      <c r="A235" s="7"/>
    </row>
    <row r="236">
      <c r="A236" s="7"/>
    </row>
    <row r="237">
      <c r="A237" s="7"/>
    </row>
    <row r="238">
      <c r="A238" s="7"/>
    </row>
    <row r="239">
      <c r="A239" s="7"/>
    </row>
    <row r="240">
      <c r="A240" s="7"/>
    </row>
    <row r="241">
      <c r="A241" s="7"/>
    </row>
    <row r="242">
      <c r="A242" s="7"/>
    </row>
    <row r="243">
      <c r="A243" s="7"/>
    </row>
    <row r="244">
      <c r="A244" s="7"/>
    </row>
    <row r="245">
      <c r="A245" s="7"/>
    </row>
    <row r="246">
      <c r="A246" s="7"/>
    </row>
    <row r="247">
      <c r="A247" s="7"/>
    </row>
    <row r="248">
      <c r="A248" s="7"/>
    </row>
    <row r="249">
      <c r="A249" s="7"/>
    </row>
    <row r="250">
      <c r="A250" s="7"/>
    </row>
    <row r="251">
      <c r="A251" s="7"/>
    </row>
    <row r="252">
      <c r="A252" s="7"/>
    </row>
    <row r="253">
      <c r="A253" s="7"/>
    </row>
    <row r="254">
      <c r="A254" s="7"/>
    </row>
    <row r="255">
      <c r="A255" s="7"/>
    </row>
    <row r="256">
      <c r="A256" s="7"/>
    </row>
    <row r="257">
      <c r="A257" s="7"/>
    </row>
    <row r="258">
      <c r="A258" s="7"/>
    </row>
    <row r="259">
      <c r="A259" s="7"/>
    </row>
    <row r="260">
      <c r="A260" s="7"/>
    </row>
    <row r="261">
      <c r="A261" s="7"/>
    </row>
    <row r="262">
      <c r="A262" s="7"/>
    </row>
    <row r="263">
      <c r="A263" s="7"/>
    </row>
    <row r="264">
      <c r="A264" s="7"/>
    </row>
    <row r="265">
      <c r="A265" s="7"/>
    </row>
    <row r="266">
      <c r="A266" s="7"/>
    </row>
    <row r="267">
      <c r="A267" s="7"/>
    </row>
    <row r="268">
      <c r="A268" s="7"/>
    </row>
    <row r="269">
      <c r="A269" s="7"/>
    </row>
    <row r="270">
      <c r="A270" s="7"/>
    </row>
    <row r="271">
      <c r="A271" s="7"/>
    </row>
    <row r="272">
      <c r="A272" s="7"/>
    </row>
    <row r="273">
      <c r="A273" s="7"/>
    </row>
    <row r="274">
      <c r="A274" s="7"/>
    </row>
    <row r="275">
      <c r="A275" s="7"/>
    </row>
    <row r="276">
      <c r="A276" s="7"/>
    </row>
    <row r="277">
      <c r="A277" s="7"/>
    </row>
    <row r="278">
      <c r="A278" s="7"/>
    </row>
    <row r="279">
      <c r="A279" s="7"/>
    </row>
    <row r="280">
      <c r="A280" s="7"/>
    </row>
    <row r="281">
      <c r="A281" s="7"/>
    </row>
    <row r="282">
      <c r="A282" s="7"/>
    </row>
    <row r="283">
      <c r="A283" s="7"/>
    </row>
    <row r="284">
      <c r="A284" s="7"/>
    </row>
    <row r="285">
      <c r="A285" s="7"/>
    </row>
    <row r="286">
      <c r="A286" s="7"/>
    </row>
    <row r="287">
      <c r="A287" s="7"/>
    </row>
    <row r="288">
      <c r="A288" s="7"/>
    </row>
    <row r="289">
      <c r="A289" s="7"/>
    </row>
    <row r="290">
      <c r="A290" s="7"/>
    </row>
    <row r="291">
      <c r="A291" s="7"/>
    </row>
    <row r="292">
      <c r="A292" s="7"/>
    </row>
    <row r="293">
      <c r="A293" s="7"/>
    </row>
    <row r="294">
      <c r="A294" s="7"/>
    </row>
    <row r="295">
      <c r="A295" s="7"/>
    </row>
    <row r="296">
      <c r="A296" s="7"/>
    </row>
    <row r="297">
      <c r="A297" s="7"/>
    </row>
    <row r="298">
      <c r="A298" s="7"/>
    </row>
    <row r="299">
      <c r="A299" s="7"/>
    </row>
    <row r="300">
      <c r="A300" s="7"/>
    </row>
    <row r="301">
      <c r="A301" s="7"/>
    </row>
    <row r="302">
      <c r="A302" s="7"/>
    </row>
    <row r="303">
      <c r="A303" s="7"/>
    </row>
    <row r="304">
      <c r="A304" s="7"/>
    </row>
    <row r="305">
      <c r="A305" s="7"/>
    </row>
    <row r="306">
      <c r="A306" s="7"/>
    </row>
    <row r="307">
      <c r="A307" s="7"/>
    </row>
    <row r="308">
      <c r="A308" s="7"/>
    </row>
    <row r="309">
      <c r="A309" s="7"/>
    </row>
    <row r="310">
      <c r="A310" s="7"/>
    </row>
    <row r="311">
      <c r="A311" s="7"/>
    </row>
    <row r="312">
      <c r="A312" s="7"/>
    </row>
    <row r="313">
      <c r="A313" s="7"/>
    </row>
    <row r="314">
      <c r="A314" s="7"/>
    </row>
    <row r="315">
      <c r="A315" s="7"/>
    </row>
    <row r="316">
      <c r="A316" s="7"/>
    </row>
    <row r="317">
      <c r="A317" s="7"/>
    </row>
    <row r="318">
      <c r="A318" s="7"/>
    </row>
    <row r="319">
      <c r="A319" s="7"/>
    </row>
    <row r="320">
      <c r="A320" s="7"/>
    </row>
    <row r="321">
      <c r="A321" s="7"/>
    </row>
    <row r="322">
      <c r="A322" s="7"/>
    </row>
    <row r="323">
      <c r="A323" s="7"/>
    </row>
    <row r="324">
      <c r="A324" s="7"/>
    </row>
    <row r="325">
      <c r="A325" s="7"/>
    </row>
    <row r="326">
      <c r="A326" s="7"/>
    </row>
    <row r="327">
      <c r="A327" s="7"/>
    </row>
    <row r="328">
      <c r="A328" s="7"/>
    </row>
    <row r="329">
      <c r="A329" s="7"/>
    </row>
    <row r="330">
      <c r="A330" s="7"/>
    </row>
    <row r="331">
      <c r="A331" s="7"/>
    </row>
    <row r="332">
      <c r="A332" s="7"/>
    </row>
    <row r="333">
      <c r="A333" s="7"/>
    </row>
    <row r="334">
      <c r="A334" s="7"/>
    </row>
    <row r="335">
      <c r="A335" s="7"/>
    </row>
    <row r="336">
      <c r="A336" s="7"/>
    </row>
    <row r="337">
      <c r="A337" s="7"/>
    </row>
    <row r="338">
      <c r="A338" s="7"/>
    </row>
    <row r="339">
      <c r="A339" s="7"/>
    </row>
    <row r="340">
      <c r="A340" s="7"/>
    </row>
    <row r="341">
      <c r="A341" s="7"/>
    </row>
    <row r="342">
      <c r="A342" s="7"/>
    </row>
    <row r="343">
      <c r="A343" s="7"/>
    </row>
    <row r="344">
      <c r="A344" s="7"/>
    </row>
    <row r="345">
      <c r="A345" s="7"/>
    </row>
    <row r="346">
      <c r="A346" s="7"/>
    </row>
    <row r="347">
      <c r="A347" s="7"/>
    </row>
    <row r="348">
      <c r="A348" s="7"/>
    </row>
    <row r="349">
      <c r="A349" s="7"/>
    </row>
    <row r="350">
      <c r="A350" s="7"/>
    </row>
    <row r="351">
      <c r="A351" s="7"/>
    </row>
    <row r="352">
      <c r="A352" s="7"/>
    </row>
    <row r="353">
      <c r="A353" s="7"/>
    </row>
    <row r="354">
      <c r="A354" s="7"/>
    </row>
    <row r="355">
      <c r="A355" s="7"/>
    </row>
    <row r="356">
      <c r="A356" s="7"/>
    </row>
    <row r="357">
      <c r="A357" s="7"/>
    </row>
    <row r="358">
      <c r="A358" s="7"/>
    </row>
    <row r="359">
      <c r="A359" s="7"/>
    </row>
    <row r="360">
      <c r="A360" s="7"/>
    </row>
    <row r="361">
      <c r="A361" s="7"/>
    </row>
    <row r="362">
      <c r="A362" s="7"/>
    </row>
    <row r="363">
      <c r="A363" s="7"/>
    </row>
    <row r="364">
      <c r="A364" s="7"/>
    </row>
    <row r="365">
      <c r="A365" s="7"/>
    </row>
    <row r="366">
      <c r="A366" s="7"/>
    </row>
    <row r="367">
      <c r="A367" s="7"/>
    </row>
    <row r="368">
      <c r="A368" s="7"/>
    </row>
    <row r="369">
      <c r="A369" s="7"/>
    </row>
    <row r="370">
      <c r="A370" s="7"/>
    </row>
    <row r="371">
      <c r="A371" s="7"/>
    </row>
    <row r="372">
      <c r="A372" s="7"/>
    </row>
    <row r="373">
      <c r="A373" s="7"/>
    </row>
    <row r="374">
      <c r="A374" s="7"/>
    </row>
    <row r="375">
      <c r="A375" s="7"/>
    </row>
    <row r="376">
      <c r="A376" s="7"/>
    </row>
    <row r="377">
      <c r="A377" s="7"/>
    </row>
    <row r="378">
      <c r="A378" s="7"/>
    </row>
    <row r="379">
      <c r="A379" s="7"/>
    </row>
    <row r="380">
      <c r="A380" s="7"/>
    </row>
    <row r="381">
      <c r="A381" s="7"/>
    </row>
    <row r="382">
      <c r="A382" s="7"/>
    </row>
    <row r="383">
      <c r="A383" s="7"/>
    </row>
    <row r="384">
      <c r="A384" s="7"/>
    </row>
    <row r="385">
      <c r="A385" s="7"/>
    </row>
    <row r="386">
      <c r="A386" s="7"/>
    </row>
    <row r="387">
      <c r="A387" s="7"/>
    </row>
    <row r="388">
      <c r="A388" s="7"/>
    </row>
    <row r="389">
      <c r="A389" s="7"/>
    </row>
    <row r="390">
      <c r="A390" s="7"/>
    </row>
    <row r="391">
      <c r="A391" s="7"/>
    </row>
    <row r="392">
      <c r="A392" s="7"/>
    </row>
    <row r="393">
      <c r="A393" s="7"/>
    </row>
    <row r="394">
      <c r="A394" s="7"/>
    </row>
    <row r="395">
      <c r="A395" s="7"/>
    </row>
    <row r="396">
      <c r="A396" s="7"/>
    </row>
    <row r="397">
      <c r="A397" s="7"/>
    </row>
    <row r="398">
      <c r="A398" s="7"/>
    </row>
    <row r="399">
      <c r="A399" s="7"/>
    </row>
    <row r="400">
      <c r="A400" s="7"/>
    </row>
    <row r="401">
      <c r="A401" s="7"/>
    </row>
    <row r="402">
      <c r="A402" s="7"/>
    </row>
    <row r="403">
      <c r="A403" s="7"/>
    </row>
    <row r="404">
      <c r="A404" s="7"/>
    </row>
    <row r="405">
      <c r="A405" s="7"/>
    </row>
    <row r="406">
      <c r="A406" s="7"/>
    </row>
    <row r="407">
      <c r="A407" s="7"/>
    </row>
    <row r="408">
      <c r="A408" s="7"/>
    </row>
    <row r="409">
      <c r="A409" s="7"/>
    </row>
    <row r="410">
      <c r="A410" s="7"/>
    </row>
    <row r="411">
      <c r="A411" s="7"/>
    </row>
    <row r="412">
      <c r="A412" s="7"/>
    </row>
    <row r="413">
      <c r="A413" s="7"/>
    </row>
    <row r="414">
      <c r="A414" s="7"/>
    </row>
    <row r="415">
      <c r="A415" s="7"/>
    </row>
    <row r="416">
      <c r="A416" s="7"/>
    </row>
    <row r="417">
      <c r="A417" s="7"/>
    </row>
    <row r="418">
      <c r="A418" s="7"/>
    </row>
    <row r="419">
      <c r="A419" s="7"/>
    </row>
    <row r="420">
      <c r="A420" s="7"/>
    </row>
    <row r="421">
      <c r="A421" s="7"/>
    </row>
    <row r="422">
      <c r="A422" s="7"/>
    </row>
    <row r="423">
      <c r="A423" s="7"/>
    </row>
    <row r="424">
      <c r="A424" s="7"/>
    </row>
    <row r="425">
      <c r="A425" s="7"/>
    </row>
    <row r="426">
      <c r="A426" s="7"/>
    </row>
    <row r="427">
      <c r="A427" s="7"/>
    </row>
    <row r="428">
      <c r="A428" s="7"/>
    </row>
    <row r="429">
      <c r="A429" s="7"/>
    </row>
    <row r="430">
      <c r="A430" s="7"/>
    </row>
    <row r="431">
      <c r="A431" s="7"/>
    </row>
    <row r="432">
      <c r="A432" s="7"/>
    </row>
    <row r="433">
      <c r="A433" s="7"/>
    </row>
    <row r="434">
      <c r="A434" s="7"/>
    </row>
    <row r="435">
      <c r="A435" s="7"/>
    </row>
    <row r="436">
      <c r="A436" s="7"/>
    </row>
    <row r="437">
      <c r="A437" s="7"/>
    </row>
    <row r="438">
      <c r="A438" s="7"/>
    </row>
    <row r="439">
      <c r="A439" s="7"/>
    </row>
    <row r="440">
      <c r="A440" s="7"/>
    </row>
    <row r="441">
      <c r="A441" s="7"/>
    </row>
    <row r="442">
      <c r="A442" s="7"/>
    </row>
    <row r="443">
      <c r="A443" s="7"/>
    </row>
    <row r="444">
      <c r="A444" s="7"/>
    </row>
    <row r="445">
      <c r="A445" s="7"/>
    </row>
    <row r="446">
      <c r="A446" s="7"/>
    </row>
    <row r="447">
      <c r="A447" s="7"/>
    </row>
    <row r="448">
      <c r="A448" s="7"/>
    </row>
    <row r="449">
      <c r="A449" s="7"/>
    </row>
    <row r="450">
      <c r="A450" s="7"/>
    </row>
    <row r="451">
      <c r="A451" s="7"/>
    </row>
    <row r="452">
      <c r="A452" s="7"/>
    </row>
    <row r="453">
      <c r="A453" s="7"/>
    </row>
    <row r="454">
      <c r="A454" s="7"/>
    </row>
    <row r="455">
      <c r="A455" s="7"/>
    </row>
    <row r="456">
      <c r="A456" s="7"/>
    </row>
    <row r="457">
      <c r="A457" s="7"/>
    </row>
    <row r="458">
      <c r="A458" s="7"/>
    </row>
    <row r="459">
      <c r="A459" s="7"/>
    </row>
    <row r="460">
      <c r="A460" s="7"/>
    </row>
    <row r="461">
      <c r="A461" s="7"/>
    </row>
    <row r="462">
      <c r="A462" s="7"/>
    </row>
    <row r="463">
      <c r="A463" s="7"/>
    </row>
    <row r="464">
      <c r="A464" s="7"/>
    </row>
    <row r="465">
      <c r="A465" s="7"/>
    </row>
    <row r="466">
      <c r="A466" s="7"/>
    </row>
    <row r="467">
      <c r="A467" s="7"/>
    </row>
    <row r="468">
      <c r="A468" s="7"/>
    </row>
    <row r="469">
      <c r="A469" s="7"/>
    </row>
    <row r="470">
      <c r="A470" s="7"/>
    </row>
    <row r="471">
      <c r="A471" s="7"/>
    </row>
    <row r="472">
      <c r="A472" s="7"/>
    </row>
    <row r="473">
      <c r="A473" s="7"/>
    </row>
    <row r="474">
      <c r="A474" s="7"/>
    </row>
    <row r="475">
      <c r="A475" s="7"/>
    </row>
    <row r="476">
      <c r="A476" s="7"/>
    </row>
    <row r="477">
      <c r="A477" s="7"/>
    </row>
    <row r="478">
      <c r="A478" s="7"/>
    </row>
    <row r="479">
      <c r="A479" s="7"/>
    </row>
    <row r="480">
      <c r="A480" s="7"/>
    </row>
    <row r="481">
      <c r="A481" s="7"/>
    </row>
    <row r="482">
      <c r="A482" s="7"/>
    </row>
    <row r="483">
      <c r="A483" s="7"/>
    </row>
    <row r="484">
      <c r="A484" s="7"/>
    </row>
    <row r="485">
      <c r="A485" s="7"/>
    </row>
    <row r="486">
      <c r="A486" s="7"/>
    </row>
    <row r="487">
      <c r="A487" s="7"/>
    </row>
    <row r="488">
      <c r="A488" s="7"/>
    </row>
    <row r="489">
      <c r="A489" s="7"/>
    </row>
    <row r="490">
      <c r="A490" s="7"/>
    </row>
    <row r="491">
      <c r="A491" s="7"/>
    </row>
    <row r="492">
      <c r="A492" s="7"/>
    </row>
    <row r="493">
      <c r="A493" s="7"/>
    </row>
    <row r="494">
      <c r="A494" s="7"/>
    </row>
    <row r="495">
      <c r="A495" s="7"/>
    </row>
    <row r="496">
      <c r="A496" s="7"/>
    </row>
    <row r="497">
      <c r="A497" s="7"/>
    </row>
    <row r="498">
      <c r="A498" s="7"/>
    </row>
    <row r="499">
      <c r="A499" s="7"/>
    </row>
    <row r="500">
      <c r="A500" s="7"/>
    </row>
    <row r="501">
      <c r="A501" s="7"/>
    </row>
    <row r="502">
      <c r="A502" s="7"/>
    </row>
    <row r="503">
      <c r="A503" s="7"/>
    </row>
    <row r="504">
      <c r="A504" s="7"/>
    </row>
    <row r="505">
      <c r="A505" s="7"/>
    </row>
    <row r="506">
      <c r="A506" s="7"/>
    </row>
    <row r="507">
      <c r="A507" s="7"/>
    </row>
    <row r="508">
      <c r="A508" s="7"/>
    </row>
    <row r="509">
      <c r="A509" s="7"/>
    </row>
    <row r="510">
      <c r="A510" s="7"/>
    </row>
    <row r="511">
      <c r="A511" s="7"/>
    </row>
    <row r="512">
      <c r="A512" s="7"/>
    </row>
    <row r="513">
      <c r="A513" s="7"/>
    </row>
    <row r="514">
      <c r="A514" s="7"/>
    </row>
    <row r="515">
      <c r="A515" s="7"/>
    </row>
    <row r="516">
      <c r="A516" s="7"/>
    </row>
    <row r="517">
      <c r="A517" s="7"/>
    </row>
    <row r="518">
      <c r="A518" s="7"/>
    </row>
    <row r="519">
      <c r="A519" s="7"/>
    </row>
    <row r="520">
      <c r="A520" s="7"/>
    </row>
    <row r="521">
      <c r="A521" s="7"/>
    </row>
    <row r="522">
      <c r="A522" s="7"/>
    </row>
    <row r="523">
      <c r="A523" s="7"/>
    </row>
    <row r="524">
      <c r="A524" s="7"/>
    </row>
    <row r="525">
      <c r="A525" s="7"/>
    </row>
    <row r="526">
      <c r="A526" s="7"/>
    </row>
    <row r="527">
      <c r="A527" s="7"/>
    </row>
    <row r="528">
      <c r="A528" s="7"/>
    </row>
    <row r="529">
      <c r="A529" s="7"/>
    </row>
    <row r="530">
      <c r="A530" s="7"/>
    </row>
    <row r="531">
      <c r="A531" s="7"/>
    </row>
    <row r="532">
      <c r="A532" s="7"/>
    </row>
    <row r="533">
      <c r="A533" s="7"/>
    </row>
    <row r="534">
      <c r="A534" s="7"/>
    </row>
    <row r="535">
      <c r="A535" s="7"/>
    </row>
    <row r="536">
      <c r="A536" s="7"/>
    </row>
    <row r="537">
      <c r="A537" s="7"/>
    </row>
    <row r="538">
      <c r="A538" s="7"/>
    </row>
    <row r="539">
      <c r="A539" s="7"/>
    </row>
    <row r="540">
      <c r="A540" s="7"/>
    </row>
    <row r="541">
      <c r="A541" s="7"/>
    </row>
    <row r="542">
      <c r="A542" s="7"/>
    </row>
    <row r="543">
      <c r="A543" s="7"/>
    </row>
    <row r="544">
      <c r="A544" s="7"/>
    </row>
    <row r="545">
      <c r="A545" s="7"/>
    </row>
    <row r="546">
      <c r="A546" s="7"/>
    </row>
    <row r="547">
      <c r="A547" s="7"/>
    </row>
    <row r="548">
      <c r="A548" s="7"/>
    </row>
    <row r="549">
      <c r="A549" s="7"/>
    </row>
    <row r="550">
      <c r="A550" s="7"/>
    </row>
    <row r="551">
      <c r="A551" s="7"/>
    </row>
    <row r="552">
      <c r="A552" s="7"/>
    </row>
    <row r="553">
      <c r="A553" s="7"/>
    </row>
    <row r="554">
      <c r="A554" s="7"/>
    </row>
    <row r="555">
      <c r="A555" s="7"/>
    </row>
    <row r="556">
      <c r="A556" s="7"/>
    </row>
    <row r="557">
      <c r="A557" s="7"/>
    </row>
    <row r="558">
      <c r="A558" s="7"/>
    </row>
    <row r="559">
      <c r="A559" s="7"/>
    </row>
    <row r="560">
      <c r="A560" s="7"/>
    </row>
    <row r="561">
      <c r="A561" s="7"/>
    </row>
    <row r="562">
      <c r="A562" s="7"/>
    </row>
    <row r="563">
      <c r="A563" s="7"/>
    </row>
    <row r="564">
      <c r="A564" s="7"/>
    </row>
    <row r="565">
      <c r="A565" s="7"/>
    </row>
    <row r="566">
      <c r="A566" s="7"/>
    </row>
    <row r="567">
      <c r="A567" s="7"/>
    </row>
    <row r="568">
      <c r="A568" s="7"/>
    </row>
    <row r="569">
      <c r="A569" s="7"/>
    </row>
    <row r="570">
      <c r="A570" s="7"/>
    </row>
    <row r="571">
      <c r="A571" s="7"/>
    </row>
    <row r="572">
      <c r="A572" s="7"/>
    </row>
    <row r="573">
      <c r="A573" s="7"/>
    </row>
    <row r="574">
      <c r="A574" s="7"/>
    </row>
    <row r="575">
      <c r="A575" s="7"/>
    </row>
    <row r="576">
      <c r="A576" s="7"/>
    </row>
    <row r="577">
      <c r="A577" s="7"/>
    </row>
    <row r="578">
      <c r="A578" s="7"/>
    </row>
    <row r="579">
      <c r="A579" s="7"/>
    </row>
    <row r="580">
      <c r="A580" s="7"/>
    </row>
    <row r="581">
      <c r="A581" s="7"/>
    </row>
    <row r="582">
      <c r="A582" s="7"/>
    </row>
    <row r="583">
      <c r="A583" s="7"/>
    </row>
    <row r="584">
      <c r="A584" s="7"/>
    </row>
    <row r="585">
      <c r="A585" s="7"/>
    </row>
    <row r="586">
      <c r="A586" s="7"/>
    </row>
    <row r="587">
      <c r="A587" s="7"/>
    </row>
    <row r="588">
      <c r="A588" s="7"/>
    </row>
    <row r="589">
      <c r="A589" s="7"/>
    </row>
    <row r="590">
      <c r="A590" s="7"/>
    </row>
    <row r="591">
      <c r="A591" s="7"/>
    </row>
    <row r="592">
      <c r="A592" s="7"/>
    </row>
    <row r="593">
      <c r="A593" s="7"/>
    </row>
    <row r="594">
      <c r="A594" s="7"/>
    </row>
    <row r="595">
      <c r="A595" s="7"/>
    </row>
    <row r="596">
      <c r="A596" s="7"/>
    </row>
    <row r="597">
      <c r="A597" s="7"/>
    </row>
    <row r="598">
      <c r="A598" s="7"/>
    </row>
    <row r="599">
      <c r="A599" s="7"/>
    </row>
    <row r="600">
      <c r="A600" s="7"/>
    </row>
    <row r="601">
      <c r="A601" s="7"/>
    </row>
    <row r="602">
      <c r="A602" s="7"/>
    </row>
    <row r="603">
      <c r="A603" s="7"/>
    </row>
    <row r="604">
      <c r="A604" s="7"/>
    </row>
    <row r="605">
      <c r="A605" s="7"/>
    </row>
    <row r="606">
      <c r="A606" s="7"/>
    </row>
    <row r="607">
      <c r="A607" s="7"/>
    </row>
    <row r="608">
      <c r="A608" s="7"/>
    </row>
    <row r="609">
      <c r="A609" s="7"/>
    </row>
    <row r="610">
      <c r="A610" s="7"/>
    </row>
    <row r="611">
      <c r="A611" s="7"/>
    </row>
    <row r="612">
      <c r="A612" s="7"/>
    </row>
    <row r="613">
      <c r="A613" s="7"/>
    </row>
    <row r="614">
      <c r="A614" s="7"/>
    </row>
    <row r="615">
      <c r="A615" s="7"/>
    </row>
    <row r="616">
      <c r="A616" s="7"/>
    </row>
    <row r="617">
      <c r="A617" s="7"/>
    </row>
    <row r="618">
      <c r="A618" s="7"/>
    </row>
    <row r="619">
      <c r="A619" s="7"/>
    </row>
    <row r="620">
      <c r="A620" s="7"/>
    </row>
    <row r="621">
      <c r="A621" s="7"/>
    </row>
    <row r="622">
      <c r="A622" s="7"/>
    </row>
    <row r="623">
      <c r="A623" s="7"/>
    </row>
    <row r="624">
      <c r="A624" s="7"/>
    </row>
    <row r="625">
      <c r="A625" s="7"/>
    </row>
    <row r="626">
      <c r="A626" s="7"/>
    </row>
    <row r="627">
      <c r="A627" s="7"/>
    </row>
    <row r="628">
      <c r="A628" s="7"/>
    </row>
    <row r="629">
      <c r="A629" s="7"/>
    </row>
    <row r="630">
      <c r="A630" s="7"/>
    </row>
    <row r="631">
      <c r="A631" s="7"/>
    </row>
    <row r="632">
      <c r="A632" s="7"/>
    </row>
    <row r="633">
      <c r="A633" s="7"/>
    </row>
    <row r="634">
      <c r="A634" s="7"/>
    </row>
    <row r="635">
      <c r="A635" s="7"/>
    </row>
    <row r="636">
      <c r="A636" s="7"/>
    </row>
    <row r="637">
      <c r="A637" s="7"/>
    </row>
    <row r="638">
      <c r="A638" s="7"/>
    </row>
    <row r="639">
      <c r="A639" s="7"/>
    </row>
    <row r="640">
      <c r="A640" s="7"/>
    </row>
    <row r="641">
      <c r="A641" s="7"/>
    </row>
    <row r="642">
      <c r="A642" s="7"/>
    </row>
    <row r="643">
      <c r="A643" s="7"/>
    </row>
    <row r="644">
      <c r="A644" s="7"/>
    </row>
    <row r="645">
      <c r="A645" s="7"/>
    </row>
    <row r="646">
      <c r="A646" s="7"/>
    </row>
    <row r="647">
      <c r="A647" s="7"/>
    </row>
    <row r="648">
      <c r="A648" s="7"/>
    </row>
    <row r="649">
      <c r="A649" s="7"/>
    </row>
    <row r="650">
      <c r="A650" s="7"/>
    </row>
    <row r="651">
      <c r="A651" s="7"/>
    </row>
    <row r="652">
      <c r="A652" s="7"/>
    </row>
    <row r="653">
      <c r="A653" s="7"/>
    </row>
    <row r="654">
      <c r="A654" s="7"/>
    </row>
    <row r="655">
      <c r="A655" s="7"/>
    </row>
    <row r="656">
      <c r="A656" s="7"/>
    </row>
    <row r="657">
      <c r="A657" s="7"/>
    </row>
    <row r="658">
      <c r="A658" s="7"/>
    </row>
    <row r="659">
      <c r="A659" s="7"/>
    </row>
    <row r="660">
      <c r="A660" s="7"/>
    </row>
    <row r="661">
      <c r="A661" s="7"/>
    </row>
    <row r="662">
      <c r="A662" s="7"/>
    </row>
    <row r="663">
      <c r="A663" s="7"/>
    </row>
    <row r="664">
      <c r="A664" s="7"/>
    </row>
    <row r="665">
      <c r="A665" s="7"/>
    </row>
    <row r="666">
      <c r="A666" s="7"/>
    </row>
    <row r="667">
      <c r="A667" s="7"/>
    </row>
    <row r="668">
      <c r="A668" s="7"/>
    </row>
    <row r="669">
      <c r="A669" s="7"/>
    </row>
    <row r="670">
      <c r="A670" s="7"/>
    </row>
    <row r="671">
      <c r="A671" s="7"/>
    </row>
    <row r="672">
      <c r="A672" s="7"/>
    </row>
    <row r="673">
      <c r="A673" s="7"/>
    </row>
    <row r="674">
      <c r="A674" s="7"/>
    </row>
    <row r="675">
      <c r="A675" s="7"/>
    </row>
    <row r="676">
      <c r="A676" s="7"/>
    </row>
    <row r="677">
      <c r="A677" s="7"/>
    </row>
    <row r="678">
      <c r="A678" s="7"/>
    </row>
    <row r="679">
      <c r="A679" s="7"/>
    </row>
    <row r="680">
      <c r="A680" s="7"/>
    </row>
    <row r="681">
      <c r="A681" s="7"/>
    </row>
    <row r="682">
      <c r="A682" s="7"/>
    </row>
    <row r="683">
      <c r="A683" s="7"/>
    </row>
    <row r="684">
      <c r="A684" s="7"/>
    </row>
    <row r="685">
      <c r="A685" s="7"/>
    </row>
    <row r="686">
      <c r="A686" s="7"/>
    </row>
    <row r="687">
      <c r="A687" s="7"/>
    </row>
    <row r="688">
      <c r="A688" s="7"/>
    </row>
    <row r="689">
      <c r="A689" s="7"/>
    </row>
    <row r="690">
      <c r="A690" s="7"/>
    </row>
    <row r="691">
      <c r="A691" s="7"/>
    </row>
    <row r="692">
      <c r="A692" s="7"/>
    </row>
    <row r="693">
      <c r="A693" s="7"/>
    </row>
    <row r="694">
      <c r="A694" s="7"/>
    </row>
    <row r="695">
      <c r="A695" s="7"/>
    </row>
    <row r="696">
      <c r="A696" s="7"/>
    </row>
    <row r="697">
      <c r="A697" s="7"/>
    </row>
    <row r="698">
      <c r="A698" s="7"/>
    </row>
    <row r="699">
      <c r="A699" s="7"/>
    </row>
    <row r="700">
      <c r="A700" s="7"/>
    </row>
    <row r="701">
      <c r="A701" s="7"/>
    </row>
    <row r="702">
      <c r="A702" s="7"/>
    </row>
    <row r="703">
      <c r="A703" s="7"/>
    </row>
    <row r="704">
      <c r="A704" s="7"/>
    </row>
    <row r="705">
      <c r="A705" s="7"/>
    </row>
    <row r="706">
      <c r="A706" s="7"/>
    </row>
    <row r="707">
      <c r="A707" s="7"/>
    </row>
    <row r="708">
      <c r="A708" s="7"/>
    </row>
    <row r="709">
      <c r="A709" s="7"/>
    </row>
    <row r="710">
      <c r="A710" s="7"/>
    </row>
    <row r="711">
      <c r="A711" s="7"/>
    </row>
    <row r="712">
      <c r="A712" s="7"/>
    </row>
    <row r="713">
      <c r="A713" s="7"/>
    </row>
    <row r="714">
      <c r="A714" s="7"/>
    </row>
    <row r="715">
      <c r="A715" s="7"/>
    </row>
    <row r="716">
      <c r="A716" s="7"/>
    </row>
    <row r="717">
      <c r="A717" s="7"/>
    </row>
    <row r="718">
      <c r="A718" s="7"/>
    </row>
    <row r="719">
      <c r="A719" s="7"/>
    </row>
    <row r="720">
      <c r="A720" s="7"/>
    </row>
    <row r="721">
      <c r="A721" s="7"/>
    </row>
    <row r="722">
      <c r="A722" s="7"/>
    </row>
    <row r="723">
      <c r="A723" s="7"/>
    </row>
    <row r="724">
      <c r="A724" s="7"/>
    </row>
    <row r="725">
      <c r="A725" s="7"/>
    </row>
    <row r="726">
      <c r="A726" s="7"/>
    </row>
    <row r="727">
      <c r="A727" s="7"/>
    </row>
    <row r="728">
      <c r="A728" s="7"/>
    </row>
    <row r="729">
      <c r="A729" s="7"/>
    </row>
    <row r="730">
      <c r="A730" s="7"/>
    </row>
    <row r="731">
      <c r="A731" s="7"/>
    </row>
    <row r="732">
      <c r="A732" s="7"/>
    </row>
    <row r="733">
      <c r="A733" s="7"/>
    </row>
    <row r="734">
      <c r="A734" s="7"/>
    </row>
    <row r="735">
      <c r="A735" s="7"/>
    </row>
    <row r="736">
      <c r="A736" s="7"/>
    </row>
    <row r="737">
      <c r="A737" s="7"/>
    </row>
    <row r="738">
      <c r="A738" s="7"/>
    </row>
    <row r="739">
      <c r="A739" s="7"/>
    </row>
    <row r="740">
      <c r="A740" s="7"/>
    </row>
    <row r="741">
      <c r="A741" s="7"/>
    </row>
    <row r="742">
      <c r="A742" s="7"/>
    </row>
    <row r="743">
      <c r="A743" s="7"/>
    </row>
    <row r="744">
      <c r="A744" s="7"/>
    </row>
    <row r="745">
      <c r="A745" s="7"/>
    </row>
    <row r="746">
      <c r="A746" s="7"/>
    </row>
    <row r="747">
      <c r="A747" s="7"/>
    </row>
    <row r="748">
      <c r="A748" s="7"/>
    </row>
    <row r="749">
      <c r="A749" s="7"/>
    </row>
    <row r="750">
      <c r="A750" s="7"/>
    </row>
    <row r="751">
      <c r="A751" s="7"/>
    </row>
    <row r="752">
      <c r="A752" s="7"/>
    </row>
    <row r="753">
      <c r="A753" s="7"/>
    </row>
    <row r="754">
      <c r="A754" s="7"/>
    </row>
    <row r="755">
      <c r="A755" s="7"/>
    </row>
    <row r="756">
      <c r="A756" s="7"/>
    </row>
    <row r="757">
      <c r="A757" s="7"/>
    </row>
    <row r="758">
      <c r="A758" s="7"/>
    </row>
    <row r="759">
      <c r="A759" s="7"/>
    </row>
    <row r="760">
      <c r="A760" s="7"/>
    </row>
    <row r="761">
      <c r="A761" s="7"/>
    </row>
    <row r="762">
      <c r="A762" s="7"/>
    </row>
    <row r="763">
      <c r="A763" s="7"/>
    </row>
    <row r="764">
      <c r="A764" s="7"/>
    </row>
    <row r="765">
      <c r="A765" s="7"/>
    </row>
    <row r="766">
      <c r="A766" s="7"/>
    </row>
    <row r="767">
      <c r="A767" s="7"/>
    </row>
    <row r="768">
      <c r="A768" s="7"/>
    </row>
    <row r="769">
      <c r="A769" s="7"/>
    </row>
    <row r="770">
      <c r="A770" s="7"/>
    </row>
    <row r="771">
      <c r="A771" s="7"/>
    </row>
    <row r="772">
      <c r="A772" s="7"/>
    </row>
    <row r="773">
      <c r="A773" s="7"/>
    </row>
    <row r="774">
      <c r="A774" s="7"/>
    </row>
    <row r="775">
      <c r="A775" s="7"/>
    </row>
    <row r="776">
      <c r="A776" s="7"/>
    </row>
    <row r="777">
      <c r="A777" s="7"/>
    </row>
    <row r="778">
      <c r="A778" s="7"/>
    </row>
    <row r="779">
      <c r="A779" s="7"/>
    </row>
    <row r="780">
      <c r="A780" s="7"/>
    </row>
    <row r="781">
      <c r="A781" s="7"/>
    </row>
    <row r="782">
      <c r="A782" s="7"/>
    </row>
    <row r="783">
      <c r="A783" s="7"/>
    </row>
    <row r="784">
      <c r="A784" s="7"/>
    </row>
    <row r="785">
      <c r="A785" s="7"/>
    </row>
    <row r="786">
      <c r="A786" s="7"/>
    </row>
    <row r="787">
      <c r="A787" s="7"/>
    </row>
    <row r="788">
      <c r="A788" s="7"/>
    </row>
    <row r="789">
      <c r="A789" s="7"/>
    </row>
    <row r="790">
      <c r="A790" s="7"/>
    </row>
    <row r="791">
      <c r="A791" s="7"/>
    </row>
    <row r="792">
      <c r="A792" s="7"/>
    </row>
    <row r="793">
      <c r="A793" s="7"/>
    </row>
    <row r="794">
      <c r="A794" s="7"/>
    </row>
    <row r="795">
      <c r="A795" s="7"/>
    </row>
    <row r="796">
      <c r="A796" s="7"/>
    </row>
    <row r="797">
      <c r="A797" s="7"/>
    </row>
    <row r="798">
      <c r="A798" s="7"/>
    </row>
    <row r="799">
      <c r="A799" s="7"/>
    </row>
    <row r="800">
      <c r="A800" s="7"/>
    </row>
    <row r="801">
      <c r="A801" s="7"/>
    </row>
    <row r="802">
      <c r="A802" s="7"/>
    </row>
    <row r="803">
      <c r="A803" s="7"/>
    </row>
    <row r="804">
      <c r="A804" s="7"/>
    </row>
    <row r="805">
      <c r="A805" s="7"/>
    </row>
    <row r="806">
      <c r="A806" s="7"/>
    </row>
    <row r="807">
      <c r="A807" s="7"/>
    </row>
    <row r="808">
      <c r="A808" s="7"/>
    </row>
    <row r="809">
      <c r="A809" s="7"/>
    </row>
    <row r="810">
      <c r="A810" s="7"/>
    </row>
    <row r="811">
      <c r="A811" s="7"/>
    </row>
    <row r="812">
      <c r="A812" s="7"/>
    </row>
    <row r="813">
      <c r="A813" s="7"/>
    </row>
    <row r="814">
      <c r="A814" s="7"/>
    </row>
    <row r="815">
      <c r="A815" s="7"/>
    </row>
    <row r="816">
      <c r="A816" s="7"/>
    </row>
    <row r="817">
      <c r="A817" s="7"/>
    </row>
    <row r="818">
      <c r="A818" s="7"/>
    </row>
    <row r="819">
      <c r="A819" s="7"/>
    </row>
    <row r="820">
      <c r="A820" s="7"/>
    </row>
    <row r="821">
      <c r="A821" s="7"/>
    </row>
    <row r="822">
      <c r="A822" s="7"/>
    </row>
    <row r="823">
      <c r="A823" s="7"/>
    </row>
    <row r="824">
      <c r="A824" s="7"/>
    </row>
    <row r="825">
      <c r="A825" s="7"/>
    </row>
    <row r="826">
      <c r="A826" s="7"/>
    </row>
    <row r="827">
      <c r="A827" s="7"/>
    </row>
    <row r="828">
      <c r="A828" s="7"/>
    </row>
    <row r="829">
      <c r="A829" s="7"/>
    </row>
    <row r="830">
      <c r="A830" s="7"/>
    </row>
    <row r="831">
      <c r="A831" s="7"/>
    </row>
    <row r="832">
      <c r="A832" s="7"/>
    </row>
    <row r="833">
      <c r="A833" s="7"/>
    </row>
    <row r="834">
      <c r="A834" s="7"/>
    </row>
    <row r="835">
      <c r="A835" s="7"/>
    </row>
    <row r="836">
      <c r="A836" s="7"/>
    </row>
    <row r="837">
      <c r="A837" s="7"/>
    </row>
    <row r="838">
      <c r="A838" s="7"/>
    </row>
    <row r="839">
      <c r="A839" s="7"/>
    </row>
    <row r="840">
      <c r="A840" s="7"/>
    </row>
    <row r="841">
      <c r="A841" s="7"/>
    </row>
    <row r="842">
      <c r="A842" s="7"/>
    </row>
    <row r="843">
      <c r="A843" s="7"/>
    </row>
    <row r="844">
      <c r="A844" s="7"/>
    </row>
    <row r="845">
      <c r="A845" s="7"/>
    </row>
    <row r="846">
      <c r="A846" s="7"/>
    </row>
    <row r="847">
      <c r="A847" s="7"/>
    </row>
    <row r="848">
      <c r="A848" s="7"/>
    </row>
    <row r="849">
      <c r="A849" s="7"/>
    </row>
    <row r="850">
      <c r="A850" s="7"/>
    </row>
    <row r="851">
      <c r="A851" s="7"/>
    </row>
    <row r="852">
      <c r="A852" s="7"/>
    </row>
    <row r="853">
      <c r="A853" s="7"/>
    </row>
    <row r="854">
      <c r="A854" s="7"/>
    </row>
    <row r="855">
      <c r="A855" s="7"/>
    </row>
    <row r="856">
      <c r="A856" s="7"/>
    </row>
    <row r="857">
      <c r="A857" s="7"/>
    </row>
    <row r="858">
      <c r="A858" s="7"/>
    </row>
    <row r="859">
      <c r="A859" s="7"/>
    </row>
    <row r="860">
      <c r="A860" s="7"/>
    </row>
    <row r="861">
      <c r="A861" s="7"/>
    </row>
    <row r="862">
      <c r="A862" s="7"/>
    </row>
    <row r="863">
      <c r="A863" s="7"/>
    </row>
    <row r="864">
      <c r="A864" s="7"/>
    </row>
    <row r="865">
      <c r="A865" s="7"/>
    </row>
    <row r="866">
      <c r="A866" s="7"/>
    </row>
    <row r="867">
      <c r="A867" s="7"/>
    </row>
    <row r="868">
      <c r="A868" s="7"/>
    </row>
    <row r="869">
      <c r="A869" s="7"/>
    </row>
    <row r="870">
      <c r="A870" s="7"/>
    </row>
    <row r="871">
      <c r="A871" s="7"/>
    </row>
    <row r="872">
      <c r="A872" s="7"/>
    </row>
    <row r="873">
      <c r="A873" s="7"/>
    </row>
    <row r="874">
      <c r="A874" s="7"/>
    </row>
    <row r="875">
      <c r="A875" s="7"/>
    </row>
    <row r="876">
      <c r="A876" s="7"/>
    </row>
    <row r="877">
      <c r="A877" s="7"/>
    </row>
    <row r="878">
      <c r="A878" s="7"/>
    </row>
    <row r="879">
      <c r="A879" s="7"/>
    </row>
    <row r="880">
      <c r="A880" s="7"/>
    </row>
    <row r="881">
      <c r="A881" s="7"/>
    </row>
    <row r="882">
      <c r="A882" s="7"/>
    </row>
    <row r="883">
      <c r="A883" s="7"/>
    </row>
    <row r="884">
      <c r="A884" s="7"/>
    </row>
    <row r="885">
      <c r="A885" s="7"/>
    </row>
    <row r="886">
      <c r="A886" s="7"/>
    </row>
    <row r="887">
      <c r="A887" s="7"/>
    </row>
    <row r="888">
      <c r="A888" s="7"/>
    </row>
    <row r="889">
      <c r="A889" s="7"/>
    </row>
    <row r="890">
      <c r="A890" s="7"/>
    </row>
    <row r="891">
      <c r="A891" s="7"/>
    </row>
    <row r="892">
      <c r="A892" s="7"/>
    </row>
    <row r="893">
      <c r="A893" s="7"/>
    </row>
    <row r="894">
      <c r="A894" s="7"/>
    </row>
    <row r="895">
      <c r="A895" s="7"/>
    </row>
    <row r="896">
      <c r="A896" s="7"/>
    </row>
    <row r="897">
      <c r="A897" s="7"/>
    </row>
    <row r="898">
      <c r="A898" s="7"/>
    </row>
    <row r="899">
      <c r="A899" s="7"/>
    </row>
    <row r="900">
      <c r="A900" s="7"/>
    </row>
    <row r="901">
      <c r="A901" s="7"/>
    </row>
    <row r="902">
      <c r="A902" s="7"/>
    </row>
    <row r="903">
      <c r="A903" s="7"/>
    </row>
    <row r="904">
      <c r="A904" s="7"/>
    </row>
    <row r="905">
      <c r="A905" s="7"/>
    </row>
    <row r="906">
      <c r="A906" s="7"/>
    </row>
    <row r="907">
      <c r="A907" s="7"/>
    </row>
    <row r="908">
      <c r="A908" s="7"/>
    </row>
    <row r="909">
      <c r="A909" s="7"/>
    </row>
    <row r="910">
      <c r="A910" s="7"/>
    </row>
    <row r="911">
      <c r="A911" s="7"/>
    </row>
    <row r="912">
      <c r="A912" s="7"/>
    </row>
    <row r="913">
      <c r="A913" s="7"/>
    </row>
    <row r="914">
      <c r="A914" s="7"/>
    </row>
    <row r="915">
      <c r="A915" s="7"/>
    </row>
    <row r="916">
      <c r="A916" s="7"/>
    </row>
    <row r="917">
      <c r="A917" s="7"/>
    </row>
    <row r="918">
      <c r="A918" s="7"/>
    </row>
    <row r="919">
      <c r="A919" s="7"/>
    </row>
    <row r="920">
      <c r="A920" s="7"/>
    </row>
    <row r="921">
      <c r="A921" s="7"/>
    </row>
    <row r="922">
      <c r="A922" s="7"/>
    </row>
    <row r="923">
      <c r="A923" s="7"/>
    </row>
    <row r="924">
      <c r="A924" s="7"/>
    </row>
    <row r="925">
      <c r="A925" s="7"/>
    </row>
    <row r="926">
      <c r="A926" s="7"/>
    </row>
    <row r="927">
      <c r="A927" s="7"/>
    </row>
    <row r="928">
      <c r="A928" s="7"/>
    </row>
    <row r="929">
      <c r="A929" s="7"/>
    </row>
    <row r="930">
      <c r="A930" s="7"/>
    </row>
    <row r="931">
      <c r="A931" s="7"/>
    </row>
    <row r="932">
      <c r="A932" s="7"/>
    </row>
    <row r="933">
      <c r="A933" s="7"/>
    </row>
    <row r="934">
      <c r="A934" s="7"/>
    </row>
    <row r="935">
      <c r="A935" s="7"/>
    </row>
    <row r="936">
      <c r="A936" s="7"/>
    </row>
    <row r="937">
      <c r="A937" s="7"/>
    </row>
    <row r="938">
      <c r="A938" s="7"/>
    </row>
    <row r="939">
      <c r="A939" s="7"/>
    </row>
    <row r="940">
      <c r="A940" s="7"/>
    </row>
    <row r="941">
      <c r="A941" s="7"/>
    </row>
    <row r="942">
      <c r="A942" s="7"/>
    </row>
    <row r="943">
      <c r="A943" s="7"/>
    </row>
    <row r="944">
      <c r="A944" s="7"/>
    </row>
    <row r="945">
      <c r="A945" s="7"/>
    </row>
    <row r="946">
      <c r="A946" s="7"/>
    </row>
    <row r="947">
      <c r="A947" s="7"/>
    </row>
    <row r="948">
      <c r="A948" s="7"/>
    </row>
    <row r="949">
      <c r="A949" s="7"/>
    </row>
    <row r="950">
      <c r="A950" s="7"/>
    </row>
    <row r="951">
      <c r="A951" s="7"/>
    </row>
    <row r="952">
      <c r="A952" s="7"/>
    </row>
    <row r="953">
      <c r="A953" s="7"/>
    </row>
    <row r="954">
      <c r="A954" s="7"/>
    </row>
    <row r="955">
      <c r="A955" s="7"/>
    </row>
    <row r="956">
      <c r="A956" s="7"/>
    </row>
    <row r="957">
      <c r="A957" s="7"/>
    </row>
    <row r="958">
      <c r="A958" s="7"/>
    </row>
    <row r="959">
      <c r="A959" s="7"/>
    </row>
    <row r="960">
      <c r="A960" s="7"/>
    </row>
    <row r="961">
      <c r="A961" s="7"/>
    </row>
    <row r="962">
      <c r="A962" s="7"/>
    </row>
    <row r="963">
      <c r="A963" s="7"/>
    </row>
    <row r="964">
      <c r="A964" s="7"/>
    </row>
    <row r="965">
      <c r="A965" s="7"/>
    </row>
    <row r="966">
      <c r="A966" s="7"/>
    </row>
    <row r="967">
      <c r="A967" s="7"/>
    </row>
    <row r="968">
      <c r="A968" s="7"/>
    </row>
    <row r="969">
      <c r="A969" s="7"/>
    </row>
    <row r="970">
      <c r="A970" s="7"/>
    </row>
    <row r="971">
      <c r="A971" s="7"/>
    </row>
    <row r="972">
      <c r="A972" s="7"/>
    </row>
    <row r="973">
      <c r="A973" s="7"/>
    </row>
    <row r="974">
      <c r="A974" s="7"/>
    </row>
    <row r="975">
      <c r="A975" s="7"/>
    </row>
    <row r="976">
      <c r="A976" s="7"/>
    </row>
    <row r="977">
      <c r="A977" s="7"/>
    </row>
    <row r="978">
      <c r="A978" s="7"/>
    </row>
    <row r="979">
      <c r="A979" s="7"/>
    </row>
    <row r="980">
      <c r="A980" s="7"/>
    </row>
    <row r="981">
      <c r="A981" s="7"/>
    </row>
    <row r="982">
      <c r="A982" s="7"/>
    </row>
    <row r="983">
      <c r="A983" s="7"/>
    </row>
    <row r="984">
      <c r="A984" s="7"/>
    </row>
    <row r="985">
      <c r="A985" s="7"/>
    </row>
    <row r="986">
      <c r="A986" s="7"/>
    </row>
    <row r="987">
      <c r="A987" s="7"/>
    </row>
    <row r="988">
      <c r="A988" s="7"/>
    </row>
    <row r="989">
      <c r="A989" s="7"/>
    </row>
    <row r="990">
      <c r="A990" s="7"/>
    </row>
    <row r="991">
      <c r="A991" s="7"/>
    </row>
    <row r="992">
      <c r="A992" s="7"/>
    </row>
    <row r="993">
      <c r="A993" s="7"/>
    </row>
    <row r="994">
      <c r="A994" s="7"/>
    </row>
    <row r="995">
      <c r="A995" s="7"/>
    </row>
    <row r="996">
      <c r="A996" s="7"/>
    </row>
    <row r="997">
      <c r="A997" s="7"/>
    </row>
    <row r="998">
      <c r="A998" s="7"/>
    </row>
    <row r="999">
      <c r="A999" s="7"/>
    </row>
    <row r="1000">
      <c r="A1000" s="7"/>
    </row>
    <row r="1001">
      <c r="A1001" s="7"/>
    </row>
  </sheetData>
  <dataValidations>
    <dataValidation type="list" allowBlank="1" showErrorMessage="1" sqref="J2:J81">
      <formula1>"Trend Analysis ,Gap Detection,Evidence-based QA,Comparative Synthesis"</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7.63"/>
    <col customWidth="1" min="3" max="3" width="26.63"/>
    <col customWidth="1" min="4" max="8" width="16.88"/>
    <col customWidth="1" min="9" max="9" width="53.63"/>
    <col customWidth="1" min="10" max="10" width="24.5"/>
    <col customWidth="1" min="11" max="11" width="35.88"/>
    <col customWidth="1" min="12" max="20" width="7.63"/>
  </cols>
  <sheetData>
    <row r="1">
      <c r="A1" s="55" t="s">
        <v>42</v>
      </c>
      <c r="B1" s="55" t="s">
        <v>43</v>
      </c>
      <c r="C1" s="55" t="s">
        <v>44</v>
      </c>
      <c r="D1" s="55" t="s">
        <v>3</v>
      </c>
      <c r="E1" s="55" t="s">
        <v>4</v>
      </c>
      <c r="F1" s="55" t="s">
        <v>5</v>
      </c>
      <c r="G1" s="55" t="s">
        <v>6</v>
      </c>
      <c r="H1" s="55" t="s">
        <v>1406</v>
      </c>
      <c r="I1" s="55" t="s">
        <v>1407</v>
      </c>
      <c r="J1" s="56" t="s">
        <v>1408</v>
      </c>
      <c r="K1" s="19" t="s">
        <v>20</v>
      </c>
    </row>
    <row r="2">
      <c r="A2" s="50" t="s">
        <v>229</v>
      </c>
      <c r="B2" s="50" t="s">
        <v>570</v>
      </c>
      <c r="C2" s="50" t="s">
        <v>571</v>
      </c>
      <c r="D2" s="54">
        <v>0.75</v>
      </c>
      <c r="E2" s="54">
        <v>0.0</v>
      </c>
      <c r="F2" s="54">
        <v>0.0</v>
      </c>
      <c r="G2" s="54">
        <v>0.667</v>
      </c>
      <c r="H2" s="54" t="s">
        <v>17</v>
      </c>
      <c r="I2" s="50" t="s">
        <v>1409</v>
      </c>
      <c r="J2" s="50" t="s">
        <v>31</v>
      </c>
      <c r="K2" s="44" t="str">
        <f t="shared" ref="K2:K10" si="1">IF(AND(G2&gt;=0.5, D2&gt;=0.5),
    IF(F2&lt;=0.5, "Dominant Noise",
    IF(AND(F2&gt;0.5, F2&lt;0.8, G2&gt;=0.8), "Mixed Context",
    "Other Error")),
"Other Error")</f>
        <v>Dominant Noise</v>
      </c>
    </row>
    <row r="3">
      <c r="A3" s="50" t="s">
        <v>241</v>
      </c>
      <c r="B3" s="50" t="s">
        <v>578</v>
      </c>
      <c r="C3" s="50" t="s">
        <v>579</v>
      </c>
      <c r="D3" s="54">
        <v>0.556</v>
      </c>
      <c r="E3" s="54">
        <v>0.0</v>
      </c>
      <c r="F3" s="54">
        <v>0.0</v>
      </c>
      <c r="G3" s="54">
        <v>0.8</v>
      </c>
      <c r="H3" s="54" t="s">
        <v>17</v>
      </c>
      <c r="I3" s="50" t="s">
        <v>1410</v>
      </c>
      <c r="J3" s="50" t="s">
        <v>31</v>
      </c>
      <c r="K3" s="44" t="str">
        <f t="shared" si="1"/>
        <v>Dominant Noise</v>
      </c>
    </row>
    <row r="4">
      <c r="A4" s="50" t="s">
        <v>178</v>
      </c>
      <c r="B4" s="50" t="s">
        <v>375</v>
      </c>
      <c r="C4" s="50" t="s">
        <v>376</v>
      </c>
      <c r="D4" s="54">
        <v>0.875</v>
      </c>
      <c r="E4" s="54">
        <v>0.863</v>
      </c>
      <c r="F4" s="54">
        <v>0.0</v>
      </c>
      <c r="G4" s="54">
        <v>0.167</v>
      </c>
      <c r="H4" s="54" t="s">
        <v>16</v>
      </c>
      <c r="I4" s="50" t="s">
        <v>1411</v>
      </c>
      <c r="J4" s="50" t="s">
        <v>31</v>
      </c>
      <c r="K4" s="44" t="str">
        <f t="shared" si="1"/>
        <v>Other Error</v>
      </c>
    </row>
    <row r="5">
      <c r="A5" s="50" t="s">
        <v>79</v>
      </c>
      <c r="B5" s="50" t="s">
        <v>80</v>
      </c>
      <c r="C5" s="50" t="s">
        <v>81</v>
      </c>
      <c r="D5" s="54">
        <v>0.889</v>
      </c>
      <c r="E5" s="54">
        <v>0.0</v>
      </c>
      <c r="F5" s="54">
        <v>0.0</v>
      </c>
      <c r="G5" s="54">
        <v>0.667</v>
      </c>
      <c r="H5" s="54" t="s">
        <v>14</v>
      </c>
      <c r="I5" s="50" t="s">
        <v>1412</v>
      </c>
      <c r="J5" s="50" t="s">
        <v>31</v>
      </c>
      <c r="K5" s="44" t="str">
        <f t="shared" si="1"/>
        <v>Dominant Noise</v>
      </c>
    </row>
    <row r="6">
      <c r="A6" s="50" t="s">
        <v>121</v>
      </c>
      <c r="B6" s="50" t="s">
        <v>122</v>
      </c>
      <c r="C6" s="50" t="s">
        <v>123</v>
      </c>
      <c r="D6" s="54">
        <v>0.917</v>
      </c>
      <c r="E6" s="54">
        <v>0.874</v>
      </c>
      <c r="F6" s="54">
        <v>0.0</v>
      </c>
      <c r="G6" s="54">
        <v>0.667</v>
      </c>
      <c r="H6" s="54" t="s">
        <v>15</v>
      </c>
      <c r="I6" s="50" t="s">
        <v>1413</v>
      </c>
      <c r="J6" s="50" t="s">
        <v>31</v>
      </c>
      <c r="K6" s="44" t="str">
        <f t="shared" si="1"/>
        <v>Dominant Noise</v>
      </c>
    </row>
    <row r="7">
      <c r="A7" s="50" t="s">
        <v>106</v>
      </c>
      <c r="B7" s="50" t="s">
        <v>650</v>
      </c>
      <c r="C7" s="50" t="s">
        <v>651</v>
      </c>
      <c r="D7" s="54">
        <v>0.625</v>
      </c>
      <c r="E7" s="54">
        <v>0.0</v>
      </c>
      <c r="F7" s="54">
        <v>0.0</v>
      </c>
      <c r="G7" s="54">
        <v>0.6</v>
      </c>
      <c r="H7" s="54" t="s">
        <v>15</v>
      </c>
      <c r="I7" s="50" t="s">
        <v>1414</v>
      </c>
      <c r="J7" s="50" t="s">
        <v>31</v>
      </c>
      <c r="K7" s="44" t="str">
        <f t="shared" si="1"/>
        <v>Dominant Noise</v>
      </c>
    </row>
    <row r="8">
      <c r="A8" s="50" t="s">
        <v>121</v>
      </c>
      <c r="B8" s="50" t="s">
        <v>658</v>
      </c>
      <c r="C8" s="50" t="s">
        <v>659</v>
      </c>
      <c r="D8" s="54">
        <v>0.667</v>
      </c>
      <c r="E8" s="54">
        <v>0.993</v>
      </c>
      <c r="F8" s="54">
        <v>0.0</v>
      </c>
      <c r="G8" s="54">
        <v>0.875</v>
      </c>
      <c r="H8" s="54" t="s">
        <v>15</v>
      </c>
      <c r="I8" s="50" t="s">
        <v>1415</v>
      </c>
      <c r="J8" s="50" t="s">
        <v>31</v>
      </c>
      <c r="K8" s="44" t="str">
        <f t="shared" si="1"/>
        <v>Dominant Noise</v>
      </c>
    </row>
    <row r="9">
      <c r="A9" s="50" t="s">
        <v>238</v>
      </c>
      <c r="B9" s="50" t="s">
        <v>736</v>
      </c>
      <c r="C9" s="50" t="s">
        <v>737</v>
      </c>
      <c r="D9" s="54">
        <v>0.5</v>
      </c>
      <c r="E9" s="54">
        <v>0.786</v>
      </c>
      <c r="F9" s="54">
        <v>0.0</v>
      </c>
      <c r="G9" s="54">
        <v>0.667</v>
      </c>
      <c r="H9" s="54" t="s">
        <v>17</v>
      </c>
      <c r="I9" s="50" t="s">
        <v>1416</v>
      </c>
      <c r="J9" s="50" t="s">
        <v>31</v>
      </c>
      <c r="K9" s="44" t="str">
        <f t="shared" si="1"/>
        <v>Dominant Noise</v>
      </c>
    </row>
    <row r="10">
      <c r="A10" s="50" t="s">
        <v>274</v>
      </c>
      <c r="B10" s="50" t="s">
        <v>760</v>
      </c>
      <c r="C10" s="50" t="s">
        <v>761</v>
      </c>
      <c r="D10" s="54">
        <v>0.667</v>
      </c>
      <c r="E10" s="54">
        <v>0.0</v>
      </c>
      <c r="F10" s="54">
        <v>0.2</v>
      </c>
      <c r="G10" s="54">
        <v>0.8</v>
      </c>
      <c r="H10" s="54" t="s">
        <v>17</v>
      </c>
      <c r="I10" s="50" t="s">
        <v>1417</v>
      </c>
      <c r="J10" s="50" t="s">
        <v>31</v>
      </c>
      <c r="K10" s="44" t="str">
        <f t="shared" si="1"/>
        <v>Dominant Noise</v>
      </c>
    </row>
    <row r="11">
      <c r="D11" s="7"/>
      <c r="E11" s="7"/>
      <c r="F11" s="7"/>
      <c r="G11" s="7"/>
      <c r="H11" s="7"/>
    </row>
    <row r="12">
      <c r="D12" s="7"/>
      <c r="E12" s="7"/>
      <c r="F12" s="7"/>
      <c r="G12" s="7"/>
      <c r="H12" s="7"/>
    </row>
    <row r="13">
      <c r="D13" s="7"/>
      <c r="E13" s="7"/>
      <c r="F13" s="7"/>
      <c r="G13" s="7"/>
      <c r="H13" s="7"/>
    </row>
    <row r="14">
      <c r="D14" s="7"/>
      <c r="E14" s="7"/>
      <c r="F14" s="7"/>
      <c r="G14" s="7"/>
      <c r="H14" s="7"/>
    </row>
    <row r="15">
      <c r="D15" s="7"/>
      <c r="E15" s="7"/>
      <c r="F15" s="7"/>
      <c r="G15" s="7"/>
      <c r="H15" s="7"/>
    </row>
    <row r="16">
      <c r="D16" s="7"/>
      <c r="E16" s="7"/>
      <c r="F16" s="7"/>
      <c r="G16" s="7"/>
      <c r="H16" s="7"/>
    </row>
    <row r="17">
      <c r="D17" s="7"/>
      <c r="E17" s="7"/>
      <c r="F17" s="7"/>
      <c r="G17" s="7"/>
      <c r="H17" s="7"/>
    </row>
    <row r="18">
      <c r="D18" s="7"/>
      <c r="E18" s="7"/>
      <c r="F18" s="7"/>
      <c r="G18" s="7"/>
      <c r="H18" s="7"/>
    </row>
    <row r="19">
      <c r="D19" s="7"/>
      <c r="E19" s="7"/>
      <c r="F19" s="7"/>
      <c r="G19" s="7"/>
      <c r="H19" s="7"/>
    </row>
    <row r="20">
      <c r="D20" s="7"/>
      <c r="E20" s="7"/>
      <c r="F20" s="7"/>
      <c r="G20" s="7"/>
      <c r="H20" s="7"/>
    </row>
    <row r="21" ht="15.75" customHeight="1">
      <c r="D21" s="7"/>
      <c r="E21" s="7"/>
      <c r="F21" s="7"/>
      <c r="G21" s="7"/>
      <c r="H21" s="7"/>
    </row>
    <row r="22" ht="15.75" customHeight="1">
      <c r="D22" s="7"/>
      <c r="E22" s="7"/>
      <c r="F22" s="7"/>
      <c r="G22" s="7"/>
      <c r="H22" s="7"/>
    </row>
    <row r="23" ht="15.75" customHeight="1">
      <c r="D23" s="7"/>
      <c r="E23" s="7"/>
      <c r="F23" s="7"/>
      <c r="G23" s="7"/>
      <c r="H23" s="7"/>
    </row>
    <row r="24" ht="15.75" customHeight="1">
      <c r="D24" s="7"/>
      <c r="E24" s="7"/>
      <c r="F24" s="7"/>
      <c r="G24" s="7"/>
      <c r="H24" s="7"/>
    </row>
    <row r="25" ht="15.75" customHeight="1">
      <c r="D25" s="7"/>
      <c r="E25" s="7"/>
      <c r="F25" s="7"/>
      <c r="G25" s="7"/>
      <c r="H25" s="7"/>
    </row>
    <row r="26" ht="15.75" customHeight="1">
      <c r="D26" s="7"/>
      <c r="E26" s="7"/>
      <c r="F26" s="7"/>
      <c r="G26" s="7"/>
      <c r="H26" s="7"/>
    </row>
    <row r="27" ht="15.75" customHeight="1">
      <c r="D27" s="7"/>
      <c r="E27" s="7"/>
      <c r="F27" s="7"/>
      <c r="G27" s="7"/>
      <c r="H27" s="7"/>
    </row>
    <row r="28" ht="15.75" customHeight="1">
      <c r="D28" s="7"/>
      <c r="E28" s="7"/>
      <c r="F28" s="7"/>
      <c r="G28" s="7"/>
      <c r="H28" s="7"/>
    </row>
    <row r="29" ht="15.75" customHeight="1">
      <c r="D29" s="7"/>
      <c r="E29" s="7"/>
      <c r="F29" s="7"/>
      <c r="G29" s="7"/>
      <c r="H29" s="7"/>
    </row>
    <row r="30" ht="15.75" customHeight="1">
      <c r="D30" s="7"/>
      <c r="E30" s="7"/>
      <c r="F30" s="7"/>
      <c r="G30" s="7"/>
      <c r="H30" s="7"/>
    </row>
    <row r="31" ht="15.75" customHeight="1">
      <c r="D31" s="7"/>
      <c r="E31" s="7"/>
      <c r="F31" s="7"/>
      <c r="G31" s="7"/>
      <c r="H31" s="7"/>
    </row>
    <row r="32" ht="15.75" customHeight="1">
      <c r="D32" s="7"/>
      <c r="E32" s="7"/>
      <c r="F32" s="7"/>
      <c r="G32" s="7"/>
      <c r="H32" s="7"/>
    </row>
    <row r="33" ht="15.75" customHeight="1">
      <c r="D33" s="7"/>
      <c r="E33" s="7"/>
      <c r="F33" s="7"/>
      <c r="G33" s="7"/>
      <c r="H33" s="7"/>
    </row>
    <row r="34" ht="15.75" customHeight="1">
      <c r="D34" s="7"/>
      <c r="E34" s="7"/>
      <c r="F34" s="7"/>
      <c r="G34" s="7"/>
      <c r="H34" s="7"/>
    </row>
    <row r="35" ht="15.75" customHeight="1">
      <c r="D35" s="7"/>
      <c r="E35" s="7"/>
      <c r="F35" s="7"/>
      <c r="G35" s="7"/>
      <c r="H35" s="7"/>
    </row>
    <row r="36" ht="15.75" customHeight="1">
      <c r="D36" s="7"/>
      <c r="E36" s="7"/>
      <c r="F36" s="7"/>
      <c r="G36" s="7"/>
      <c r="H36" s="7"/>
    </row>
    <row r="37" ht="15.75" customHeight="1">
      <c r="D37" s="7"/>
      <c r="E37" s="7"/>
      <c r="F37" s="7"/>
      <c r="G37" s="7"/>
      <c r="H37" s="7"/>
    </row>
    <row r="38" ht="15.75" customHeight="1">
      <c r="D38" s="7"/>
      <c r="E38" s="7"/>
      <c r="F38" s="7"/>
      <c r="G38" s="7"/>
      <c r="H38" s="7"/>
    </row>
    <row r="39" ht="15.75" customHeight="1">
      <c r="D39" s="7"/>
      <c r="E39" s="7"/>
      <c r="F39" s="7"/>
      <c r="G39" s="7"/>
      <c r="H39" s="7"/>
    </row>
    <row r="40" ht="15.75" customHeight="1">
      <c r="D40" s="7"/>
      <c r="E40" s="7"/>
      <c r="F40" s="7"/>
      <c r="G40" s="7"/>
      <c r="H40" s="7"/>
    </row>
    <row r="41" ht="15.75" customHeight="1">
      <c r="D41" s="7"/>
      <c r="E41" s="7"/>
      <c r="F41" s="7"/>
      <c r="G41" s="7"/>
      <c r="H41" s="7"/>
    </row>
    <row r="42" ht="15.75" customHeight="1">
      <c r="D42" s="7"/>
      <c r="E42" s="7"/>
      <c r="F42" s="7"/>
      <c r="G42" s="7"/>
      <c r="H42" s="7"/>
    </row>
    <row r="43" ht="15.75" customHeight="1">
      <c r="D43" s="7"/>
      <c r="E43" s="7"/>
      <c r="F43" s="7"/>
      <c r="G43" s="7"/>
      <c r="H43" s="7"/>
    </row>
    <row r="44" ht="15.75" customHeight="1">
      <c r="D44" s="7"/>
      <c r="E44" s="7"/>
      <c r="F44" s="7"/>
      <c r="G44" s="7"/>
      <c r="H44" s="7"/>
    </row>
    <row r="45" ht="15.75" customHeight="1">
      <c r="D45" s="7"/>
      <c r="E45" s="7"/>
      <c r="F45" s="7"/>
      <c r="G45" s="7"/>
      <c r="H45" s="7"/>
    </row>
    <row r="46" ht="15.75" customHeight="1">
      <c r="D46" s="7"/>
      <c r="E46" s="7"/>
      <c r="F46" s="7"/>
      <c r="G46" s="7"/>
      <c r="H46" s="7"/>
    </row>
    <row r="47" ht="15.75" customHeight="1">
      <c r="D47" s="7"/>
      <c r="E47" s="7"/>
      <c r="F47" s="7"/>
      <c r="G47" s="7"/>
      <c r="H47" s="7"/>
    </row>
    <row r="48" ht="15.75" customHeight="1">
      <c r="D48" s="7"/>
      <c r="E48" s="7"/>
      <c r="F48" s="7"/>
      <c r="G48" s="7"/>
      <c r="H48" s="7"/>
    </row>
    <row r="49" ht="15.75" customHeight="1">
      <c r="D49" s="7"/>
      <c r="E49" s="7"/>
      <c r="F49" s="7"/>
      <c r="G49" s="7"/>
      <c r="H49" s="7"/>
    </row>
    <row r="50" ht="15.75" customHeight="1">
      <c r="D50" s="7"/>
      <c r="E50" s="7"/>
      <c r="F50" s="7"/>
      <c r="G50" s="7"/>
      <c r="H50" s="7"/>
    </row>
    <row r="51" ht="15.75" customHeight="1">
      <c r="D51" s="7"/>
      <c r="E51" s="7"/>
      <c r="F51" s="7"/>
      <c r="G51" s="7"/>
      <c r="H51" s="7"/>
    </row>
    <row r="52" ht="15.75" customHeight="1">
      <c r="D52" s="7"/>
      <c r="E52" s="7"/>
      <c r="F52" s="7"/>
      <c r="G52" s="7"/>
      <c r="H52" s="7"/>
    </row>
    <row r="53" ht="15.75" customHeight="1">
      <c r="D53" s="7"/>
      <c r="E53" s="7"/>
      <c r="F53" s="7"/>
      <c r="G53" s="7"/>
      <c r="H53" s="7"/>
    </row>
    <row r="54" ht="15.75" customHeight="1">
      <c r="D54" s="7"/>
      <c r="E54" s="7"/>
      <c r="F54" s="7"/>
      <c r="G54" s="7"/>
      <c r="H54" s="7"/>
    </row>
    <row r="55" ht="15.75" customHeight="1">
      <c r="D55" s="7"/>
      <c r="E55" s="7"/>
      <c r="F55" s="7"/>
      <c r="G55" s="7"/>
      <c r="H55" s="7"/>
    </row>
    <row r="56" ht="15.75" customHeight="1">
      <c r="D56" s="7"/>
      <c r="E56" s="7"/>
      <c r="F56" s="7"/>
      <c r="G56" s="7"/>
      <c r="H56" s="7"/>
    </row>
    <row r="57" ht="15.75" customHeight="1">
      <c r="D57" s="7"/>
      <c r="E57" s="7"/>
      <c r="F57" s="7"/>
      <c r="G57" s="7"/>
      <c r="H57" s="7"/>
    </row>
    <row r="58" ht="15.75" customHeight="1">
      <c r="D58" s="7"/>
      <c r="E58" s="7"/>
      <c r="F58" s="7"/>
      <c r="G58" s="7"/>
      <c r="H58" s="7"/>
    </row>
    <row r="59" ht="15.75" customHeight="1">
      <c r="D59" s="7"/>
      <c r="E59" s="7"/>
      <c r="F59" s="7"/>
      <c r="G59" s="7"/>
      <c r="H59" s="7"/>
    </row>
    <row r="60" ht="15.75" customHeight="1">
      <c r="D60" s="7"/>
      <c r="E60" s="7"/>
      <c r="F60" s="7"/>
      <c r="G60" s="7"/>
      <c r="H60" s="7"/>
    </row>
    <row r="61" ht="15.75" customHeight="1">
      <c r="D61" s="7"/>
      <c r="E61" s="7"/>
      <c r="F61" s="7"/>
      <c r="G61" s="7"/>
      <c r="H61" s="7"/>
    </row>
    <row r="62" ht="15.75" customHeight="1">
      <c r="D62" s="7"/>
      <c r="E62" s="7"/>
      <c r="F62" s="7"/>
      <c r="G62" s="7"/>
      <c r="H62" s="7"/>
    </row>
    <row r="63" ht="15.75" customHeight="1">
      <c r="D63" s="7"/>
      <c r="E63" s="7"/>
      <c r="F63" s="7"/>
      <c r="G63" s="7"/>
      <c r="H63" s="7"/>
    </row>
    <row r="64" ht="15.75" customHeight="1">
      <c r="D64" s="7"/>
      <c r="E64" s="7"/>
      <c r="F64" s="7"/>
      <c r="G64" s="7"/>
      <c r="H64" s="7"/>
    </row>
    <row r="65" ht="15.75" customHeight="1">
      <c r="D65" s="7"/>
      <c r="E65" s="7"/>
      <c r="F65" s="7"/>
      <c r="G65" s="7"/>
      <c r="H65" s="7"/>
    </row>
    <row r="66" ht="15.75" customHeight="1">
      <c r="D66" s="7"/>
      <c r="E66" s="7"/>
      <c r="F66" s="7"/>
      <c r="G66" s="7"/>
      <c r="H66" s="7"/>
    </row>
    <row r="67" ht="15.75" customHeight="1">
      <c r="D67" s="7"/>
      <c r="E67" s="7"/>
      <c r="F67" s="7"/>
      <c r="G67" s="7"/>
      <c r="H67" s="7"/>
    </row>
    <row r="68" ht="15.75" customHeight="1">
      <c r="D68" s="7"/>
      <c r="E68" s="7"/>
      <c r="F68" s="7"/>
      <c r="G68" s="7"/>
      <c r="H68" s="7"/>
    </row>
    <row r="69" ht="15.75" customHeight="1">
      <c r="D69" s="7"/>
      <c r="E69" s="7"/>
      <c r="F69" s="7"/>
      <c r="G69" s="7"/>
      <c r="H69" s="7"/>
    </row>
    <row r="70" ht="15.75" customHeight="1">
      <c r="D70" s="7"/>
      <c r="E70" s="7"/>
      <c r="F70" s="7"/>
      <c r="G70" s="7"/>
      <c r="H70" s="7"/>
    </row>
    <row r="71" ht="15.75" customHeight="1">
      <c r="D71" s="7"/>
      <c r="E71" s="7"/>
      <c r="F71" s="7"/>
      <c r="G71" s="7"/>
      <c r="H71" s="7"/>
    </row>
    <row r="72" ht="15.75" customHeight="1">
      <c r="D72" s="7"/>
      <c r="E72" s="7"/>
      <c r="F72" s="7"/>
      <c r="G72" s="7"/>
      <c r="H72" s="7"/>
    </row>
    <row r="73" ht="15.75" customHeight="1">
      <c r="D73" s="7"/>
      <c r="E73" s="7"/>
      <c r="F73" s="7"/>
      <c r="G73" s="7"/>
      <c r="H73" s="7"/>
    </row>
    <row r="74" ht="15.75" customHeight="1">
      <c r="D74" s="7"/>
      <c r="E74" s="7"/>
      <c r="F74" s="7"/>
      <c r="G74" s="7"/>
      <c r="H74" s="7"/>
    </row>
    <row r="75" ht="15.75" customHeight="1">
      <c r="D75" s="7"/>
      <c r="E75" s="7"/>
      <c r="F75" s="7"/>
      <c r="G75" s="7"/>
      <c r="H75" s="7"/>
    </row>
    <row r="76" ht="15.75" customHeight="1">
      <c r="D76" s="7"/>
      <c r="E76" s="7"/>
      <c r="F76" s="7"/>
      <c r="G76" s="7"/>
      <c r="H76" s="7"/>
    </row>
    <row r="77" ht="15.75" customHeight="1">
      <c r="D77" s="7"/>
      <c r="E77" s="7"/>
      <c r="F77" s="7"/>
      <c r="G77" s="7"/>
      <c r="H77" s="7"/>
    </row>
    <row r="78" ht="15.75" customHeight="1">
      <c r="D78" s="7"/>
      <c r="E78" s="7"/>
      <c r="F78" s="7"/>
      <c r="G78" s="7"/>
      <c r="H78" s="7"/>
    </row>
    <row r="79" ht="15.75" customHeight="1">
      <c r="D79" s="7"/>
      <c r="E79" s="7"/>
      <c r="F79" s="7"/>
      <c r="G79" s="7"/>
      <c r="H79" s="7"/>
    </row>
    <row r="80" ht="15.75" customHeight="1">
      <c r="D80" s="7"/>
      <c r="E80" s="7"/>
      <c r="F80" s="7"/>
      <c r="G80" s="7"/>
      <c r="H80" s="7"/>
    </row>
    <row r="81" ht="15.75" customHeight="1">
      <c r="D81" s="7"/>
      <c r="E81" s="7"/>
      <c r="F81" s="7"/>
      <c r="G81" s="7"/>
      <c r="H81" s="7"/>
    </row>
    <row r="82" ht="15.75" customHeight="1">
      <c r="D82" s="7"/>
      <c r="E82" s="7"/>
      <c r="F82" s="7"/>
      <c r="G82" s="7"/>
      <c r="H82" s="7"/>
    </row>
    <row r="83" ht="15.75" customHeight="1">
      <c r="D83" s="7"/>
      <c r="E83" s="7"/>
      <c r="F83" s="7"/>
      <c r="G83" s="7"/>
      <c r="H83" s="7"/>
    </row>
    <row r="84" ht="15.75" customHeight="1">
      <c r="D84" s="7"/>
      <c r="E84" s="7"/>
      <c r="F84" s="7"/>
      <c r="G84" s="7"/>
      <c r="H84" s="7"/>
    </row>
    <row r="85" ht="15.75" customHeight="1">
      <c r="D85" s="7"/>
      <c r="E85" s="7"/>
      <c r="F85" s="7"/>
      <c r="G85" s="7"/>
      <c r="H85" s="7"/>
    </row>
    <row r="86" ht="15.75" customHeight="1">
      <c r="D86" s="7"/>
      <c r="E86" s="7"/>
      <c r="F86" s="7"/>
      <c r="G86" s="7"/>
      <c r="H86" s="7"/>
    </row>
    <row r="87" ht="15.75" customHeight="1">
      <c r="D87" s="7"/>
      <c r="E87" s="7"/>
      <c r="F87" s="7"/>
      <c r="G87" s="7"/>
      <c r="H87" s="7"/>
    </row>
    <row r="88" ht="15.75" customHeight="1">
      <c r="D88" s="7"/>
      <c r="E88" s="7"/>
      <c r="F88" s="7"/>
      <c r="G88" s="7"/>
      <c r="H88" s="7"/>
    </row>
    <row r="89" ht="15.75" customHeight="1">
      <c r="D89" s="7"/>
      <c r="E89" s="7"/>
      <c r="F89" s="7"/>
      <c r="G89" s="7"/>
      <c r="H89" s="7"/>
    </row>
    <row r="90" ht="15.75" customHeight="1">
      <c r="D90" s="7"/>
      <c r="E90" s="7"/>
      <c r="F90" s="7"/>
      <c r="G90" s="7"/>
      <c r="H90" s="7"/>
    </row>
    <row r="91" ht="15.75" customHeight="1">
      <c r="D91" s="7"/>
      <c r="E91" s="7"/>
      <c r="F91" s="7"/>
      <c r="G91" s="7"/>
      <c r="H91" s="7"/>
    </row>
    <row r="92" ht="15.75" customHeight="1">
      <c r="D92" s="7"/>
      <c r="E92" s="7"/>
      <c r="F92" s="7"/>
      <c r="G92" s="7"/>
      <c r="H92" s="7"/>
    </row>
    <row r="93" ht="15.75" customHeight="1">
      <c r="D93" s="7"/>
      <c r="E93" s="7"/>
      <c r="F93" s="7"/>
      <c r="G93" s="7"/>
      <c r="H93" s="7"/>
    </row>
    <row r="94" ht="15.75" customHeight="1">
      <c r="D94" s="7"/>
      <c r="E94" s="7"/>
      <c r="F94" s="7"/>
      <c r="G94" s="7"/>
      <c r="H94" s="7"/>
    </row>
    <row r="95" ht="15.75" customHeight="1">
      <c r="D95" s="7"/>
      <c r="E95" s="7"/>
      <c r="F95" s="7"/>
      <c r="G95" s="7"/>
      <c r="H95" s="7"/>
    </row>
    <row r="96" ht="15.75" customHeight="1">
      <c r="D96" s="7"/>
      <c r="E96" s="7"/>
      <c r="F96" s="7"/>
      <c r="G96" s="7"/>
      <c r="H96" s="7"/>
    </row>
    <row r="97" ht="15.75" customHeight="1">
      <c r="D97" s="7"/>
      <c r="E97" s="7"/>
      <c r="F97" s="7"/>
      <c r="G97" s="7"/>
      <c r="H97" s="7"/>
    </row>
    <row r="98" ht="15.75" customHeight="1">
      <c r="D98" s="7"/>
      <c r="E98" s="7"/>
      <c r="F98" s="7"/>
      <c r="G98" s="7"/>
      <c r="H98" s="7"/>
    </row>
    <row r="99" ht="15.75" customHeight="1">
      <c r="D99" s="7"/>
      <c r="E99" s="7"/>
      <c r="F99" s="7"/>
      <c r="G99" s="7"/>
      <c r="H99" s="7"/>
    </row>
    <row r="100" ht="15.75" customHeight="1">
      <c r="D100" s="7"/>
      <c r="E100" s="7"/>
      <c r="F100" s="7"/>
      <c r="G100" s="7"/>
      <c r="H100" s="7"/>
    </row>
    <row r="101" ht="15.75" customHeight="1">
      <c r="D101" s="7"/>
      <c r="E101" s="7"/>
      <c r="F101" s="7"/>
      <c r="G101" s="7"/>
      <c r="H101" s="7"/>
    </row>
    <row r="102" ht="15.75" customHeight="1">
      <c r="D102" s="7"/>
      <c r="E102" s="7"/>
      <c r="F102" s="7"/>
      <c r="G102" s="7"/>
      <c r="H102" s="7"/>
    </row>
    <row r="103" ht="15.75" customHeight="1">
      <c r="D103" s="7"/>
      <c r="E103" s="7"/>
      <c r="F103" s="7"/>
      <c r="G103" s="7"/>
      <c r="H103" s="7"/>
    </row>
    <row r="104" ht="15.75" customHeight="1">
      <c r="D104" s="7"/>
      <c r="E104" s="7"/>
      <c r="F104" s="7"/>
      <c r="G104" s="7"/>
      <c r="H104" s="7"/>
    </row>
    <row r="105" ht="15.75" customHeight="1">
      <c r="D105" s="7"/>
      <c r="E105" s="7"/>
      <c r="F105" s="7"/>
      <c r="G105" s="7"/>
      <c r="H105" s="7"/>
    </row>
    <row r="106" ht="15.75" customHeight="1">
      <c r="D106" s="7"/>
      <c r="E106" s="7"/>
      <c r="F106" s="7"/>
      <c r="G106" s="7"/>
      <c r="H106" s="7"/>
    </row>
    <row r="107" ht="15.75" customHeight="1">
      <c r="D107" s="7"/>
      <c r="E107" s="7"/>
      <c r="F107" s="7"/>
      <c r="G107" s="7"/>
      <c r="H107" s="7"/>
    </row>
    <row r="108" ht="15.75" customHeight="1">
      <c r="D108" s="7"/>
      <c r="E108" s="7"/>
      <c r="F108" s="7"/>
      <c r="G108" s="7"/>
      <c r="H108" s="7"/>
    </row>
    <row r="109" ht="15.75" customHeight="1">
      <c r="D109" s="7"/>
      <c r="E109" s="7"/>
      <c r="F109" s="7"/>
      <c r="G109" s="7"/>
      <c r="H109" s="7"/>
    </row>
    <row r="110" ht="15.75" customHeight="1">
      <c r="D110" s="7"/>
      <c r="E110" s="7"/>
      <c r="F110" s="7"/>
      <c r="G110" s="7"/>
      <c r="H110" s="7"/>
    </row>
    <row r="111" ht="15.75" customHeight="1">
      <c r="D111" s="7"/>
      <c r="E111" s="7"/>
      <c r="F111" s="7"/>
      <c r="G111" s="7"/>
      <c r="H111" s="7"/>
    </row>
    <row r="112" ht="15.75" customHeight="1">
      <c r="D112" s="7"/>
      <c r="E112" s="7"/>
      <c r="F112" s="7"/>
      <c r="G112" s="7"/>
      <c r="H112" s="7"/>
    </row>
    <row r="113" ht="15.75" customHeight="1">
      <c r="D113" s="7"/>
      <c r="E113" s="7"/>
      <c r="F113" s="7"/>
      <c r="G113" s="7"/>
      <c r="H113" s="7"/>
    </row>
    <row r="114" ht="15.75" customHeight="1">
      <c r="D114" s="7"/>
      <c r="E114" s="7"/>
      <c r="F114" s="7"/>
      <c r="G114" s="7"/>
      <c r="H114" s="7"/>
    </row>
    <row r="115" ht="15.75" customHeight="1">
      <c r="D115" s="7"/>
      <c r="E115" s="7"/>
      <c r="F115" s="7"/>
      <c r="G115" s="7"/>
      <c r="H115" s="7"/>
    </row>
    <row r="116" ht="15.75" customHeight="1">
      <c r="D116" s="7"/>
      <c r="E116" s="7"/>
      <c r="F116" s="7"/>
      <c r="G116" s="7"/>
      <c r="H116" s="7"/>
    </row>
    <row r="117" ht="15.75" customHeight="1">
      <c r="D117" s="7"/>
      <c r="E117" s="7"/>
      <c r="F117" s="7"/>
      <c r="G117" s="7"/>
      <c r="H117" s="7"/>
    </row>
    <row r="118" ht="15.75" customHeight="1">
      <c r="D118" s="7"/>
      <c r="E118" s="7"/>
      <c r="F118" s="7"/>
      <c r="G118" s="7"/>
      <c r="H118" s="7"/>
    </row>
    <row r="119" ht="15.75" customHeight="1">
      <c r="D119" s="7"/>
      <c r="E119" s="7"/>
      <c r="F119" s="7"/>
      <c r="G119" s="7"/>
      <c r="H119" s="7"/>
    </row>
    <row r="120" ht="15.75" customHeight="1">
      <c r="D120" s="7"/>
      <c r="E120" s="7"/>
      <c r="F120" s="7"/>
      <c r="G120" s="7"/>
      <c r="H120" s="7"/>
    </row>
    <row r="121" ht="15.75" customHeight="1">
      <c r="D121" s="7"/>
      <c r="E121" s="7"/>
      <c r="F121" s="7"/>
      <c r="G121" s="7"/>
      <c r="H121" s="7"/>
    </row>
    <row r="122" ht="15.75" customHeight="1">
      <c r="D122" s="7"/>
      <c r="E122" s="7"/>
      <c r="F122" s="7"/>
      <c r="G122" s="7"/>
      <c r="H122" s="7"/>
    </row>
    <row r="123" ht="15.75" customHeight="1">
      <c r="D123" s="7"/>
      <c r="E123" s="7"/>
      <c r="F123" s="7"/>
      <c r="G123" s="7"/>
      <c r="H123" s="7"/>
    </row>
    <row r="124" ht="15.75" customHeight="1">
      <c r="D124" s="7"/>
      <c r="E124" s="7"/>
      <c r="F124" s="7"/>
      <c r="G124" s="7"/>
      <c r="H124" s="7"/>
    </row>
    <row r="125" ht="15.75" customHeight="1">
      <c r="D125" s="7"/>
      <c r="E125" s="7"/>
      <c r="F125" s="7"/>
      <c r="G125" s="7"/>
      <c r="H125" s="7"/>
    </row>
    <row r="126" ht="15.75" customHeight="1">
      <c r="D126" s="7"/>
      <c r="E126" s="7"/>
      <c r="F126" s="7"/>
      <c r="G126" s="7"/>
      <c r="H126" s="7"/>
    </row>
    <row r="127" ht="15.75" customHeight="1">
      <c r="D127" s="7"/>
      <c r="E127" s="7"/>
      <c r="F127" s="7"/>
      <c r="G127" s="7"/>
      <c r="H127" s="7"/>
    </row>
    <row r="128" ht="15.75" customHeight="1">
      <c r="D128" s="7"/>
      <c r="E128" s="7"/>
      <c r="F128" s="7"/>
      <c r="G128" s="7"/>
      <c r="H128" s="7"/>
    </row>
    <row r="129" ht="15.75" customHeight="1">
      <c r="D129" s="7"/>
      <c r="E129" s="7"/>
      <c r="F129" s="7"/>
      <c r="G129" s="7"/>
      <c r="H129" s="7"/>
    </row>
    <row r="130" ht="15.75" customHeight="1">
      <c r="D130" s="7"/>
      <c r="E130" s="7"/>
      <c r="F130" s="7"/>
      <c r="G130" s="7"/>
      <c r="H130" s="7"/>
    </row>
    <row r="131" ht="15.75" customHeight="1">
      <c r="D131" s="7"/>
      <c r="E131" s="7"/>
      <c r="F131" s="7"/>
      <c r="G131" s="7"/>
      <c r="H131" s="7"/>
    </row>
    <row r="132" ht="15.75" customHeight="1">
      <c r="D132" s="7"/>
      <c r="E132" s="7"/>
      <c r="F132" s="7"/>
      <c r="G132" s="7"/>
      <c r="H132" s="7"/>
    </row>
    <row r="133" ht="15.75" customHeight="1">
      <c r="D133" s="7"/>
      <c r="E133" s="7"/>
      <c r="F133" s="7"/>
      <c r="G133" s="7"/>
      <c r="H133" s="7"/>
    </row>
    <row r="134" ht="15.75" customHeight="1">
      <c r="D134" s="7"/>
      <c r="E134" s="7"/>
      <c r="F134" s="7"/>
      <c r="G134" s="7"/>
      <c r="H134" s="7"/>
    </row>
    <row r="135" ht="15.75" customHeight="1">
      <c r="D135" s="7"/>
      <c r="E135" s="7"/>
      <c r="F135" s="7"/>
      <c r="G135" s="7"/>
      <c r="H135" s="7"/>
    </row>
    <row r="136" ht="15.75" customHeight="1">
      <c r="D136" s="7"/>
      <c r="E136" s="7"/>
      <c r="F136" s="7"/>
      <c r="G136" s="7"/>
      <c r="H136" s="7"/>
    </row>
    <row r="137" ht="15.75" customHeight="1">
      <c r="D137" s="7"/>
      <c r="E137" s="7"/>
      <c r="F137" s="7"/>
      <c r="G137" s="7"/>
      <c r="H137" s="7"/>
    </row>
    <row r="138" ht="15.75" customHeight="1">
      <c r="D138" s="7"/>
      <c r="E138" s="7"/>
      <c r="F138" s="7"/>
      <c r="G138" s="7"/>
      <c r="H138" s="7"/>
    </row>
    <row r="139" ht="15.75" customHeight="1">
      <c r="D139" s="7"/>
      <c r="E139" s="7"/>
      <c r="F139" s="7"/>
      <c r="G139" s="7"/>
      <c r="H139" s="7"/>
    </row>
    <row r="140" ht="15.75" customHeight="1">
      <c r="D140" s="7"/>
      <c r="E140" s="7"/>
      <c r="F140" s="7"/>
      <c r="G140" s="7"/>
      <c r="H140" s="7"/>
    </row>
    <row r="141" ht="15.75" customHeight="1">
      <c r="D141" s="7"/>
      <c r="E141" s="7"/>
      <c r="F141" s="7"/>
      <c r="G141" s="7"/>
      <c r="H141" s="7"/>
    </row>
    <row r="142" ht="15.75" customHeight="1">
      <c r="D142" s="7"/>
      <c r="E142" s="7"/>
      <c r="F142" s="7"/>
      <c r="G142" s="7"/>
      <c r="H142" s="7"/>
    </row>
    <row r="143" ht="15.75" customHeight="1">
      <c r="D143" s="7"/>
      <c r="E143" s="7"/>
      <c r="F143" s="7"/>
      <c r="G143" s="7"/>
      <c r="H143" s="7"/>
    </row>
    <row r="144" ht="15.75" customHeight="1">
      <c r="D144" s="7"/>
      <c r="E144" s="7"/>
      <c r="F144" s="7"/>
      <c r="G144" s="7"/>
      <c r="H144" s="7"/>
    </row>
    <row r="145" ht="15.75" customHeight="1">
      <c r="D145" s="7"/>
      <c r="E145" s="7"/>
      <c r="F145" s="7"/>
      <c r="G145" s="7"/>
      <c r="H145" s="7"/>
    </row>
    <row r="146" ht="15.75" customHeight="1">
      <c r="D146" s="7"/>
      <c r="E146" s="7"/>
      <c r="F146" s="7"/>
      <c r="G146" s="7"/>
      <c r="H146" s="7"/>
    </row>
    <row r="147" ht="15.75" customHeight="1">
      <c r="D147" s="7"/>
      <c r="E147" s="7"/>
      <c r="F147" s="7"/>
      <c r="G147" s="7"/>
      <c r="H147" s="7"/>
    </row>
    <row r="148" ht="15.75" customHeight="1">
      <c r="D148" s="7"/>
      <c r="E148" s="7"/>
      <c r="F148" s="7"/>
      <c r="G148" s="7"/>
      <c r="H148" s="7"/>
    </row>
    <row r="149" ht="15.75" customHeight="1">
      <c r="D149" s="7"/>
      <c r="E149" s="7"/>
      <c r="F149" s="7"/>
      <c r="G149" s="7"/>
      <c r="H149" s="7"/>
    </row>
    <row r="150" ht="15.75" customHeight="1">
      <c r="D150" s="7"/>
      <c r="E150" s="7"/>
      <c r="F150" s="7"/>
      <c r="G150" s="7"/>
      <c r="H150" s="7"/>
    </row>
    <row r="151" ht="15.75" customHeight="1">
      <c r="D151" s="7"/>
      <c r="E151" s="7"/>
      <c r="F151" s="7"/>
      <c r="G151" s="7"/>
      <c r="H151" s="7"/>
    </row>
    <row r="152" ht="15.75" customHeight="1">
      <c r="D152" s="7"/>
      <c r="E152" s="7"/>
      <c r="F152" s="7"/>
      <c r="G152" s="7"/>
      <c r="H152" s="7"/>
    </row>
    <row r="153" ht="15.75" customHeight="1">
      <c r="D153" s="7"/>
      <c r="E153" s="7"/>
      <c r="F153" s="7"/>
      <c r="G153" s="7"/>
      <c r="H153" s="7"/>
    </row>
    <row r="154" ht="15.75" customHeight="1">
      <c r="D154" s="7"/>
      <c r="E154" s="7"/>
      <c r="F154" s="7"/>
      <c r="G154" s="7"/>
      <c r="H154" s="7"/>
    </row>
    <row r="155" ht="15.75" customHeight="1">
      <c r="D155" s="7"/>
      <c r="E155" s="7"/>
      <c r="F155" s="7"/>
      <c r="G155" s="7"/>
      <c r="H155" s="7"/>
    </row>
    <row r="156" ht="15.75" customHeight="1">
      <c r="D156" s="7"/>
      <c r="E156" s="7"/>
      <c r="F156" s="7"/>
      <c r="G156" s="7"/>
      <c r="H156" s="7"/>
    </row>
    <row r="157" ht="15.75" customHeight="1">
      <c r="D157" s="7"/>
      <c r="E157" s="7"/>
      <c r="F157" s="7"/>
      <c r="G157" s="7"/>
      <c r="H157" s="7"/>
    </row>
    <row r="158" ht="15.75" customHeight="1">
      <c r="D158" s="7"/>
      <c r="E158" s="7"/>
      <c r="F158" s="7"/>
      <c r="G158" s="7"/>
      <c r="H158" s="7"/>
    </row>
    <row r="159" ht="15.75" customHeight="1">
      <c r="D159" s="7"/>
      <c r="E159" s="7"/>
      <c r="F159" s="7"/>
      <c r="G159" s="7"/>
      <c r="H159" s="7"/>
    </row>
    <row r="160" ht="15.75" customHeight="1">
      <c r="D160" s="7"/>
      <c r="E160" s="7"/>
      <c r="F160" s="7"/>
      <c r="G160" s="7"/>
      <c r="H160" s="7"/>
    </row>
    <row r="161" ht="15.75" customHeight="1">
      <c r="D161" s="7"/>
      <c r="E161" s="7"/>
      <c r="F161" s="7"/>
      <c r="G161" s="7"/>
      <c r="H161" s="7"/>
    </row>
    <row r="162" ht="15.75" customHeight="1">
      <c r="D162" s="7"/>
      <c r="E162" s="7"/>
      <c r="F162" s="7"/>
      <c r="G162" s="7"/>
      <c r="H162" s="7"/>
    </row>
    <row r="163" ht="15.75" customHeight="1">
      <c r="D163" s="7"/>
      <c r="E163" s="7"/>
      <c r="F163" s="7"/>
      <c r="G163" s="7"/>
      <c r="H163" s="7"/>
    </row>
    <row r="164" ht="15.75" customHeight="1">
      <c r="D164" s="7"/>
      <c r="E164" s="7"/>
      <c r="F164" s="7"/>
      <c r="G164" s="7"/>
      <c r="H164" s="7"/>
    </row>
    <row r="165" ht="15.75" customHeight="1">
      <c r="D165" s="7"/>
      <c r="E165" s="7"/>
      <c r="F165" s="7"/>
      <c r="G165" s="7"/>
      <c r="H165" s="7"/>
    </row>
    <row r="166" ht="15.75" customHeight="1">
      <c r="D166" s="7"/>
      <c r="E166" s="7"/>
      <c r="F166" s="7"/>
      <c r="G166" s="7"/>
      <c r="H166" s="7"/>
    </row>
    <row r="167" ht="15.75" customHeight="1">
      <c r="D167" s="7"/>
      <c r="E167" s="7"/>
      <c r="F167" s="7"/>
      <c r="G167" s="7"/>
      <c r="H167" s="7"/>
    </row>
    <row r="168" ht="15.75" customHeight="1">
      <c r="D168" s="7"/>
      <c r="E168" s="7"/>
      <c r="F168" s="7"/>
      <c r="G168" s="7"/>
      <c r="H168" s="7"/>
    </row>
    <row r="169" ht="15.75" customHeight="1">
      <c r="D169" s="7"/>
      <c r="E169" s="7"/>
      <c r="F169" s="7"/>
      <c r="G169" s="7"/>
      <c r="H169" s="7"/>
    </row>
    <row r="170" ht="15.75" customHeight="1">
      <c r="D170" s="7"/>
      <c r="E170" s="7"/>
      <c r="F170" s="7"/>
      <c r="G170" s="7"/>
      <c r="H170" s="7"/>
    </row>
    <row r="171" ht="15.75" customHeight="1">
      <c r="D171" s="7"/>
      <c r="E171" s="7"/>
      <c r="F171" s="7"/>
      <c r="G171" s="7"/>
      <c r="H171" s="7"/>
    </row>
    <row r="172" ht="15.75" customHeight="1">
      <c r="D172" s="7"/>
      <c r="E172" s="7"/>
      <c r="F172" s="7"/>
      <c r="G172" s="7"/>
      <c r="H172" s="7"/>
    </row>
    <row r="173" ht="15.75" customHeight="1">
      <c r="D173" s="7"/>
      <c r="E173" s="7"/>
      <c r="F173" s="7"/>
      <c r="G173" s="7"/>
      <c r="H173" s="7"/>
    </row>
    <row r="174" ht="15.75" customHeight="1">
      <c r="D174" s="7"/>
      <c r="E174" s="7"/>
      <c r="F174" s="7"/>
      <c r="G174" s="7"/>
      <c r="H174" s="7"/>
    </row>
    <row r="175" ht="15.75" customHeight="1">
      <c r="D175" s="7"/>
      <c r="E175" s="7"/>
      <c r="F175" s="7"/>
      <c r="G175" s="7"/>
      <c r="H175" s="7"/>
    </row>
    <row r="176" ht="15.75" customHeight="1">
      <c r="D176" s="7"/>
      <c r="E176" s="7"/>
      <c r="F176" s="7"/>
      <c r="G176" s="7"/>
      <c r="H176" s="7"/>
    </row>
    <row r="177" ht="15.75" customHeight="1">
      <c r="D177" s="7"/>
      <c r="E177" s="7"/>
      <c r="F177" s="7"/>
      <c r="G177" s="7"/>
      <c r="H177" s="7"/>
    </row>
    <row r="178" ht="15.75" customHeight="1">
      <c r="D178" s="7"/>
      <c r="E178" s="7"/>
      <c r="F178" s="7"/>
      <c r="G178" s="7"/>
      <c r="H178" s="7"/>
    </row>
    <row r="179" ht="15.75" customHeight="1">
      <c r="D179" s="7"/>
      <c r="E179" s="7"/>
      <c r="F179" s="7"/>
      <c r="G179" s="7"/>
      <c r="H179" s="7"/>
    </row>
    <row r="180" ht="15.75" customHeight="1">
      <c r="D180" s="7"/>
      <c r="E180" s="7"/>
      <c r="F180" s="7"/>
      <c r="G180" s="7"/>
      <c r="H180" s="7"/>
    </row>
    <row r="181" ht="15.75" customHeight="1">
      <c r="D181" s="7"/>
      <c r="E181" s="7"/>
      <c r="F181" s="7"/>
      <c r="G181" s="7"/>
      <c r="H181" s="7"/>
    </row>
    <row r="182" ht="15.75" customHeight="1">
      <c r="D182" s="7"/>
      <c r="E182" s="7"/>
      <c r="F182" s="7"/>
      <c r="G182" s="7"/>
      <c r="H182" s="7"/>
    </row>
    <row r="183" ht="15.75" customHeight="1">
      <c r="D183" s="7"/>
      <c r="E183" s="7"/>
      <c r="F183" s="7"/>
      <c r="G183" s="7"/>
      <c r="H183" s="7"/>
    </row>
    <row r="184" ht="15.75" customHeight="1">
      <c r="D184" s="7"/>
      <c r="E184" s="7"/>
      <c r="F184" s="7"/>
      <c r="G184" s="7"/>
      <c r="H184" s="7"/>
    </row>
    <row r="185" ht="15.75" customHeight="1">
      <c r="D185" s="7"/>
      <c r="E185" s="7"/>
      <c r="F185" s="7"/>
      <c r="G185" s="7"/>
      <c r="H185" s="7"/>
    </row>
    <row r="186" ht="15.75" customHeight="1">
      <c r="D186" s="7"/>
      <c r="E186" s="7"/>
      <c r="F186" s="7"/>
      <c r="G186" s="7"/>
      <c r="H186" s="7"/>
    </row>
    <row r="187" ht="15.75" customHeight="1">
      <c r="D187" s="7"/>
      <c r="E187" s="7"/>
      <c r="F187" s="7"/>
      <c r="G187" s="7"/>
      <c r="H187" s="7"/>
    </row>
    <row r="188" ht="15.75" customHeight="1">
      <c r="D188" s="7"/>
      <c r="E188" s="7"/>
      <c r="F188" s="7"/>
      <c r="G188" s="7"/>
      <c r="H188" s="7"/>
    </row>
    <row r="189" ht="15.75" customHeight="1">
      <c r="D189" s="7"/>
      <c r="E189" s="7"/>
      <c r="F189" s="7"/>
      <c r="G189" s="7"/>
      <c r="H189" s="7"/>
    </row>
    <row r="190" ht="15.75" customHeight="1">
      <c r="D190" s="7"/>
      <c r="E190" s="7"/>
      <c r="F190" s="7"/>
      <c r="G190" s="7"/>
      <c r="H190" s="7"/>
    </row>
    <row r="191" ht="15.75" customHeight="1">
      <c r="D191" s="7"/>
      <c r="E191" s="7"/>
      <c r="F191" s="7"/>
      <c r="G191" s="7"/>
      <c r="H191" s="7"/>
    </row>
    <row r="192" ht="15.75" customHeight="1">
      <c r="D192" s="7"/>
      <c r="E192" s="7"/>
      <c r="F192" s="7"/>
      <c r="G192" s="7"/>
      <c r="H192" s="7"/>
    </row>
    <row r="193" ht="15.75" customHeight="1">
      <c r="D193" s="7"/>
      <c r="E193" s="7"/>
      <c r="F193" s="7"/>
      <c r="G193" s="7"/>
      <c r="H193" s="7"/>
    </row>
    <row r="194" ht="15.75" customHeight="1">
      <c r="D194" s="7"/>
      <c r="E194" s="7"/>
      <c r="F194" s="7"/>
      <c r="G194" s="7"/>
      <c r="H194" s="7"/>
    </row>
    <row r="195" ht="15.75" customHeight="1">
      <c r="D195" s="7"/>
      <c r="E195" s="7"/>
      <c r="F195" s="7"/>
      <c r="G195" s="7"/>
      <c r="H195" s="7"/>
    </row>
    <row r="196" ht="15.75" customHeight="1">
      <c r="D196" s="7"/>
      <c r="E196" s="7"/>
      <c r="F196" s="7"/>
      <c r="G196" s="7"/>
      <c r="H196" s="7"/>
    </row>
    <row r="197" ht="15.75" customHeight="1">
      <c r="D197" s="7"/>
      <c r="E197" s="7"/>
      <c r="F197" s="7"/>
      <c r="G197" s="7"/>
      <c r="H197" s="7"/>
    </row>
    <row r="198" ht="15.75" customHeight="1">
      <c r="D198" s="7"/>
      <c r="E198" s="7"/>
      <c r="F198" s="7"/>
      <c r="G198" s="7"/>
      <c r="H198" s="7"/>
    </row>
    <row r="199" ht="15.75" customHeight="1">
      <c r="D199" s="7"/>
      <c r="E199" s="7"/>
      <c r="F199" s="7"/>
      <c r="G199" s="7"/>
      <c r="H199" s="7"/>
    </row>
    <row r="200" ht="15.75" customHeight="1">
      <c r="D200" s="7"/>
      <c r="E200" s="7"/>
      <c r="F200" s="7"/>
      <c r="G200" s="7"/>
      <c r="H200" s="7"/>
    </row>
    <row r="201" ht="15.75" customHeight="1">
      <c r="D201" s="7"/>
      <c r="E201" s="7"/>
      <c r="F201" s="7"/>
      <c r="G201" s="7"/>
      <c r="H201" s="7"/>
    </row>
    <row r="202" ht="15.75" customHeight="1">
      <c r="D202" s="7"/>
      <c r="E202" s="7"/>
      <c r="F202" s="7"/>
      <c r="G202" s="7"/>
      <c r="H202" s="7"/>
    </row>
    <row r="203" ht="15.75" customHeight="1">
      <c r="D203" s="7"/>
      <c r="E203" s="7"/>
      <c r="F203" s="7"/>
      <c r="G203" s="7"/>
      <c r="H203" s="7"/>
    </row>
    <row r="204" ht="15.75" customHeight="1">
      <c r="D204" s="7"/>
      <c r="E204" s="7"/>
      <c r="F204" s="7"/>
      <c r="G204" s="7"/>
      <c r="H204" s="7"/>
    </row>
    <row r="205" ht="15.75" customHeight="1">
      <c r="D205" s="7"/>
      <c r="E205" s="7"/>
      <c r="F205" s="7"/>
      <c r="G205" s="7"/>
      <c r="H205" s="7"/>
    </row>
    <row r="206" ht="15.75" customHeight="1">
      <c r="D206" s="7"/>
      <c r="E206" s="7"/>
      <c r="F206" s="7"/>
      <c r="G206" s="7"/>
      <c r="H206" s="7"/>
    </row>
    <row r="207" ht="15.75" customHeight="1">
      <c r="D207" s="7"/>
      <c r="E207" s="7"/>
      <c r="F207" s="7"/>
      <c r="G207" s="7"/>
      <c r="H207" s="7"/>
    </row>
    <row r="208" ht="15.75" customHeight="1">
      <c r="D208" s="7"/>
      <c r="E208" s="7"/>
      <c r="F208" s="7"/>
      <c r="G208" s="7"/>
      <c r="H208" s="7"/>
    </row>
    <row r="209" ht="15.75" customHeight="1">
      <c r="D209" s="7"/>
      <c r="E209" s="7"/>
      <c r="F209" s="7"/>
      <c r="G209" s="7"/>
      <c r="H209" s="7"/>
    </row>
    <row r="210" ht="15.75" customHeight="1">
      <c r="D210" s="7"/>
      <c r="E210" s="7"/>
      <c r="F210" s="7"/>
      <c r="G210" s="7"/>
      <c r="H210" s="7"/>
    </row>
    <row r="211" ht="15.75" customHeight="1">
      <c r="D211" s="7"/>
      <c r="E211" s="7"/>
      <c r="F211" s="7"/>
      <c r="G211" s="7"/>
      <c r="H211" s="7"/>
    </row>
    <row r="212" ht="15.75" customHeight="1">
      <c r="D212" s="7"/>
      <c r="E212" s="7"/>
      <c r="F212" s="7"/>
      <c r="G212" s="7"/>
      <c r="H212" s="7"/>
    </row>
    <row r="213" ht="15.75" customHeight="1">
      <c r="D213" s="7"/>
      <c r="E213" s="7"/>
      <c r="F213" s="7"/>
      <c r="G213" s="7"/>
      <c r="H213" s="7"/>
    </row>
    <row r="214" ht="15.75" customHeight="1">
      <c r="D214" s="7"/>
      <c r="E214" s="7"/>
      <c r="F214" s="7"/>
      <c r="G214" s="7"/>
      <c r="H214" s="7"/>
    </row>
    <row r="215" ht="15.75" customHeight="1">
      <c r="D215" s="7"/>
      <c r="E215" s="7"/>
      <c r="F215" s="7"/>
      <c r="G215" s="7"/>
      <c r="H215" s="7"/>
    </row>
    <row r="216" ht="15.75" customHeight="1">
      <c r="D216" s="7"/>
      <c r="E216" s="7"/>
      <c r="F216" s="7"/>
      <c r="G216" s="7"/>
      <c r="H216" s="7"/>
    </row>
    <row r="217" ht="15.75" customHeight="1">
      <c r="D217" s="7"/>
      <c r="E217" s="7"/>
      <c r="F217" s="7"/>
      <c r="G217" s="7"/>
      <c r="H217" s="7"/>
    </row>
    <row r="218" ht="15.75" customHeight="1">
      <c r="D218" s="7"/>
      <c r="E218" s="7"/>
      <c r="F218" s="7"/>
      <c r="G218" s="7"/>
      <c r="H218" s="7"/>
    </row>
    <row r="219" ht="15.75" customHeight="1">
      <c r="D219" s="7"/>
      <c r="E219" s="7"/>
      <c r="F219" s="7"/>
      <c r="G219" s="7"/>
      <c r="H219" s="7"/>
    </row>
    <row r="220" ht="15.75" customHeight="1">
      <c r="D220" s="7"/>
      <c r="E220" s="7"/>
      <c r="F220" s="7"/>
      <c r="G220" s="7"/>
      <c r="H220" s="7"/>
    </row>
    <row r="221" ht="15.75" customHeight="1">
      <c r="D221" s="7"/>
      <c r="E221" s="7"/>
      <c r="F221" s="7"/>
      <c r="G221" s="7"/>
      <c r="H221" s="7"/>
    </row>
    <row r="222" ht="15.75" customHeight="1">
      <c r="D222" s="7"/>
      <c r="E222" s="7"/>
      <c r="F222" s="7"/>
      <c r="G222" s="7"/>
      <c r="H222" s="7"/>
    </row>
    <row r="223" ht="15.75" customHeight="1">
      <c r="D223" s="7"/>
      <c r="E223" s="7"/>
      <c r="F223" s="7"/>
      <c r="G223" s="7"/>
      <c r="H223" s="7"/>
    </row>
    <row r="224" ht="15.75" customHeight="1">
      <c r="D224" s="7"/>
      <c r="E224" s="7"/>
      <c r="F224" s="7"/>
      <c r="G224" s="7"/>
      <c r="H224" s="7"/>
    </row>
    <row r="225" ht="15.75" customHeight="1">
      <c r="D225" s="7"/>
      <c r="E225" s="7"/>
      <c r="F225" s="7"/>
      <c r="G225" s="7"/>
      <c r="H225" s="7"/>
    </row>
    <row r="226" ht="15.75" customHeight="1">
      <c r="D226" s="7"/>
      <c r="E226" s="7"/>
      <c r="F226" s="7"/>
      <c r="G226" s="7"/>
      <c r="H226" s="7"/>
    </row>
    <row r="227" ht="15.75" customHeight="1">
      <c r="D227" s="7"/>
      <c r="E227" s="7"/>
      <c r="F227" s="7"/>
      <c r="G227" s="7"/>
      <c r="H227" s="7"/>
    </row>
    <row r="228" ht="15.75" customHeight="1">
      <c r="D228" s="7"/>
      <c r="E228" s="7"/>
      <c r="F228" s="7"/>
      <c r="G228" s="7"/>
      <c r="H228" s="7"/>
    </row>
    <row r="229" ht="15.75" customHeight="1">
      <c r="D229" s="7"/>
      <c r="E229" s="7"/>
      <c r="F229" s="7"/>
      <c r="G229" s="7"/>
      <c r="H229" s="7"/>
    </row>
    <row r="230" ht="15.75" customHeight="1">
      <c r="D230" s="7"/>
      <c r="E230" s="7"/>
      <c r="F230" s="7"/>
      <c r="G230" s="7"/>
      <c r="H230" s="7"/>
    </row>
    <row r="231" ht="15.75" customHeight="1">
      <c r="D231" s="7"/>
      <c r="E231" s="7"/>
      <c r="F231" s="7"/>
      <c r="G231" s="7"/>
      <c r="H231" s="7"/>
    </row>
    <row r="232" ht="15.75" customHeight="1">
      <c r="D232" s="7"/>
      <c r="E232" s="7"/>
      <c r="F232" s="7"/>
      <c r="G232" s="7"/>
      <c r="H232" s="7"/>
    </row>
    <row r="233" ht="15.75" customHeight="1">
      <c r="D233" s="7"/>
      <c r="E233" s="7"/>
      <c r="F233" s="7"/>
      <c r="G233" s="7"/>
      <c r="H233" s="7"/>
    </row>
    <row r="234" ht="15.75" customHeight="1">
      <c r="D234" s="7"/>
      <c r="E234" s="7"/>
      <c r="F234" s="7"/>
      <c r="G234" s="7"/>
      <c r="H234" s="7"/>
    </row>
    <row r="235" ht="15.75" customHeight="1">
      <c r="D235" s="7"/>
      <c r="E235" s="7"/>
      <c r="F235" s="7"/>
      <c r="G235" s="7"/>
      <c r="H235" s="7"/>
    </row>
    <row r="236" ht="15.75" customHeight="1">
      <c r="D236" s="7"/>
      <c r="E236" s="7"/>
      <c r="F236" s="7"/>
      <c r="G236" s="7"/>
      <c r="H236" s="7"/>
    </row>
    <row r="237" ht="15.75" customHeight="1">
      <c r="D237" s="7"/>
      <c r="E237" s="7"/>
      <c r="F237" s="7"/>
      <c r="G237" s="7"/>
      <c r="H237" s="7"/>
    </row>
    <row r="238" ht="15.75" customHeight="1">
      <c r="D238" s="7"/>
      <c r="E238" s="7"/>
      <c r="F238" s="7"/>
      <c r="G238" s="7"/>
      <c r="H238" s="7"/>
    </row>
    <row r="239" ht="15.75" customHeight="1">
      <c r="D239" s="7"/>
      <c r="E239" s="7"/>
      <c r="F239" s="7"/>
      <c r="G239" s="7"/>
      <c r="H239" s="7"/>
    </row>
    <row r="240" ht="15.75" customHeight="1">
      <c r="D240" s="7"/>
      <c r="E240" s="7"/>
      <c r="F240" s="7"/>
      <c r="G240" s="7"/>
      <c r="H240" s="7"/>
    </row>
    <row r="241" ht="15.75" customHeight="1">
      <c r="D241" s="7"/>
      <c r="E241" s="7"/>
      <c r="F241" s="7"/>
      <c r="G241" s="7"/>
      <c r="H241" s="7"/>
    </row>
    <row r="242" ht="15.75" customHeight="1">
      <c r="D242" s="7"/>
      <c r="E242" s="7"/>
      <c r="F242" s="7"/>
      <c r="G242" s="7"/>
      <c r="H242" s="7"/>
    </row>
    <row r="243" ht="15.75" customHeight="1">
      <c r="D243" s="7"/>
      <c r="E243" s="7"/>
      <c r="F243" s="7"/>
      <c r="G243" s="7"/>
      <c r="H243" s="7"/>
    </row>
    <row r="244" ht="15.75" customHeight="1">
      <c r="D244" s="7"/>
      <c r="E244" s="7"/>
      <c r="F244" s="7"/>
      <c r="G244" s="7"/>
      <c r="H244" s="7"/>
    </row>
    <row r="245" ht="15.75" customHeight="1">
      <c r="D245" s="7"/>
      <c r="E245" s="7"/>
      <c r="F245" s="7"/>
      <c r="G245" s="7"/>
      <c r="H245" s="7"/>
    </row>
    <row r="246" ht="15.75" customHeight="1">
      <c r="D246" s="7"/>
      <c r="E246" s="7"/>
      <c r="F246" s="7"/>
      <c r="G246" s="7"/>
      <c r="H246" s="7"/>
    </row>
    <row r="247" ht="15.75" customHeight="1">
      <c r="D247" s="7"/>
      <c r="E247" s="7"/>
      <c r="F247" s="7"/>
      <c r="G247" s="7"/>
      <c r="H247" s="7"/>
    </row>
    <row r="248" ht="15.75" customHeight="1">
      <c r="D248" s="7"/>
      <c r="E248" s="7"/>
      <c r="F248" s="7"/>
      <c r="G248" s="7"/>
      <c r="H248" s="7"/>
    </row>
    <row r="249" ht="15.75" customHeight="1">
      <c r="D249" s="7"/>
      <c r="E249" s="7"/>
      <c r="F249" s="7"/>
      <c r="G249" s="7"/>
      <c r="H249" s="7"/>
    </row>
    <row r="250" ht="15.75" customHeight="1">
      <c r="D250" s="7"/>
      <c r="E250" s="7"/>
      <c r="F250" s="7"/>
      <c r="G250" s="7"/>
      <c r="H250" s="7"/>
    </row>
    <row r="251" ht="15.75" customHeight="1">
      <c r="D251" s="7"/>
      <c r="E251" s="7"/>
      <c r="F251" s="7"/>
      <c r="G251" s="7"/>
      <c r="H251" s="7"/>
    </row>
    <row r="252" ht="15.75" customHeight="1">
      <c r="D252" s="7"/>
      <c r="E252" s="7"/>
      <c r="F252" s="7"/>
      <c r="G252" s="7"/>
      <c r="H252" s="7"/>
    </row>
    <row r="253" ht="15.75" customHeight="1">
      <c r="D253" s="7"/>
      <c r="E253" s="7"/>
      <c r="F253" s="7"/>
      <c r="G253" s="7"/>
      <c r="H253" s="7"/>
    </row>
    <row r="254" ht="15.75" customHeight="1">
      <c r="D254" s="7"/>
      <c r="E254" s="7"/>
      <c r="F254" s="7"/>
      <c r="G254" s="7"/>
      <c r="H254" s="7"/>
    </row>
    <row r="255" ht="15.75" customHeight="1">
      <c r="D255" s="7"/>
      <c r="E255" s="7"/>
      <c r="F255" s="7"/>
      <c r="G255" s="7"/>
      <c r="H255" s="7"/>
    </row>
    <row r="256" ht="15.75" customHeight="1">
      <c r="D256" s="7"/>
      <c r="E256" s="7"/>
      <c r="F256" s="7"/>
      <c r="G256" s="7"/>
      <c r="H256" s="7"/>
    </row>
    <row r="257" ht="15.75" customHeight="1">
      <c r="D257" s="7"/>
      <c r="E257" s="7"/>
      <c r="F257" s="7"/>
      <c r="G257" s="7"/>
      <c r="H257" s="7"/>
    </row>
    <row r="258" ht="15.75" customHeight="1">
      <c r="D258" s="7"/>
      <c r="E258" s="7"/>
      <c r="F258" s="7"/>
      <c r="G258" s="7"/>
      <c r="H258" s="7"/>
    </row>
    <row r="259" ht="15.75" customHeight="1">
      <c r="D259" s="7"/>
      <c r="E259" s="7"/>
      <c r="F259" s="7"/>
      <c r="G259" s="7"/>
      <c r="H259" s="7"/>
    </row>
    <row r="260" ht="15.75" customHeight="1">
      <c r="D260" s="7"/>
      <c r="E260" s="7"/>
      <c r="F260" s="7"/>
      <c r="G260" s="7"/>
      <c r="H260" s="7"/>
    </row>
    <row r="261" ht="15.75" customHeight="1">
      <c r="D261" s="7"/>
      <c r="E261" s="7"/>
      <c r="F261" s="7"/>
      <c r="G261" s="7"/>
      <c r="H261" s="7"/>
    </row>
    <row r="262" ht="15.75" customHeight="1">
      <c r="D262" s="7"/>
      <c r="E262" s="7"/>
      <c r="F262" s="7"/>
      <c r="G262" s="7"/>
      <c r="H262" s="7"/>
    </row>
    <row r="263" ht="15.75" customHeight="1">
      <c r="D263" s="7"/>
      <c r="E263" s="7"/>
      <c r="F263" s="7"/>
      <c r="G263" s="7"/>
      <c r="H263" s="7"/>
    </row>
    <row r="264" ht="15.75" customHeight="1">
      <c r="D264" s="7"/>
      <c r="E264" s="7"/>
      <c r="F264" s="7"/>
      <c r="G264" s="7"/>
      <c r="H264" s="7"/>
    </row>
    <row r="265" ht="15.75" customHeight="1">
      <c r="D265" s="7"/>
      <c r="E265" s="7"/>
      <c r="F265" s="7"/>
      <c r="G265" s="7"/>
      <c r="H265" s="7"/>
    </row>
    <row r="266" ht="15.75" customHeight="1">
      <c r="D266" s="7"/>
      <c r="E266" s="7"/>
      <c r="F266" s="7"/>
      <c r="G266" s="7"/>
      <c r="H266" s="7"/>
    </row>
    <row r="267" ht="15.75" customHeight="1">
      <c r="D267" s="7"/>
      <c r="E267" s="7"/>
      <c r="F267" s="7"/>
      <c r="G267" s="7"/>
      <c r="H267" s="7"/>
    </row>
    <row r="268" ht="15.75" customHeight="1">
      <c r="D268" s="7"/>
      <c r="E268" s="7"/>
      <c r="F268" s="7"/>
      <c r="G268" s="7"/>
      <c r="H268" s="7"/>
    </row>
    <row r="269" ht="15.75" customHeight="1">
      <c r="D269" s="7"/>
      <c r="E269" s="7"/>
      <c r="F269" s="7"/>
      <c r="G269" s="7"/>
      <c r="H269" s="7"/>
    </row>
    <row r="270" ht="15.75" customHeight="1">
      <c r="D270" s="7"/>
      <c r="E270" s="7"/>
      <c r="F270" s="7"/>
      <c r="G270" s="7"/>
      <c r="H270" s="7"/>
    </row>
    <row r="271" ht="15.75" customHeight="1">
      <c r="D271" s="7"/>
      <c r="E271" s="7"/>
      <c r="F271" s="7"/>
      <c r="G271" s="7"/>
      <c r="H271" s="7"/>
    </row>
    <row r="272" ht="15.75" customHeight="1">
      <c r="D272" s="7"/>
      <c r="E272" s="7"/>
      <c r="F272" s="7"/>
      <c r="G272" s="7"/>
      <c r="H272" s="7"/>
    </row>
    <row r="273" ht="15.75" customHeight="1">
      <c r="D273" s="7"/>
      <c r="E273" s="7"/>
      <c r="F273" s="7"/>
      <c r="G273" s="7"/>
      <c r="H273" s="7"/>
    </row>
    <row r="274" ht="15.75" customHeight="1">
      <c r="D274" s="7"/>
      <c r="E274" s="7"/>
      <c r="F274" s="7"/>
      <c r="G274" s="7"/>
      <c r="H274" s="7"/>
    </row>
    <row r="275" ht="15.75" customHeight="1">
      <c r="D275" s="7"/>
      <c r="E275" s="7"/>
      <c r="F275" s="7"/>
      <c r="G275" s="7"/>
      <c r="H275" s="7"/>
    </row>
    <row r="276" ht="15.75" customHeight="1">
      <c r="D276" s="7"/>
      <c r="E276" s="7"/>
      <c r="F276" s="7"/>
      <c r="G276" s="7"/>
      <c r="H276" s="7"/>
    </row>
    <row r="277" ht="15.75" customHeight="1">
      <c r="D277" s="7"/>
      <c r="E277" s="7"/>
      <c r="F277" s="7"/>
      <c r="G277" s="7"/>
      <c r="H277" s="7"/>
    </row>
    <row r="278" ht="15.75" customHeight="1">
      <c r="D278" s="7"/>
      <c r="E278" s="7"/>
      <c r="F278" s="7"/>
      <c r="G278" s="7"/>
      <c r="H278" s="7"/>
    </row>
    <row r="279" ht="15.75" customHeight="1">
      <c r="D279" s="7"/>
      <c r="E279" s="7"/>
      <c r="F279" s="7"/>
      <c r="G279" s="7"/>
      <c r="H279" s="7"/>
    </row>
    <row r="280" ht="15.75" customHeight="1">
      <c r="D280" s="7"/>
      <c r="E280" s="7"/>
      <c r="F280" s="7"/>
      <c r="G280" s="7"/>
      <c r="H280" s="7"/>
    </row>
    <row r="281" ht="15.75" customHeight="1">
      <c r="D281" s="7"/>
      <c r="E281" s="7"/>
      <c r="F281" s="7"/>
      <c r="G281" s="7"/>
      <c r="H281" s="7"/>
    </row>
    <row r="282" ht="15.75" customHeight="1">
      <c r="D282" s="7"/>
      <c r="E282" s="7"/>
      <c r="F282" s="7"/>
      <c r="G282" s="7"/>
      <c r="H282" s="7"/>
    </row>
    <row r="283" ht="15.75" customHeight="1">
      <c r="D283" s="7"/>
      <c r="E283" s="7"/>
      <c r="F283" s="7"/>
      <c r="G283" s="7"/>
      <c r="H283" s="7"/>
    </row>
    <row r="284" ht="15.75" customHeight="1">
      <c r="D284" s="7"/>
      <c r="E284" s="7"/>
      <c r="F284" s="7"/>
      <c r="G284" s="7"/>
      <c r="H284" s="7"/>
    </row>
    <row r="285" ht="15.75" customHeight="1">
      <c r="D285" s="7"/>
      <c r="E285" s="7"/>
      <c r="F285" s="7"/>
      <c r="G285" s="7"/>
      <c r="H285" s="7"/>
    </row>
    <row r="286" ht="15.75" customHeight="1">
      <c r="D286" s="7"/>
      <c r="E286" s="7"/>
      <c r="F286" s="7"/>
      <c r="G286" s="7"/>
      <c r="H286" s="7"/>
    </row>
    <row r="287" ht="15.75" customHeight="1">
      <c r="D287" s="7"/>
      <c r="E287" s="7"/>
      <c r="F287" s="7"/>
      <c r="G287" s="7"/>
      <c r="H287" s="7"/>
    </row>
    <row r="288" ht="15.75" customHeight="1">
      <c r="D288" s="7"/>
      <c r="E288" s="7"/>
      <c r="F288" s="7"/>
      <c r="G288" s="7"/>
      <c r="H288" s="7"/>
    </row>
    <row r="289" ht="15.75" customHeight="1">
      <c r="D289" s="7"/>
      <c r="E289" s="7"/>
      <c r="F289" s="7"/>
      <c r="G289" s="7"/>
      <c r="H289" s="7"/>
    </row>
    <row r="290" ht="15.75" customHeight="1">
      <c r="D290" s="7"/>
      <c r="E290" s="7"/>
      <c r="F290" s="7"/>
      <c r="G290" s="7"/>
      <c r="H290" s="7"/>
    </row>
    <row r="291" ht="15.75" customHeight="1">
      <c r="D291" s="7"/>
      <c r="E291" s="7"/>
      <c r="F291" s="7"/>
      <c r="G291" s="7"/>
      <c r="H291" s="7"/>
    </row>
    <row r="292" ht="15.75" customHeight="1">
      <c r="D292" s="7"/>
      <c r="E292" s="7"/>
      <c r="F292" s="7"/>
      <c r="G292" s="7"/>
      <c r="H292" s="7"/>
    </row>
    <row r="293" ht="15.75" customHeight="1">
      <c r="D293" s="7"/>
      <c r="E293" s="7"/>
      <c r="F293" s="7"/>
      <c r="G293" s="7"/>
      <c r="H293" s="7"/>
    </row>
    <row r="294" ht="15.75" customHeight="1">
      <c r="D294" s="7"/>
      <c r="E294" s="7"/>
      <c r="F294" s="7"/>
      <c r="G294" s="7"/>
      <c r="H294" s="7"/>
    </row>
    <row r="295" ht="15.75" customHeight="1">
      <c r="D295" s="7"/>
      <c r="E295" s="7"/>
      <c r="F295" s="7"/>
      <c r="G295" s="7"/>
      <c r="H295" s="7"/>
    </row>
    <row r="296" ht="15.75" customHeight="1">
      <c r="D296" s="7"/>
      <c r="E296" s="7"/>
      <c r="F296" s="7"/>
      <c r="G296" s="7"/>
      <c r="H296" s="7"/>
    </row>
    <row r="297" ht="15.75" customHeight="1">
      <c r="D297" s="7"/>
      <c r="E297" s="7"/>
      <c r="F297" s="7"/>
      <c r="G297" s="7"/>
      <c r="H297" s="7"/>
    </row>
    <row r="298" ht="15.75" customHeight="1">
      <c r="D298" s="7"/>
      <c r="E298" s="7"/>
      <c r="F298" s="7"/>
      <c r="G298" s="7"/>
      <c r="H298" s="7"/>
    </row>
    <row r="299" ht="15.75" customHeight="1">
      <c r="D299" s="7"/>
      <c r="E299" s="7"/>
      <c r="F299" s="7"/>
      <c r="G299" s="7"/>
      <c r="H299" s="7"/>
    </row>
    <row r="300" ht="15.75" customHeight="1">
      <c r="D300" s="7"/>
      <c r="E300" s="7"/>
      <c r="F300" s="7"/>
      <c r="G300" s="7"/>
      <c r="H300" s="7"/>
    </row>
    <row r="301" ht="15.75" customHeight="1">
      <c r="D301" s="7"/>
      <c r="E301" s="7"/>
      <c r="F301" s="7"/>
      <c r="G301" s="7"/>
      <c r="H301" s="7"/>
    </row>
    <row r="302" ht="15.75" customHeight="1">
      <c r="D302" s="7"/>
      <c r="E302" s="7"/>
      <c r="F302" s="7"/>
      <c r="G302" s="7"/>
      <c r="H302" s="7"/>
    </row>
    <row r="303" ht="15.75" customHeight="1">
      <c r="D303" s="7"/>
      <c r="E303" s="7"/>
      <c r="F303" s="7"/>
      <c r="G303" s="7"/>
      <c r="H303" s="7"/>
    </row>
    <row r="304" ht="15.75" customHeight="1">
      <c r="D304" s="7"/>
      <c r="E304" s="7"/>
      <c r="F304" s="7"/>
      <c r="G304" s="7"/>
      <c r="H304" s="7"/>
    </row>
    <row r="305" ht="15.75" customHeight="1">
      <c r="D305" s="7"/>
      <c r="E305" s="7"/>
      <c r="F305" s="7"/>
      <c r="G305" s="7"/>
      <c r="H305" s="7"/>
    </row>
    <row r="306" ht="15.75" customHeight="1">
      <c r="D306" s="7"/>
      <c r="E306" s="7"/>
      <c r="F306" s="7"/>
      <c r="G306" s="7"/>
      <c r="H306" s="7"/>
    </row>
    <row r="307" ht="15.75" customHeight="1">
      <c r="D307" s="7"/>
      <c r="E307" s="7"/>
      <c r="F307" s="7"/>
      <c r="G307" s="7"/>
      <c r="H307" s="7"/>
    </row>
    <row r="308" ht="15.75" customHeight="1">
      <c r="D308" s="7"/>
      <c r="E308" s="7"/>
      <c r="F308" s="7"/>
      <c r="G308" s="7"/>
      <c r="H308" s="7"/>
    </row>
    <row r="309" ht="15.75" customHeight="1">
      <c r="D309" s="7"/>
      <c r="E309" s="7"/>
      <c r="F309" s="7"/>
      <c r="G309" s="7"/>
      <c r="H309" s="7"/>
    </row>
    <row r="310" ht="15.75" customHeight="1">
      <c r="D310" s="7"/>
      <c r="E310" s="7"/>
      <c r="F310" s="7"/>
      <c r="G310" s="7"/>
      <c r="H310" s="7"/>
    </row>
    <row r="311" ht="15.75" customHeight="1">
      <c r="D311" s="7"/>
      <c r="E311" s="7"/>
      <c r="F311" s="7"/>
      <c r="G311" s="7"/>
      <c r="H311" s="7"/>
    </row>
    <row r="312" ht="15.75" customHeight="1">
      <c r="D312" s="7"/>
      <c r="E312" s="7"/>
      <c r="F312" s="7"/>
      <c r="G312" s="7"/>
      <c r="H312" s="7"/>
    </row>
    <row r="313" ht="15.75" customHeight="1">
      <c r="D313" s="7"/>
      <c r="E313" s="7"/>
      <c r="F313" s="7"/>
      <c r="G313" s="7"/>
      <c r="H313" s="7"/>
    </row>
    <row r="314" ht="15.75" customHeight="1">
      <c r="D314" s="7"/>
      <c r="E314" s="7"/>
      <c r="F314" s="7"/>
      <c r="G314" s="7"/>
      <c r="H314" s="7"/>
    </row>
    <row r="315" ht="15.75" customHeight="1">
      <c r="D315" s="7"/>
      <c r="E315" s="7"/>
      <c r="F315" s="7"/>
      <c r="G315" s="7"/>
      <c r="H315" s="7"/>
    </row>
    <row r="316" ht="15.75" customHeight="1">
      <c r="D316" s="7"/>
      <c r="E316" s="7"/>
      <c r="F316" s="7"/>
      <c r="G316" s="7"/>
      <c r="H316" s="7"/>
    </row>
    <row r="317" ht="15.75" customHeight="1">
      <c r="D317" s="7"/>
      <c r="E317" s="7"/>
      <c r="F317" s="7"/>
      <c r="G317" s="7"/>
      <c r="H317" s="7"/>
    </row>
    <row r="318" ht="15.75" customHeight="1">
      <c r="D318" s="7"/>
      <c r="E318" s="7"/>
      <c r="F318" s="7"/>
      <c r="G318" s="7"/>
      <c r="H318" s="7"/>
    </row>
    <row r="319" ht="15.75" customHeight="1">
      <c r="D319" s="7"/>
      <c r="E319" s="7"/>
      <c r="F319" s="7"/>
      <c r="G319" s="7"/>
      <c r="H319" s="7"/>
    </row>
    <row r="320" ht="15.75" customHeight="1">
      <c r="D320" s="7"/>
      <c r="E320" s="7"/>
      <c r="F320" s="7"/>
      <c r="G320" s="7"/>
      <c r="H320" s="7"/>
    </row>
    <row r="321" ht="15.75" customHeight="1">
      <c r="D321" s="7"/>
      <c r="E321" s="7"/>
      <c r="F321" s="7"/>
      <c r="G321" s="7"/>
      <c r="H321" s="7"/>
    </row>
    <row r="322" ht="15.75" customHeight="1">
      <c r="D322" s="7"/>
      <c r="E322" s="7"/>
      <c r="F322" s="7"/>
      <c r="G322" s="7"/>
      <c r="H322" s="7"/>
    </row>
    <row r="323" ht="15.75" customHeight="1">
      <c r="D323" s="7"/>
      <c r="E323" s="7"/>
      <c r="F323" s="7"/>
      <c r="G323" s="7"/>
      <c r="H323" s="7"/>
    </row>
    <row r="324" ht="15.75" customHeight="1">
      <c r="D324" s="7"/>
      <c r="E324" s="7"/>
      <c r="F324" s="7"/>
      <c r="G324" s="7"/>
      <c r="H324" s="7"/>
    </row>
    <row r="325" ht="15.75" customHeight="1">
      <c r="D325" s="7"/>
      <c r="E325" s="7"/>
      <c r="F325" s="7"/>
      <c r="G325" s="7"/>
      <c r="H325" s="7"/>
    </row>
    <row r="326" ht="15.75" customHeight="1">
      <c r="D326" s="7"/>
      <c r="E326" s="7"/>
      <c r="F326" s="7"/>
      <c r="G326" s="7"/>
      <c r="H326" s="7"/>
    </row>
    <row r="327" ht="15.75" customHeight="1">
      <c r="D327" s="7"/>
      <c r="E327" s="7"/>
      <c r="F327" s="7"/>
      <c r="G327" s="7"/>
      <c r="H327" s="7"/>
    </row>
    <row r="328" ht="15.75" customHeight="1">
      <c r="D328" s="7"/>
      <c r="E328" s="7"/>
      <c r="F328" s="7"/>
      <c r="G328" s="7"/>
      <c r="H328" s="7"/>
    </row>
    <row r="329" ht="15.75" customHeight="1">
      <c r="D329" s="7"/>
      <c r="E329" s="7"/>
      <c r="F329" s="7"/>
      <c r="G329" s="7"/>
      <c r="H329" s="7"/>
    </row>
    <row r="330" ht="15.75" customHeight="1">
      <c r="D330" s="7"/>
      <c r="E330" s="7"/>
      <c r="F330" s="7"/>
      <c r="G330" s="7"/>
      <c r="H330" s="7"/>
    </row>
    <row r="331" ht="15.75" customHeight="1">
      <c r="D331" s="7"/>
      <c r="E331" s="7"/>
      <c r="F331" s="7"/>
      <c r="G331" s="7"/>
      <c r="H331" s="7"/>
    </row>
    <row r="332" ht="15.75" customHeight="1">
      <c r="D332" s="7"/>
      <c r="E332" s="7"/>
      <c r="F332" s="7"/>
      <c r="G332" s="7"/>
      <c r="H332" s="7"/>
    </row>
    <row r="333" ht="15.75" customHeight="1">
      <c r="D333" s="7"/>
      <c r="E333" s="7"/>
      <c r="F333" s="7"/>
      <c r="G333" s="7"/>
      <c r="H333" s="7"/>
    </row>
    <row r="334" ht="15.75" customHeight="1">
      <c r="D334" s="7"/>
      <c r="E334" s="7"/>
      <c r="F334" s="7"/>
      <c r="G334" s="7"/>
      <c r="H334" s="7"/>
    </row>
    <row r="335" ht="15.75" customHeight="1">
      <c r="D335" s="7"/>
      <c r="E335" s="7"/>
      <c r="F335" s="7"/>
      <c r="G335" s="7"/>
      <c r="H335" s="7"/>
    </row>
    <row r="336" ht="15.75" customHeight="1">
      <c r="D336" s="7"/>
      <c r="E336" s="7"/>
      <c r="F336" s="7"/>
      <c r="G336" s="7"/>
      <c r="H336" s="7"/>
    </row>
    <row r="337" ht="15.75" customHeight="1">
      <c r="D337" s="7"/>
      <c r="E337" s="7"/>
      <c r="F337" s="7"/>
      <c r="G337" s="7"/>
      <c r="H337" s="7"/>
    </row>
    <row r="338" ht="15.75" customHeight="1">
      <c r="D338" s="7"/>
      <c r="E338" s="7"/>
      <c r="F338" s="7"/>
      <c r="G338" s="7"/>
      <c r="H338" s="7"/>
    </row>
    <row r="339" ht="15.75" customHeight="1">
      <c r="D339" s="7"/>
      <c r="E339" s="7"/>
      <c r="F339" s="7"/>
      <c r="G339" s="7"/>
      <c r="H339" s="7"/>
    </row>
    <row r="340" ht="15.75" customHeight="1">
      <c r="D340" s="7"/>
      <c r="E340" s="7"/>
      <c r="F340" s="7"/>
      <c r="G340" s="7"/>
      <c r="H340" s="7"/>
    </row>
    <row r="341" ht="15.75" customHeight="1">
      <c r="D341" s="7"/>
      <c r="E341" s="7"/>
      <c r="F341" s="7"/>
      <c r="G341" s="7"/>
      <c r="H341" s="7"/>
    </row>
    <row r="342" ht="15.75" customHeight="1">
      <c r="D342" s="7"/>
      <c r="E342" s="7"/>
      <c r="F342" s="7"/>
      <c r="G342" s="7"/>
      <c r="H342" s="7"/>
    </row>
    <row r="343" ht="15.75" customHeight="1">
      <c r="D343" s="7"/>
      <c r="E343" s="7"/>
      <c r="F343" s="7"/>
      <c r="G343" s="7"/>
      <c r="H343" s="7"/>
    </row>
    <row r="344" ht="15.75" customHeight="1">
      <c r="D344" s="7"/>
      <c r="E344" s="7"/>
      <c r="F344" s="7"/>
      <c r="G344" s="7"/>
      <c r="H344" s="7"/>
    </row>
    <row r="345" ht="15.75" customHeight="1">
      <c r="D345" s="7"/>
      <c r="E345" s="7"/>
      <c r="F345" s="7"/>
      <c r="G345" s="7"/>
      <c r="H345" s="7"/>
    </row>
    <row r="346" ht="15.75" customHeight="1">
      <c r="D346" s="7"/>
      <c r="E346" s="7"/>
      <c r="F346" s="7"/>
      <c r="G346" s="7"/>
      <c r="H346" s="7"/>
    </row>
    <row r="347" ht="15.75" customHeight="1">
      <c r="D347" s="7"/>
      <c r="E347" s="7"/>
      <c r="F347" s="7"/>
      <c r="G347" s="7"/>
      <c r="H347" s="7"/>
    </row>
    <row r="348" ht="15.75" customHeight="1">
      <c r="D348" s="7"/>
      <c r="E348" s="7"/>
      <c r="F348" s="7"/>
      <c r="G348" s="7"/>
      <c r="H348" s="7"/>
    </row>
    <row r="349" ht="15.75" customHeight="1">
      <c r="D349" s="7"/>
      <c r="E349" s="7"/>
      <c r="F349" s="7"/>
      <c r="G349" s="7"/>
      <c r="H349" s="7"/>
    </row>
    <row r="350" ht="15.75" customHeight="1">
      <c r="D350" s="7"/>
      <c r="E350" s="7"/>
      <c r="F350" s="7"/>
      <c r="G350" s="7"/>
      <c r="H350" s="7"/>
    </row>
    <row r="351" ht="15.75" customHeight="1">
      <c r="D351" s="7"/>
      <c r="E351" s="7"/>
      <c r="F351" s="7"/>
      <c r="G351" s="7"/>
      <c r="H351" s="7"/>
    </row>
    <row r="352" ht="15.75" customHeight="1">
      <c r="D352" s="7"/>
      <c r="E352" s="7"/>
      <c r="F352" s="7"/>
      <c r="G352" s="7"/>
      <c r="H352" s="7"/>
    </row>
    <row r="353" ht="15.75" customHeight="1">
      <c r="D353" s="7"/>
      <c r="E353" s="7"/>
      <c r="F353" s="7"/>
      <c r="G353" s="7"/>
      <c r="H353" s="7"/>
    </row>
    <row r="354" ht="15.75" customHeight="1">
      <c r="D354" s="7"/>
      <c r="E354" s="7"/>
      <c r="F354" s="7"/>
      <c r="G354" s="7"/>
      <c r="H354" s="7"/>
    </row>
    <row r="355" ht="15.75" customHeight="1">
      <c r="D355" s="7"/>
      <c r="E355" s="7"/>
      <c r="F355" s="7"/>
      <c r="G355" s="7"/>
      <c r="H355" s="7"/>
    </row>
    <row r="356" ht="15.75" customHeight="1">
      <c r="D356" s="7"/>
      <c r="E356" s="7"/>
      <c r="F356" s="7"/>
      <c r="G356" s="7"/>
      <c r="H356" s="7"/>
    </row>
    <row r="357" ht="15.75" customHeight="1">
      <c r="D357" s="7"/>
      <c r="E357" s="7"/>
      <c r="F357" s="7"/>
      <c r="G357" s="7"/>
      <c r="H357" s="7"/>
    </row>
    <row r="358" ht="15.75" customHeight="1">
      <c r="D358" s="7"/>
      <c r="E358" s="7"/>
      <c r="F358" s="7"/>
      <c r="G358" s="7"/>
      <c r="H358" s="7"/>
    </row>
    <row r="359" ht="15.75" customHeight="1">
      <c r="D359" s="7"/>
      <c r="E359" s="7"/>
      <c r="F359" s="7"/>
      <c r="G359" s="7"/>
      <c r="H359" s="7"/>
    </row>
    <row r="360" ht="15.75" customHeight="1">
      <c r="D360" s="7"/>
      <c r="E360" s="7"/>
      <c r="F360" s="7"/>
      <c r="G360" s="7"/>
      <c r="H360" s="7"/>
    </row>
    <row r="361" ht="15.75" customHeight="1">
      <c r="D361" s="7"/>
      <c r="E361" s="7"/>
      <c r="F361" s="7"/>
      <c r="G361" s="7"/>
      <c r="H361" s="7"/>
    </row>
    <row r="362" ht="15.75" customHeight="1">
      <c r="D362" s="7"/>
      <c r="E362" s="7"/>
      <c r="F362" s="7"/>
      <c r="G362" s="7"/>
      <c r="H362" s="7"/>
    </row>
    <row r="363" ht="15.75" customHeight="1">
      <c r="D363" s="7"/>
      <c r="E363" s="7"/>
      <c r="F363" s="7"/>
      <c r="G363" s="7"/>
      <c r="H363" s="7"/>
    </row>
    <row r="364" ht="15.75" customHeight="1">
      <c r="D364" s="7"/>
      <c r="E364" s="7"/>
      <c r="F364" s="7"/>
      <c r="G364" s="7"/>
      <c r="H364" s="7"/>
    </row>
    <row r="365" ht="15.75" customHeight="1">
      <c r="D365" s="7"/>
      <c r="E365" s="7"/>
      <c r="F365" s="7"/>
      <c r="G365" s="7"/>
      <c r="H365" s="7"/>
    </row>
    <row r="366" ht="15.75" customHeight="1">
      <c r="D366" s="7"/>
      <c r="E366" s="7"/>
      <c r="F366" s="7"/>
      <c r="G366" s="7"/>
      <c r="H366" s="7"/>
    </row>
    <row r="367" ht="15.75" customHeight="1">
      <c r="D367" s="7"/>
      <c r="E367" s="7"/>
      <c r="F367" s="7"/>
      <c r="G367" s="7"/>
      <c r="H367" s="7"/>
    </row>
    <row r="368" ht="15.75" customHeight="1">
      <c r="D368" s="7"/>
      <c r="E368" s="7"/>
      <c r="F368" s="7"/>
      <c r="G368" s="7"/>
      <c r="H368" s="7"/>
    </row>
    <row r="369" ht="15.75" customHeight="1">
      <c r="D369" s="7"/>
      <c r="E369" s="7"/>
      <c r="F369" s="7"/>
      <c r="G369" s="7"/>
      <c r="H369" s="7"/>
    </row>
    <row r="370" ht="15.75" customHeight="1">
      <c r="D370" s="7"/>
      <c r="E370" s="7"/>
      <c r="F370" s="7"/>
      <c r="G370" s="7"/>
      <c r="H370" s="7"/>
    </row>
    <row r="371" ht="15.75" customHeight="1">
      <c r="D371" s="7"/>
      <c r="E371" s="7"/>
      <c r="F371" s="7"/>
      <c r="G371" s="7"/>
      <c r="H371" s="7"/>
    </row>
    <row r="372" ht="15.75" customHeight="1">
      <c r="D372" s="7"/>
      <c r="E372" s="7"/>
      <c r="F372" s="7"/>
      <c r="G372" s="7"/>
      <c r="H372" s="7"/>
    </row>
    <row r="373" ht="15.75" customHeight="1">
      <c r="D373" s="7"/>
      <c r="E373" s="7"/>
      <c r="F373" s="7"/>
      <c r="G373" s="7"/>
      <c r="H373" s="7"/>
    </row>
    <row r="374" ht="15.75" customHeight="1">
      <c r="D374" s="7"/>
      <c r="E374" s="7"/>
      <c r="F374" s="7"/>
      <c r="G374" s="7"/>
      <c r="H374" s="7"/>
    </row>
    <row r="375" ht="15.75" customHeight="1">
      <c r="D375" s="7"/>
      <c r="E375" s="7"/>
      <c r="F375" s="7"/>
      <c r="G375" s="7"/>
      <c r="H375" s="7"/>
    </row>
    <row r="376" ht="15.75" customHeight="1">
      <c r="D376" s="7"/>
      <c r="E376" s="7"/>
      <c r="F376" s="7"/>
      <c r="G376" s="7"/>
      <c r="H376" s="7"/>
    </row>
    <row r="377" ht="15.75" customHeight="1">
      <c r="D377" s="7"/>
      <c r="E377" s="7"/>
      <c r="F377" s="7"/>
      <c r="G377" s="7"/>
      <c r="H377" s="7"/>
    </row>
    <row r="378" ht="15.75" customHeight="1">
      <c r="D378" s="7"/>
      <c r="E378" s="7"/>
      <c r="F378" s="7"/>
      <c r="G378" s="7"/>
      <c r="H378" s="7"/>
    </row>
    <row r="379" ht="15.75" customHeight="1">
      <c r="D379" s="7"/>
      <c r="E379" s="7"/>
      <c r="F379" s="7"/>
      <c r="G379" s="7"/>
      <c r="H379" s="7"/>
    </row>
    <row r="380" ht="15.75" customHeight="1">
      <c r="D380" s="7"/>
      <c r="E380" s="7"/>
      <c r="F380" s="7"/>
      <c r="G380" s="7"/>
      <c r="H380" s="7"/>
    </row>
    <row r="381" ht="15.75" customHeight="1">
      <c r="D381" s="7"/>
      <c r="E381" s="7"/>
      <c r="F381" s="7"/>
      <c r="G381" s="7"/>
      <c r="H381" s="7"/>
    </row>
    <row r="382" ht="15.75" customHeight="1">
      <c r="D382" s="7"/>
      <c r="E382" s="7"/>
      <c r="F382" s="7"/>
      <c r="G382" s="7"/>
      <c r="H382" s="7"/>
    </row>
    <row r="383" ht="15.75" customHeight="1">
      <c r="D383" s="7"/>
      <c r="E383" s="7"/>
      <c r="F383" s="7"/>
      <c r="G383" s="7"/>
      <c r="H383" s="7"/>
    </row>
    <row r="384" ht="15.75" customHeight="1">
      <c r="D384" s="7"/>
      <c r="E384" s="7"/>
      <c r="F384" s="7"/>
      <c r="G384" s="7"/>
      <c r="H384" s="7"/>
    </row>
    <row r="385" ht="15.75" customHeight="1">
      <c r="D385" s="7"/>
      <c r="E385" s="7"/>
      <c r="F385" s="7"/>
      <c r="G385" s="7"/>
      <c r="H385" s="7"/>
    </row>
    <row r="386" ht="15.75" customHeight="1">
      <c r="D386" s="7"/>
      <c r="E386" s="7"/>
      <c r="F386" s="7"/>
      <c r="G386" s="7"/>
      <c r="H386" s="7"/>
    </row>
    <row r="387" ht="15.75" customHeight="1">
      <c r="D387" s="7"/>
      <c r="E387" s="7"/>
      <c r="F387" s="7"/>
      <c r="G387" s="7"/>
      <c r="H387" s="7"/>
    </row>
    <row r="388" ht="15.75" customHeight="1">
      <c r="D388" s="7"/>
      <c r="E388" s="7"/>
      <c r="F388" s="7"/>
      <c r="G388" s="7"/>
      <c r="H388" s="7"/>
    </row>
    <row r="389" ht="15.75" customHeight="1">
      <c r="D389" s="7"/>
      <c r="E389" s="7"/>
      <c r="F389" s="7"/>
      <c r="G389" s="7"/>
      <c r="H389" s="7"/>
    </row>
    <row r="390" ht="15.75" customHeight="1">
      <c r="D390" s="7"/>
      <c r="E390" s="7"/>
      <c r="F390" s="7"/>
      <c r="G390" s="7"/>
      <c r="H390" s="7"/>
    </row>
    <row r="391" ht="15.75" customHeight="1">
      <c r="D391" s="7"/>
      <c r="E391" s="7"/>
      <c r="F391" s="7"/>
      <c r="G391" s="7"/>
      <c r="H391" s="7"/>
    </row>
    <row r="392" ht="15.75" customHeight="1">
      <c r="D392" s="7"/>
      <c r="E392" s="7"/>
      <c r="F392" s="7"/>
      <c r="G392" s="7"/>
      <c r="H392" s="7"/>
    </row>
    <row r="393" ht="15.75" customHeight="1">
      <c r="D393" s="7"/>
      <c r="E393" s="7"/>
      <c r="F393" s="7"/>
      <c r="G393" s="7"/>
      <c r="H393" s="7"/>
    </row>
    <row r="394" ht="15.75" customHeight="1">
      <c r="D394" s="7"/>
      <c r="E394" s="7"/>
      <c r="F394" s="7"/>
      <c r="G394" s="7"/>
      <c r="H394" s="7"/>
    </row>
    <row r="395" ht="15.75" customHeight="1">
      <c r="D395" s="7"/>
      <c r="E395" s="7"/>
      <c r="F395" s="7"/>
      <c r="G395" s="7"/>
      <c r="H395" s="7"/>
    </row>
    <row r="396" ht="15.75" customHeight="1">
      <c r="D396" s="7"/>
      <c r="E396" s="7"/>
      <c r="F396" s="7"/>
      <c r="G396" s="7"/>
      <c r="H396" s="7"/>
    </row>
    <row r="397" ht="15.75" customHeight="1">
      <c r="D397" s="7"/>
      <c r="E397" s="7"/>
      <c r="F397" s="7"/>
      <c r="G397" s="7"/>
      <c r="H397" s="7"/>
    </row>
    <row r="398" ht="15.75" customHeight="1">
      <c r="D398" s="7"/>
      <c r="E398" s="7"/>
      <c r="F398" s="7"/>
      <c r="G398" s="7"/>
      <c r="H398" s="7"/>
    </row>
    <row r="399" ht="15.75" customHeight="1">
      <c r="D399" s="7"/>
      <c r="E399" s="7"/>
      <c r="F399" s="7"/>
      <c r="G399" s="7"/>
      <c r="H399" s="7"/>
    </row>
    <row r="400" ht="15.75" customHeight="1">
      <c r="D400" s="7"/>
      <c r="E400" s="7"/>
      <c r="F400" s="7"/>
      <c r="G400" s="7"/>
      <c r="H400" s="7"/>
    </row>
    <row r="401" ht="15.75" customHeight="1">
      <c r="D401" s="7"/>
      <c r="E401" s="7"/>
      <c r="F401" s="7"/>
      <c r="G401" s="7"/>
      <c r="H401" s="7"/>
    </row>
    <row r="402" ht="15.75" customHeight="1">
      <c r="D402" s="7"/>
      <c r="E402" s="7"/>
      <c r="F402" s="7"/>
      <c r="G402" s="7"/>
      <c r="H402" s="7"/>
    </row>
    <row r="403" ht="15.75" customHeight="1">
      <c r="D403" s="7"/>
      <c r="E403" s="7"/>
      <c r="F403" s="7"/>
      <c r="G403" s="7"/>
      <c r="H403" s="7"/>
    </row>
    <row r="404" ht="15.75" customHeight="1">
      <c r="D404" s="7"/>
      <c r="E404" s="7"/>
      <c r="F404" s="7"/>
      <c r="G404" s="7"/>
      <c r="H404" s="7"/>
    </row>
    <row r="405" ht="15.75" customHeight="1">
      <c r="D405" s="7"/>
      <c r="E405" s="7"/>
      <c r="F405" s="7"/>
      <c r="G405" s="7"/>
      <c r="H405" s="7"/>
    </row>
    <row r="406" ht="15.75" customHeight="1">
      <c r="D406" s="7"/>
      <c r="E406" s="7"/>
      <c r="F406" s="7"/>
      <c r="G406" s="7"/>
      <c r="H406" s="7"/>
    </row>
    <row r="407" ht="15.75" customHeight="1">
      <c r="D407" s="7"/>
      <c r="E407" s="7"/>
      <c r="F407" s="7"/>
      <c r="G407" s="7"/>
      <c r="H407" s="7"/>
    </row>
    <row r="408" ht="15.75" customHeight="1">
      <c r="D408" s="7"/>
      <c r="E408" s="7"/>
      <c r="F408" s="7"/>
      <c r="G408" s="7"/>
      <c r="H408" s="7"/>
    </row>
    <row r="409" ht="15.75" customHeight="1">
      <c r="D409" s="7"/>
      <c r="E409" s="7"/>
      <c r="F409" s="7"/>
      <c r="G409" s="7"/>
      <c r="H409" s="7"/>
    </row>
    <row r="410" ht="15.75" customHeight="1">
      <c r="D410" s="7"/>
      <c r="E410" s="7"/>
      <c r="F410" s="7"/>
      <c r="G410" s="7"/>
      <c r="H410" s="7"/>
    </row>
    <row r="411" ht="15.75" customHeight="1">
      <c r="D411" s="7"/>
      <c r="E411" s="7"/>
      <c r="F411" s="7"/>
      <c r="G411" s="7"/>
      <c r="H411" s="7"/>
    </row>
    <row r="412" ht="15.75" customHeight="1">
      <c r="D412" s="7"/>
      <c r="E412" s="7"/>
      <c r="F412" s="7"/>
      <c r="G412" s="7"/>
      <c r="H412" s="7"/>
    </row>
    <row r="413" ht="15.75" customHeight="1">
      <c r="D413" s="7"/>
      <c r="E413" s="7"/>
      <c r="F413" s="7"/>
      <c r="G413" s="7"/>
      <c r="H413" s="7"/>
    </row>
    <row r="414" ht="15.75" customHeight="1">
      <c r="D414" s="7"/>
      <c r="E414" s="7"/>
      <c r="F414" s="7"/>
      <c r="G414" s="7"/>
      <c r="H414" s="7"/>
    </row>
    <row r="415" ht="15.75" customHeight="1">
      <c r="D415" s="7"/>
      <c r="E415" s="7"/>
      <c r="F415" s="7"/>
      <c r="G415" s="7"/>
      <c r="H415" s="7"/>
    </row>
    <row r="416" ht="15.75" customHeight="1">
      <c r="D416" s="7"/>
      <c r="E416" s="7"/>
      <c r="F416" s="7"/>
      <c r="G416" s="7"/>
      <c r="H416" s="7"/>
    </row>
    <row r="417" ht="15.75" customHeight="1">
      <c r="D417" s="7"/>
      <c r="E417" s="7"/>
      <c r="F417" s="7"/>
      <c r="G417" s="7"/>
      <c r="H417" s="7"/>
    </row>
    <row r="418" ht="15.75" customHeight="1">
      <c r="D418" s="7"/>
      <c r="E418" s="7"/>
      <c r="F418" s="7"/>
      <c r="G418" s="7"/>
      <c r="H418" s="7"/>
    </row>
    <row r="419" ht="15.75" customHeight="1">
      <c r="D419" s="7"/>
      <c r="E419" s="7"/>
      <c r="F419" s="7"/>
      <c r="G419" s="7"/>
      <c r="H419" s="7"/>
    </row>
    <row r="420" ht="15.75" customHeight="1">
      <c r="D420" s="7"/>
      <c r="E420" s="7"/>
      <c r="F420" s="7"/>
      <c r="G420" s="7"/>
      <c r="H420" s="7"/>
    </row>
    <row r="421" ht="15.75" customHeight="1">
      <c r="D421" s="7"/>
      <c r="E421" s="7"/>
      <c r="F421" s="7"/>
      <c r="G421" s="7"/>
      <c r="H421" s="7"/>
    </row>
    <row r="422" ht="15.75" customHeight="1">
      <c r="D422" s="7"/>
      <c r="E422" s="7"/>
      <c r="F422" s="7"/>
      <c r="G422" s="7"/>
      <c r="H422" s="7"/>
    </row>
    <row r="423" ht="15.75" customHeight="1">
      <c r="D423" s="7"/>
      <c r="E423" s="7"/>
      <c r="F423" s="7"/>
      <c r="G423" s="7"/>
      <c r="H423" s="7"/>
    </row>
    <row r="424" ht="15.75" customHeight="1">
      <c r="D424" s="7"/>
      <c r="E424" s="7"/>
      <c r="F424" s="7"/>
      <c r="G424" s="7"/>
      <c r="H424" s="7"/>
    </row>
    <row r="425" ht="15.75" customHeight="1">
      <c r="D425" s="7"/>
      <c r="E425" s="7"/>
      <c r="F425" s="7"/>
      <c r="G425" s="7"/>
      <c r="H425" s="7"/>
    </row>
    <row r="426" ht="15.75" customHeight="1">
      <c r="D426" s="7"/>
      <c r="E426" s="7"/>
      <c r="F426" s="7"/>
      <c r="G426" s="7"/>
      <c r="H426" s="7"/>
    </row>
    <row r="427" ht="15.75" customHeight="1">
      <c r="D427" s="7"/>
      <c r="E427" s="7"/>
      <c r="F427" s="7"/>
      <c r="G427" s="7"/>
      <c r="H427" s="7"/>
    </row>
    <row r="428" ht="15.75" customHeight="1">
      <c r="D428" s="7"/>
      <c r="E428" s="7"/>
      <c r="F428" s="7"/>
      <c r="G428" s="7"/>
      <c r="H428" s="7"/>
    </row>
    <row r="429" ht="15.75" customHeight="1">
      <c r="D429" s="7"/>
      <c r="E429" s="7"/>
      <c r="F429" s="7"/>
      <c r="G429" s="7"/>
      <c r="H429" s="7"/>
    </row>
    <row r="430" ht="15.75" customHeight="1">
      <c r="D430" s="7"/>
      <c r="E430" s="7"/>
      <c r="F430" s="7"/>
      <c r="G430" s="7"/>
      <c r="H430" s="7"/>
    </row>
    <row r="431" ht="15.75" customHeight="1">
      <c r="D431" s="7"/>
      <c r="E431" s="7"/>
      <c r="F431" s="7"/>
      <c r="G431" s="7"/>
      <c r="H431" s="7"/>
    </row>
    <row r="432" ht="15.75" customHeight="1">
      <c r="D432" s="7"/>
      <c r="E432" s="7"/>
      <c r="F432" s="7"/>
      <c r="G432" s="7"/>
      <c r="H432" s="7"/>
    </row>
    <row r="433" ht="15.75" customHeight="1">
      <c r="D433" s="7"/>
      <c r="E433" s="7"/>
      <c r="F433" s="7"/>
      <c r="G433" s="7"/>
      <c r="H433" s="7"/>
    </row>
    <row r="434" ht="15.75" customHeight="1">
      <c r="D434" s="7"/>
      <c r="E434" s="7"/>
      <c r="F434" s="7"/>
      <c r="G434" s="7"/>
      <c r="H434" s="7"/>
    </row>
    <row r="435" ht="15.75" customHeight="1">
      <c r="D435" s="7"/>
      <c r="E435" s="7"/>
      <c r="F435" s="7"/>
      <c r="G435" s="7"/>
      <c r="H435" s="7"/>
    </row>
    <row r="436" ht="15.75" customHeight="1">
      <c r="D436" s="7"/>
      <c r="E436" s="7"/>
      <c r="F436" s="7"/>
      <c r="G436" s="7"/>
      <c r="H436" s="7"/>
    </row>
    <row r="437" ht="15.75" customHeight="1">
      <c r="D437" s="7"/>
      <c r="E437" s="7"/>
      <c r="F437" s="7"/>
      <c r="G437" s="7"/>
      <c r="H437" s="7"/>
    </row>
    <row r="438" ht="15.75" customHeight="1">
      <c r="D438" s="7"/>
      <c r="E438" s="7"/>
      <c r="F438" s="7"/>
      <c r="G438" s="7"/>
      <c r="H438" s="7"/>
    </row>
    <row r="439" ht="15.75" customHeight="1">
      <c r="D439" s="7"/>
      <c r="E439" s="7"/>
      <c r="F439" s="7"/>
      <c r="G439" s="7"/>
      <c r="H439" s="7"/>
    </row>
    <row r="440" ht="15.75" customHeight="1">
      <c r="D440" s="7"/>
      <c r="E440" s="7"/>
      <c r="F440" s="7"/>
      <c r="G440" s="7"/>
      <c r="H440" s="7"/>
    </row>
    <row r="441" ht="15.75" customHeight="1">
      <c r="D441" s="7"/>
      <c r="E441" s="7"/>
      <c r="F441" s="7"/>
      <c r="G441" s="7"/>
      <c r="H441" s="7"/>
    </row>
    <row r="442" ht="15.75" customHeight="1">
      <c r="D442" s="7"/>
      <c r="E442" s="7"/>
      <c r="F442" s="7"/>
      <c r="G442" s="7"/>
      <c r="H442" s="7"/>
    </row>
    <row r="443" ht="15.75" customHeight="1">
      <c r="D443" s="7"/>
      <c r="E443" s="7"/>
      <c r="F443" s="7"/>
      <c r="G443" s="7"/>
      <c r="H443" s="7"/>
    </row>
    <row r="444" ht="15.75" customHeight="1">
      <c r="D444" s="7"/>
      <c r="E444" s="7"/>
      <c r="F444" s="7"/>
      <c r="G444" s="7"/>
      <c r="H444" s="7"/>
    </row>
    <row r="445" ht="15.75" customHeight="1">
      <c r="D445" s="7"/>
      <c r="E445" s="7"/>
      <c r="F445" s="7"/>
      <c r="G445" s="7"/>
      <c r="H445" s="7"/>
    </row>
    <row r="446" ht="15.75" customHeight="1">
      <c r="D446" s="7"/>
      <c r="E446" s="7"/>
      <c r="F446" s="7"/>
      <c r="G446" s="7"/>
      <c r="H446" s="7"/>
    </row>
    <row r="447" ht="15.75" customHeight="1">
      <c r="D447" s="7"/>
      <c r="E447" s="7"/>
      <c r="F447" s="7"/>
      <c r="G447" s="7"/>
      <c r="H447" s="7"/>
    </row>
    <row r="448" ht="15.75" customHeight="1">
      <c r="D448" s="7"/>
      <c r="E448" s="7"/>
      <c r="F448" s="7"/>
      <c r="G448" s="7"/>
      <c r="H448" s="7"/>
    </row>
    <row r="449" ht="15.75" customHeight="1">
      <c r="D449" s="7"/>
      <c r="E449" s="7"/>
      <c r="F449" s="7"/>
      <c r="G449" s="7"/>
      <c r="H449" s="7"/>
    </row>
    <row r="450" ht="15.75" customHeight="1">
      <c r="D450" s="7"/>
      <c r="E450" s="7"/>
      <c r="F450" s="7"/>
      <c r="G450" s="7"/>
      <c r="H450" s="7"/>
    </row>
    <row r="451" ht="15.75" customHeight="1">
      <c r="D451" s="7"/>
      <c r="E451" s="7"/>
      <c r="F451" s="7"/>
      <c r="G451" s="7"/>
      <c r="H451" s="7"/>
    </row>
    <row r="452" ht="15.75" customHeight="1">
      <c r="D452" s="7"/>
      <c r="E452" s="7"/>
      <c r="F452" s="7"/>
      <c r="G452" s="7"/>
      <c r="H452" s="7"/>
    </row>
    <row r="453" ht="15.75" customHeight="1">
      <c r="D453" s="7"/>
      <c r="E453" s="7"/>
      <c r="F453" s="7"/>
      <c r="G453" s="7"/>
      <c r="H453" s="7"/>
    </row>
    <row r="454" ht="15.75" customHeight="1">
      <c r="D454" s="7"/>
      <c r="E454" s="7"/>
      <c r="F454" s="7"/>
      <c r="G454" s="7"/>
      <c r="H454" s="7"/>
    </row>
    <row r="455" ht="15.75" customHeight="1">
      <c r="D455" s="7"/>
      <c r="E455" s="7"/>
      <c r="F455" s="7"/>
      <c r="G455" s="7"/>
      <c r="H455" s="7"/>
    </row>
    <row r="456" ht="15.75" customHeight="1">
      <c r="D456" s="7"/>
      <c r="E456" s="7"/>
      <c r="F456" s="7"/>
      <c r="G456" s="7"/>
      <c r="H456" s="7"/>
    </row>
    <row r="457" ht="15.75" customHeight="1">
      <c r="D457" s="7"/>
      <c r="E457" s="7"/>
      <c r="F457" s="7"/>
      <c r="G457" s="7"/>
      <c r="H457" s="7"/>
    </row>
    <row r="458" ht="15.75" customHeight="1">
      <c r="D458" s="7"/>
      <c r="E458" s="7"/>
      <c r="F458" s="7"/>
      <c r="G458" s="7"/>
      <c r="H458" s="7"/>
    </row>
    <row r="459" ht="15.75" customHeight="1">
      <c r="D459" s="7"/>
      <c r="E459" s="7"/>
      <c r="F459" s="7"/>
      <c r="G459" s="7"/>
      <c r="H459" s="7"/>
    </row>
    <row r="460" ht="15.75" customHeight="1">
      <c r="D460" s="7"/>
      <c r="E460" s="7"/>
      <c r="F460" s="7"/>
      <c r="G460" s="7"/>
      <c r="H460" s="7"/>
    </row>
    <row r="461" ht="15.75" customHeight="1">
      <c r="D461" s="7"/>
      <c r="E461" s="7"/>
      <c r="F461" s="7"/>
      <c r="G461" s="7"/>
      <c r="H461" s="7"/>
    </row>
    <row r="462" ht="15.75" customHeight="1">
      <c r="D462" s="7"/>
      <c r="E462" s="7"/>
      <c r="F462" s="7"/>
      <c r="G462" s="7"/>
      <c r="H462" s="7"/>
    </row>
    <row r="463" ht="15.75" customHeight="1">
      <c r="D463" s="7"/>
      <c r="E463" s="7"/>
      <c r="F463" s="7"/>
      <c r="G463" s="7"/>
      <c r="H463" s="7"/>
    </row>
    <row r="464" ht="15.75" customHeight="1">
      <c r="D464" s="7"/>
      <c r="E464" s="7"/>
      <c r="F464" s="7"/>
      <c r="G464" s="7"/>
      <c r="H464" s="7"/>
    </row>
    <row r="465" ht="15.75" customHeight="1">
      <c r="D465" s="7"/>
      <c r="E465" s="7"/>
      <c r="F465" s="7"/>
      <c r="G465" s="7"/>
      <c r="H465" s="7"/>
    </row>
    <row r="466" ht="15.75" customHeight="1">
      <c r="D466" s="7"/>
      <c r="E466" s="7"/>
      <c r="F466" s="7"/>
      <c r="G466" s="7"/>
      <c r="H466" s="7"/>
    </row>
    <row r="467" ht="15.75" customHeight="1">
      <c r="D467" s="7"/>
      <c r="E467" s="7"/>
      <c r="F467" s="7"/>
      <c r="G467" s="7"/>
      <c r="H467" s="7"/>
    </row>
    <row r="468" ht="15.75" customHeight="1">
      <c r="D468" s="7"/>
      <c r="E468" s="7"/>
      <c r="F468" s="7"/>
      <c r="G468" s="7"/>
      <c r="H468" s="7"/>
    </row>
    <row r="469" ht="15.75" customHeight="1">
      <c r="D469" s="7"/>
      <c r="E469" s="7"/>
      <c r="F469" s="7"/>
      <c r="G469" s="7"/>
      <c r="H469" s="7"/>
    </row>
    <row r="470" ht="15.75" customHeight="1">
      <c r="D470" s="7"/>
      <c r="E470" s="7"/>
      <c r="F470" s="7"/>
      <c r="G470" s="7"/>
      <c r="H470" s="7"/>
    </row>
    <row r="471" ht="15.75" customHeight="1">
      <c r="D471" s="7"/>
      <c r="E471" s="7"/>
      <c r="F471" s="7"/>
      <c r="G471" s="7"/>
      <c r="H471" s="7"/>
    </row>
    <row r="472" ht="15.75" customHeight="1">
      <c r="D472" s="7"/>
      <c r="E472" s="7"/>
      <c r="F472" s="7"/>
      <c r="G472" s="7"/>
      <c r="H472" s="7"/>
    </row>
    <row r="473" ht="15.75" customHeight="1">
      <c r="D473" s="7"/>
      <c r="E473" s="7"/>
      <c r="F473" s="7"/>
      <c r="G473" s="7"/>
      <c r="H473" s="7"/>
    </row>
    <row r="474" ht="15.75" customHeight="1">
      <c r="D474" s="7"/>
      <c r="E474" s="7"/>
      <c r="F474" s="7"/>
      <c r="G474" s="7"/>
      <c r="H474" s="7"/>
    </row>
    <row r="475" ht="15.75" customHeight="1">
      <c r="D475" s="7"/>
      <c r="E475" s="7"/>
      <c r="F475" s="7"/>
      <c r="G475" s="7"/>
      <c r="H475" s="7"/>
    </row>
    <row r="476" ht="15.75" customHeight="1">
      <c r="D476" s="7"/>
      <c r="E476" s="7"/>
      <c r="F476" s="7"/>
      <c r="G476" s="7"/>
      <c r="H476" s="7"/>
    </row>
    <row r="477" ht="15.75" customHeight="1">
      <c r="D477" s="7"/>
      <c r="E477" s="7"/>
      <c r="F477" s="7"/>
      <c r="G477" s="7"/>
      <c r="H477" s="7"/>
    </row>
    <row r="478" ht="15.75" customHeight="1">
      <c r="D478" s="7"/>
      <c r="E478" s="7"/>
      <c r="F478" s="7"/>
      <c r="G478" s="7"/>
      <c r="H478" s="7"/>
    </row>
    <row r="479" ht="15.75" customHeight="1">
      <c r="D479" s="7"/>
      <c r="E479" s="7"/>
      <c r="F479" s="7"/>
      <c r="G479" s="7"/>
      <c r="H479" s="7"/>
    </row>
    <row r="480" ht="15.75" customHeight="1">
      <c r="D480" s="7"/>
      <c r="E480" s="7"/>
      <c r="F480" s="7"/>
      <c r="G480" s="7"/>
      <c r="H480" s="7"/>
    </row>
    <row r="481" ht="15.75" customHeight="1">
      <c r="D481" s="7"/>
      <c r="E481" s="7"/>
      <c r="F481" s="7"/>
      <c r="G481" s="7"/>
      <c r="H481" s="7"/>
    </row>
    <row r="482" ht="15.75" customHeight="1">
      <c r="D482" s="7"/>
      <c r="E482" s="7"/>
      <c r="F482" s="7"/>
      <c r="G482" s="7"/>
      <c r="H482" s="7"/>
    </row>
    <row r="483" ht="15.75" customHeight="1">
      <c r="D483" s="7"/>
      <c r="E483" s="7"/>
      <c r="F483" s="7"/>
      <c r="G483" s="7"/>
      <c r="H483" s="7"/>
    </row>
    <row r="484" ht="15.75" customHeight="1">
      <c r="D484" s="7"/>
      <c r="E484" s="7"/>
      <c r="F484" s="7"/>
      <c r="G484" s="7"/>
      <c r="H484" s="7"/>
    </row>
    <row r="485" ht="15.75" customHeight="1">
      <c r="D485" s="7"/>
      <c r="E485" s="7"/>
      <c r="F485" s="7"/>
      <c r="G485" s="7"/>
      <c r="H485" s="7"/>
    </row>
    <row r="486" ht="15.75" customHeight="1">
      <c r="D486" s="7"/>
      <c r="E486" s="7"/>
      <c r="F486" s="7"/>
      <c r="G486" s="7"/>
      <c r="H486" s="7"/>
    </row>
    <row r="487" ht="15.75" customHeight="1">
      <c r="D487" s="7"/>
      <c r="E487" s="7"/>
      <c r="F487" s="7"/>
      <c r="G487" s="7"/>
      <c r="H487" s="7"/>
    </row>
    <row r="488" ht="15.75" customHeight="1">
      <c r="D488" s="7"/>
      <c r="E488" s="7"/>
      <c r="F488" s="7"/>
      <c r="G488" s="7"/>
      <c r="H488" s="7"/>
    </row>
    <row r="489" ht="15.75" customHeight="1">
      <c r="D489" s="7"/>
      <c r="E489" s="7"/>
      <c r="F489" s="7"/>
      <c r="G489" s="7"/>
      <c r="H489" s="7"/>
    </row>
    <row r="490" ht="15.75" customHeight="1">
      <c r="D490" s="7"/>
      <c r="E490" s="7"/>
      <c r="F490" s="7"/>
      <c r="G490" s="7"/>
      <c r="H490" s="7"/>
    </row>
    <row r="491" ht="15.75" customHeight="1">
      <c r="D491" s="7"/>
      <c r="E491" s="7"/>
      <c r="F491" s="7"/>
      <c r="G491" s="7"/>
      <c r="H491" s="7"/>
    </row>
    <row r="492" ht="15.75" customHeight="1">
      <c r="D492" s="7"/>
      <c r="E492" s="7"/>
      <c r="F492" s="7"/>
      <c r="G492" s="7"/>
      <c r="H492" s="7"/>
    </row>
    <row r="493" ht="15.75" customHeight="1">
      <c r="D493" s="7"/>
      <c r="E493" s="7"/>
      <c r="F493" s="7"/>
      <c r="G493" s="7"/>
      <c r="H493" s="7"/>
    </row>
    <row r="494" ht="15.75" customHeight="1">
      <c r="D494" s="7"/>
      <c r="E494" s="7"/>
      <c r="F494" s="7"/>
      <c r="G494" s="7"/>
      <c r="H494" s="7"/>
    </row>
    <row r="495" ht="15.75" customHeight="1">
      <c r="D495" s="7"/>
      <c r="E495" s="7"/>
      <c r="F495" s="7"/>
      <c r="G495" s="7"/>
      <c r="H495" s="7"/>
    </row>
    <row r="496" ht="15.75" customHeight="1">
      <c r="D496" s="7"/>
      <c r="E496" s="7"/>
      <c r="F496" s="7"/>
      <c r="G496" s="7"/>
      <c r="H496" s="7"/>
    </row>
    <row r="497" ht="15.75" customHeight="1">
      <c r="D497" s="7"/>
      <c r="E497" s="7"/>
      <c r="F497" s="7"/>
      <c r="G497" s="7"/>
      <c r="H497" s="7"/>
    </row>
    <row r="498" ht="15.75" customHeight="1">
      <c r="D498" s="7"/>
      <c r="E498" s="7"/>
      <c r="F498" s="7"/>
      <c r="G498" s="7"/>
      <c r="H498" s="7"/>
    </row>
    <row r="499" ht="15.75" customHeight="1">
      <c r="D499" s="7"/>
      <c r="E499" s="7"/>
      <c r="F499" s="7"/>
      <c r="G499" s="7"/>
      <c r="H499" s="7"/>
    </row>
    <row r="500" ht="15.75" customHeight="1">
      <c r="D500" s="7"/>
      <c r="E500" s="7"/>
      <c r="F500" s="7"/>
      <c r="G500" s="7"/>
      <c r="H500" s="7"/>
    </row>
    <row r="501" ht="15.75" customHeight="1">
      <c r="D501" s="7"/>
      <c r="E501" s="7"/>
      <c r="F501" s="7"/>
      <c r="G501" s="7"/>
      <c r="H501" s="7"/>
    </row>
    <row r="502" ht="15.75" customHeight="1">
      <c r="D502" s="7"/>
      <c r="E502" s="7"/>
      <c r="F502" s="7"/>
      <c r="G502" s="7"/>
      <c r="H502" s="7"/>
    </row>
    <row r="503" ht="15.75" customHeight="1">
      <c r="D503" s="7"/>
      <c r="E503" s="7"/>
      <c r="F503" s="7"/>
      <c r="G503" s="7"/>
      <c r="H503" s="7"/>
    </row>
    <row r="504" ht="15.75" customHeight="1">
      <c r="D504" s="7"/>
      <c r="E504" s="7"/>
      <c r="F504" s="7"/>
      <c r="G504" s="7"/>
      <c r="H504" s="7"/>
    </row>
    <row r="505" ht="15.75" customHeight="1">
      <c r="D505" s="7"/>
      <c r="E505" s="7"/>
      <c r="F505" s="7"/>
      <c r="G505" s="7"/>
      <c r="H505" s="7"/>
    </row>
    <row r="506" ht="15.75" customHeight="1">
      <c r="D506" s="7"/>
      <c r="E506" s="7"/>
      <c r="F506" s="7"/>
      <c r="G506" s="7"/>
      <c r="H506" s="7"/>
    </row>
    <row r="507" ht="15.75" customHeight="1">
      <c r="D507" s="7"/>
      <c r="E507" s="7"/>
      <c r="F507" s="7"/>
      <c r="G507" s="7"/>
      <c r="H507" s="7"/>
    </row>
    <row r="508" ht="15.75" customHeight="1">
      <c r="D508" s="7"/>
      <c r="E508" s="7"/>
      <c r="F508" s="7"/>
      <c r="G508" s="7"/>
      <c r="H508" s="7"/>
    </row>
    <row r="509" ht="15.75" customHeight="1">
      <c r="D509" s="7"/>
      <c r="E509" s="7"/>
      <c r="F509" s="7"/>
      <c r="G509" s="7"/>
      <c r="H509" s="7"/>
    </row>
    <row r="510" ht="15.75" customHeight="1">
      <c r="D510" s="7"/>
      <c r="E510" s="7"/>
      <c r="F510" s="7"/>
      <c r="G510" s="7"/>
      <c r="H510" s="7"/>
    </row>
    <row r="511" ht="15.75" customHeight="1">
      <c r="D511" s="7"/>
      <c r="E511" s="7"/>
      <c r="F511" s="7"/>
      <c r="G511" s="7"/>
      <c r="H511" s="7"/>
    </row>
    <row r="512" ht="15.75" customHeight="1">
      <c r="D512" s="7"/>
      <c r="E512" s="7"/>
      <c r="F512" s="7"/>
      <c r="G512" s="7"/>
      <c r="H512" s="7"/>
    </row>
    <row r="513" ht="15.75" customHeight="1">
      <c r="D513" s="7"/>
      <c r="E513" s="7"/>
      <c r="F513" s="7"/>
      <c r="G513" s="7"/>
      <c r="H513" s="7"/>
    </row>
    <row r="514" ht="15.75" customHeight="1">
      <c r="D514" s="7"/>
      <c r="E514" s="7"/>
      <c r="F514" s="7"/>
      <c r="G514" s="7"/>
      <c r="H514" s="7"/>
    </row>
    <row r="515" ht="15.75" customHeight="1">
      <c r="D515" s="7"/>
      <c r="E515" s="7"/>
      <c r="F515" s="7"/>
      <c r="G515" s="7"/>
      <c r="H515" s="7"/>
    </row>
    <row r="516" ht="15.75" customHeight="1">
      <c r="D516" s="7"/>
      <c r="E516" s="7"/>
      <c r="F516" s="7"/>
      <c r="G516" s="7"/>
      <c r="H516" s="7"/>
    </row>
    <row r="517" ht="15.75" customHeight="1">
      <c r="D517" s="7"/>
      <c r="E517" s="7"/>
      <c r="F517" s="7"/>
      <c r="G517" s="7"/>
      <c r="H517" s="7"/>
    </row>
    <row r="518" ht="15.75" customHeight="1">
      <c r="D518" s="7"/>
      <c r="E518" s="7"/>
      <c r="F518" s="7"/>
      <c r="G518" s="7"/>
      <c r="H518" s="7"/>
    </row>
    <row r="519" ht="15.75" customHeight="1">
      <c r="D519" s="7"/>
      <c r="E519" s="7"/>
      <c r="F519" s="7"/>
      <c r="G519" s="7"/>
      <c r="H519" s="7"/>
    </row>
    <row r="520" ht="15.75" customHeight="1">
      <c r="D520" s="7"/>
      <c r="E520" s="7"/>
      <c r="F520" s="7"/>
      <c r="G520" s="7"/>
      <c r="H520" s="7"/>
    </row>
    <row r="521" ht="15.75" customHeight="1">
      <c r="D521" s="7"/>
      <c r="E521" s="7"/>
      <c r="F521" s="7"/>
      <c r="G521" s="7"/>
      <c r="H521" s="7"/>
    </row>
    <row r="522" ht="15.75" customHeight="1">
      <c r="D522" s="7"/>
      <c r="E522" s="7"/>
      <c r="F522" s="7"/>
      <c r="G522" s="7"/>
      <c r="H522" s="7"/>
    </row>
    <row r="523" ht="15.75" customHeight="1">
      <c r="D523" s="7"/>
      <c r="E523" s="7"/>
      <c r="F523" s="7"/>
      <c r="G523" s="7"/>
      <c r="H523" s="7"/>
    </row>
    <row r="524" ht="15.75" customHeight="1">
      <c r="D524" s="7"/>
      <c r="E524" s="7"/>
      <c r="F524" s="7"/>
      <c r="G524" s="7"/>
      <c r="H524" s="7"/>
    </row>
    <row r="525" ht="15.75" customHeight="1">
      <c r="D525" s="7"/>
      <c r="E525" s="7"/>
      <c r="F525" s="7"/>
      <c r="G525" s="7"/>
      <c r="H525" s="7"/>
    </row>
    <row r="526" ht="15.75" customHeight="1">
      <c r="D526" s="7"/>
      <c r="E526" s="7"/>
      <c r="F526" s="7"/>
      <c r="G526" s="7"/>
      <c r="H526" s="7"/>
    </row>
    <row r="527" ht="15.75" customHeight="1">
      <c r="D527" s="7"/>
      <c r="E527" s="7"/>
      <c r="F527" s="7"/>
      <c r="G527" s="7"/>
      <c r="H527" s="7"/>
    </row>
    <row r="528" ht="15.75" customHeight="1">
      <c r="D528" s="7"/>
      <c r="E528" s="7"/>
      <c r="F528" s="7"/>
      <c r="G528" s="7"/>
      <c r="H528" s="7"/>
    </row>
    <row r="529" ht="15.75" customHeight="1">
      <c r="D529" s="7"/>
      <c r="E529" s="7"/>
      <c r="F529" s="7"/>
      <c r="G529" s="7"/>
      <c r="H529" s="7"/>
    </row>
    <row r="530" ht="15.75" customHeight="1">
      <c r="D530" s="7"/>
      <c r="E530" s="7"/>
      <c r="F530" s="7"/>
      <c r="G530" s="7"/>
      <c r="H530" s="7"/>
    </row>
    <row r="531" ht="15.75" customHeight="1">
      <c r="D531" s="7"/>
      <c r="E531" s="7"/>
      <c r="F531" s="7"/>
      <c r="G531" s="7"/>
      <c r="H531" s="7"/>
    </row>
    <row r="532" ht="15.75" customHeight="1">
      <c r="D532" s="7"/>
      <c r="E532" s="7"/>
      <c r="F532" s="7"/>
      <c r="G532" s="7"/>
      <c r="H532" s="7"/>
    </row>
    <row r="533" ht="15.75" customHeight="1">
      <c r="D533" s="7"/>
      <c r="E533" s="7"/>
      <c r="F533" s="7"/>
      <c r="G533" s="7"/>
      <c r="H533" s="7"/>
    </row>
    <row r="534" ht="15.75" customHeight="1">
      <c r="D534" s="7"/>
      <c r="E534" s="7"/>
      <c r="F534" s="7"/>
      <c r="G534" s="7"/>
      <c r="H534" s="7"/>
    </row>
    <row r="535" ht="15.75" customHeight="1">
      <c r="D535" s="7"/>
      <c r="E535" s="7"/>
      <c r="F535" s="7"/>
      <c r="G535" s="7"/>
      <c r="H535" s="7"/>
    </row>
    <row r="536" ht="15.75" customHeight="1">
      <c r="D536" s="7"/>
      <c r="E536" s="7"/>
      <c r="F536" s="7"/>
      <c r="G536" s="7"/>
      <c r="H536" s="7"/>
    </row>
    <row r="537" ht="15.75" customHeight="1">
      <c r="D537" s="7"/>
      <c r="E537" s="7"/>
      <c r="F537" s="7"/>
      <c r="G537" s="7"/>
      <c r="H537" s="7"/>
    </row>
    <row r="538" ht="15.75" customHeight="1">
      <c r="D538" s="7"/>
      <c r="E538" s="7"/>
      <c r="F538" s="7"/>
      <c r="G538" s="7"/>
      <c r="H538" s="7"/>
    </row>
    <row r="539" ht="15.75" customHeight="1">
      <c r="D539" s="7"/>
      <c r="E539" s="7"/>
      <c r="F539" s="7"/>
      <c r="G539" s="7"/>
      <c r="H539" s="7"/>
    </row>
    <row r="540" ht="15.75" customHeight="1">
      <c r="D540" s="7"/>
      <c r="E540" s="7"/>
      <c r="F540" s="7"/>
      <c r="G540" s="7"/>
      <c r="H540" s="7"/>
    </row>
    <row r="541" ht="15.75" customHeight="1">
      <c r="D541" s="7"/>
      <c r="E541" s="7"/>
      <c r="F541" s="7"/>
      <c r="G541" s="7"/>
      <c r="H541" s="7"/>
    </row>
    <row r="542" ht="15.75" customHeight="1">
      <c r="D542" s="7"/>
      <c r="E542" s="7"/>
      <c r="F542" s="7"/>
      <c r="G542" s="7"/>
      <c r="H542" s="7"/>
    </row>
    <row r="543" ht="15.75" customHeight="1">
      <c r="D543" s="7"/>
      <c r="E543" s="7"/>
      <c r="F543" s="7"/>
      <c r="G543" s="7"/>
      <c r="H543" s="7"/>
    </row>
    <row r="544" ht="15.75" customHeight="1">
      <c r="D544" s="7"/>
      <c r="E544" s="7"/>
      <c r="F544" s="7"/>
      <c r="G544" s="7"/>
      <c r="H544" s="7"/>
    </row>
    <row r="545" ht="15.75" customHeight="1">
      <c r="D545" s="7"/>
      <c r="E545" s="7"/>
      <c r="F545" s="7"/>
      <c r="G545" s="7"/>
      <c r="H545" s="7"/>
    </row>
    <row r="546" ht="15.75" customHeight="1">
      <c r="D546" s="7"/>
      <c r="E546" s="7"/>
      <c r="F546" s="7"/>
      <c r="G546" s="7"/>
      <c r="H546" s="7"/>
    </row>
    <row r="547" ht="15.75" customHeight="1">
      <c r="D547" s="7"/>
      <c r="E547" s="7"/>
      <c r="F547" s="7"/>
      <c r="G547" s="7"/>
      <c r="H547" s="7"/>
    </row>
    <row r="548" ht="15.75" customHeight="1">
      <c r="D548" s="7"/>
      <c r="E548" s="7"/>
      <c r="F548" s="7"/>
      <c r="G548" s="7"/>
      <c r="H548" s="7"/>
    </row>
    <row r="549" ht="15.75" customHeight="1">
      <c r="D549" s="7"/>
      <c r="E549" s="7"/>
      <c r="F549" s="7"/>
      <c r="G549" s="7"/>
      <c r="H549" s="7"/>
    </row>
    <row r="550" ht="15.75" customHeight="1">
      <c r="D550" s="7"/>
      <c r="E550" s="7"/>
      <c r="F550" s="7"/>
      <c r="G550" s="7"/>
      <c r="H550" s="7"/>
    </row>
    <row r="551" ht="15.75" customHeight="1">
      <c r="D551" s="7"/>
      <c r="E551" s="7"/>
      <c r="F551" s="7"/>
      <c r="G551" s="7"/>
      <c r="H551" s="7"/>
    </row>
    <row r="552" ht="15.75" customHeight="1">
      <c r="D552" s="7"/>
      <c r="E552" s="7"/>
      <c r="F552" s="7"/>
      <c r="G552" s="7"/>
      <c r="H552" s="7"/>
    </row>
    <row r="553" ht="15.75" customHeight="1">
      <c r="D553" s="7"/>
      <c r="E553" s="7"/>
      <c r="F553" s="7"/>
      <c r="G553" s="7"/>
      <c r="H553" s="7"/>
    </row>
    <row r="554" ht="15.75" customHeight="1">
      <c r="D554" s="7"/>
      <c r="E554" s="7"/>
      <c r="F554" s="7"/>
      <c r="G554" s="7"/>
      <c r="H554" s="7"/>
    </row>
    <row r="555" ht="15.75" customHeight="1">
      <c r="D555" s="7"/>
      <c r="E555" s="7"/>
      <c r="F555" s="7"/>
      <c r="G555" s="7"/>
      <c r="H555" s="7"/>
    </row>
    <row r="556" ht="15.75" customHeight="1">
      <c r="D556" s="7"/>
      <c r="E556" s="7"/>
      <c r="F556" s="7"/>
      <c r="G556" s="7"/>
      <c r="H556" s="7"/>
    </row>
    <row r="557" ht="15.75" customHeight="1">
      <c r="D557" s="7"/>
      <c r="E557" s="7"/>
      <c r="F557" s="7"/>
      <c r="G557" s="7"/>
      <c r="H557" s="7"/>
    </row>
    <row r="558" ht="15.75" customHeight="1">
      <c r="D558" s="7"/>
      <c r="E558" s="7"/>
      <c r="F558" s="7"/>
      <c r="G558" s="7"/>
      <c r="H558" s="7"/>
    </row>
    <row r="559" ht="15.75" customHeight="1">
      <c r="D559" s="7"/>
      <c r="E559" s="7"/>
      <c r="F559" s="7"/>
      <c r="G559" s="7"/>
      <c r="H559" s="7"/>
    </row>
    <row r="560" ht="15.75" customHeight="1">
      <c r="D560" s="7"/>
      <c r="E560" s="7"/>
      <c r="F560" s="7"/>
      <c r="G560" s="7"/>
      <c r="H560" s="7"/>
    </row>
    <row r="561" ht="15.75" customHeight="1">
      <c r="D561" s="7"/>
      <c r="E561" s="7"/>
      <c r="F561" s="7"/>
      <c r="G561" s="7"/>
      <c r="H561" s="7"/>
    </row>
    <row r="562" ht="15.75" customHeight="1">
      <c r="D562" s="7"/>
      <c r="E562" s="7"/>
      <c r="F562" s="7"/>
      <c r="G562" s="7"/>
      <c r="H562" s="7"/>
    </row>
    <row r="563" ht="15.75" customHeight="1">
      <c r="D563" s="7"/>
      <c r="E563" s="7"/>
      <c r="F563" s="7"/>
      <c r="G563" s="7"/>
      <c r="H563" s="7"/>
    </row>
    <row r="564" ht="15.75" customHeight="1">
      <c r="D564" s="7"/>
      <c r="E564" s="7"/>
      <c r="F564" s="7"/>
      <c r="G564" s="7"/>
      <c r="H564" s="7"/>
    </row>
    <row r="565" ht="15.75" customHeight="1">
      <c r="D565" s="7"/>
      <c r="E565" s="7"/>
      <c r="F565" s="7"/>
      <c r="G565" s="7"/>
      <c r="H565" s="7"/>
    </row>
    <row r="566" ht="15.75" customHeight="1">
      <c r="D566" s="7"/>
      <c r="E566" s="7"/>
      <c r="F566" s="7"/>
      <c r="G566" s="7"/>
      <c r="H566" s="7"/>
    </row>
    <row r="567" ht="15.75" customHeight="1">
      <c r="D567" s="7"/>
      <c r="E567" s="7"/>
      <c r="F567" s="7"/>
      <c r="G567" s="7"/>
      <c r="H567" s="7"/>
    </row>
    <row r="568" ht="15.75" customHeight="1">
      <c r="D568" s="7"/>
      <c r="E568" s="7"/>
      <c r="F568" s="7"/>
      <c r="G568" s="7"/>
      <c r="H568" s="7"/>
    </row>
    <row r="569" ht="15.75" customHeight="1">
      <c r="D569" s="7"/>
      <c r="E569" s="7"/>
      <c r="F569" s="7"/>
      <c r="G569" s="7"/>
      <c r="H569" s="7"/>
    </row>
    <row r="570" ht="15.75" customHeight="1">
      <c r="D570" s="7"/>
      <c r="E570" s="7"/>
      <c r="F570" s="7"/>
      <c r="G570" s="7"/>
      <c r="H570" s="7"/>
    </row>
    <row r="571" ht="15.75" customHeight="1">
      <c r="D571" s="7"/>
      <c r="E571" s="7"/>
      <c r="F571" s="7"/>
      <c r="G571" s="7"/>
      <c r="H571" s="7"/>
    </row>
    <row r="572" ht="15.75" customHeight="1">
      <c r="D572" s="7"/>
      <c r="E572" s="7"/>
      <c r="F572" s="7"/>
      <c r="G572" s="7"/>
      <c r="H572" s="7"/>
    </row>
    <row r="573" ht="15.75" customHeight="1">
      <c r="D573" s="7"/>
      <c r="E573" s="7"/>
      <c r="F573" s="7"/>
      <c r="G573" s="7"/>
      <c r="H573" s="7"/>
    </row>
    <row r="574" ht="15.75" customHeight="1">
      <c r="D574" s="7"/>
      <c r="E574" s="7"/>
      <c r="F574" s="7"/>
      <c r="G574" s="7"/>
      <c r="H574" s="7"/>
    </row>
    <row r="575" ht="15.75" customHeight="1">
      <c r="D575" s="7"/>
      <c r="E575" s="7"/>
      <c r="F575" s="7"/>
      <c r="G575" s="7"/>
      <c r="H575" s="7"/>
    </row>
    <row r="576" ht="15.75" customHeight="1">
      <c r="D576" s="7"/>
      <c r="E576" s="7"/>
      <c r="F576" s="7"/>
      <c r="G576" s="7"/>
      <c r="H576" s="7"/>
    </row>
    <row r="577" ht="15.75" customHeight="1">
      <c r="D577" s="7"/>
      <c r="E577" s="7"/>
      <c r="F577" s="7"/>
      <c r="G577" s="7"/>
      <c r="H577" s="7"/>
    </row>
    <row r="578" ht="15.75" customHeight="1">
      <c r="D578" s="7"/>
      <c r="E578" s="7"/>
      <c r="F578" s="7"/>
      <c r="G578" s="7"/>
      <c r="H578" s="7"/>
    </row>
    <row r="579" ht="15.75" customHeight="1">
      <c r="D579" s="7"/>
      <c r="E579" s="7"/>
      <c r="F579" s="7"/>
      <c r="G579" s="7"/>
      <c r="H579" s="7"/>
    </row>
    <row r="580" ht="15.75" customHeight="1">
      <c r="D580" s="7"/>
      <c r="E580" s="7"/>
      <c r="F580" s="7"/>
      <c r="G580" s="7"/>
      <c r="H580" s="7"/>
    </row>
    <row r="581" ht="15.75" customHeight="1">
      <c r="D581" s="7"/>
      <c r="E581" s="7"/>
      <c r="F581" s="7"/>
      <c r="G581" s="7"/>
      <c r="H581" s="7"/>
    </row>
    <row r="582" ht="15.75" customHeight="1">
      <c r="D582" s="7"/>
      <c r="E582" s="7"/>
      <c r="F582" s="7"/>
      <c r="G582" s="7"/>
      <c r="H582" s="7"/>
    </row>
    <row r="583" ht="15.75" customHeight="1">
      <c r="D583" s="7"/>
      <c r="E583" s="7"/>
      <c r="F583" s="7"/>
      <c r="G583" s="7"/>
      <c r="H583" s="7"/>
    </row>
    <row r="584" ht="15.75" customHeight="1">
      <c r="D584" s="7"/>
      <c r="E584" s="7"/>
      <c r="F584" s="7"/>
      <c r="G584" s="7"/>
      <c r="H584" s="7"/>
    </row>
    <row r="585" ht="15.75" customHeight="1">
      <c r="D585" s="7"/>
      <c r="E585" s="7"/>
      <c r="F585" s="7"/>
      <c r="G585" s="7"/>
      <c r="H585" s="7"/>
    </row>
    <row r="586" ht="15.75" customHeight="1">
      <c r="D586" s="7"/>
      <c r="E586" s="7"/>
      <c r="F586" s="7"/>
      <c r="G586" s="7"/>
      <c r="H586" s="7"/>
    </row>
    <row r="587" ht="15.75" customHeight="1">
      <c r="D587" s="7"/>
      <c r="E587" s="7"/>
      <c r="F587" s="7"/>
      <c r="G587" s="7"/>
      <c r="H587" s="7"/>
    </row>
    <row r="588" ht="15.75" customHeight="1">
      <c r="D588" s="7"/>
      <c r="E588" s="7"/>
      <c r="F588" s="7"/>
      <c r="G588" s="7"/>
      <c r="H588" s="7"/>
    </row>
    <row r="589" ht="15.75" customHeight="1">
      <c r="D589" s="7"/>
      <c r="E589" s="7"/>
      <c r="F589" s="7"/>
      <c r="G589" s="7"/>
      <c r="H589" s="7"/>
    </row>
    <row r="590" ht="15.75" customHeight="1">
      <c r="D590" s="7"/>
      <c r="E590" s="7"/>
      <c r="F590" s="7"/>
      <c r="G590" s="7"/>
      <c r="H590" s="7"/>
    </row>
    <row r="591" ht="15.75" customHeight="1">
      <c r="D591" s="7"/>
      <c r="E591" s="7"/>
      <c r="F591" s="7"/>
      <c r="G591" s="7"/>
      <c r="H591" s="7"/>
    </row>
    <row r="592" ht="15.75" customHeight="1">
      <c r="D592" s="7"/>
      <c r="E592" s="7"/>
      <c r="F592" s="7"/>
      <c r="G592" s="7"/>
      <c r="H592" s="7"/>
    </row>
    <row r="593" ht="15.75" customHeight="1">
      <c r="D593" s="7"/>
      <c r="E593" s="7"/>
      <c r="F593" s="7"/>
      <c r="G593" s="7"/>
      <c r="H593" s="7"/>
    </row>
    <row r="594" ht="15.75" customHeight="1">
      <c r="D594" s="7"/>
      <c r="E594" s="7"/>
      <c r="F594" s="7"/>
      <c r="G594" s="7"/>
      <c r="H594" s="7"/>
    </row>
    <row r="595" ht="15.75" customHeight="1">
      <c r="D595" s="7"/>
      <c r="E595" s="7"/>
      <c r="F595" s="7"/>
      <c r="G595" s="7"/>
      <c r="H595" s="7"/>
    </row>
    <row r="596" ht="15.75" customHeight="1">
      <c r="D596" s="7"/>
      <c r="E596" s="7"/>
      <c r="F596" s="7"/>
      <c r="G596" s="7"/>
      <c r="H596" s="7"/>
    </row>
    <row r="597" ht="15.75" customHeight="1">
      <c r="D597" s="7"/>
      <c r="E597" s="7"/>
      <c r="F597" s="7"/>
      <c r="G597" s="7"/>
      <c r="H597" s="7"/>
    </row>
    <row r="598" ht="15.75" customHeight="1">
      <c r="D598" s="7"/>
      <c r="E598" s="7"/>
      <c r="F598" s="7"/>
      <c r="G598" s="7"/>
      <c r="H598" s="7"/>
    </row>
    <row r="599" ht="15.75" customHeight="1">
      <c r="D599" s="7"/>
      <c r="E599" s="7"/>
      <c r="F599" s="7"/>
      <c r="G599" s="7"/>
      <c r="H599" s="7"/>
    </row>
    <row r="600" ht="15.75" customHeight="1">
      <c r="D600" s="7"/>
      <c r="E600" s="7"/>
      <c r="F600" s="7"/>
      <c r="G600" s="7"/>
      <c r="H600" s="7"/>
    </row>
    <row r="601" ht="15.75" customHeight="1">
      <c r="D601" s="7"/>
      <c r="E601" s="7"/>
      <c r="F601" s="7"/>
      <c r="G601" s="7"/>
      <c r="H601" s="7"/>
    </row>
    <row r="602" ht="15.75" customHeight="1">
      <c r="D602" s="7"/>
      <c r="E602" s="7"/>
      <c r="F602" s="7"/>
      <c r="G602" s="7"/>
      <c r="H602" s="7"/>
    </row>
    <row r="603" ht="15.75" customHeight="1">
      <c r="D603" s="7"/>
      <c r="E603" s="7"/>
      <c r="F603" s="7"/>
      <c r="G603" s="7"/>
      <c r="H603" s="7"/>
    </row>
    <row r="604" ht="15.75" customHeight="1">
      <c r="D604" s="7"/>
      <c r="E604" s="7"/>
      <c r="F604" s="7"/>
      <c r="G604" s="7"/>
      <c r="H604" s="7"/>
    </row>
    <row r="605" ht="15.75" customHeight="1">
      <c r="D605" s="7"/>
      <c r="E605" s="7"/>
      <c r="F605" s="7"/>
      <c r="G605" s="7"/>
      <c r="H605" s="7"/>
    </row>
    <row r="606" ht="15.75" customHeight="1">
      <c r="D606" s="7"/>
      <c r="E606" s="7"/>
      <c r="F606" s="7"/>
      <c r="G606" s="7"/>
      <c r="H606" s="7"/>
    </row>
    <row r="607" ht="15.75" customHeight="1">
      <c r="D607" s="7"/>
      <c r="E607" s="7"/>
      <c r="F607" s="7"/>
      <c r="G607" s="7"/>
      <c r="H607" s="7"/>
    </row>
    <row r="608" ht="15.75" customHeight="1">
      <c r="D608" s="7"/>
      <c r="E608" s="7"/>
      <c r="F608" s="7"/>
      <c r="G608" s="7"/>
      <c r="H608" s="7"/>
    </row>
    <row r="609" ht="15.75" customHeight="1">
      <c r="D609" s="7"/>
      <c r="E609" s="7"/>
      <c r="F609" s="7"/>
      <c r="G609" s="7"/>
      <c r="H609" s="7"/>
    </row>
    <row r="610" ht="15.75" customHeight="1">
      <c r="D610" s="7"/>
      <c r="E610" s="7"/>
      <c r="F610" s="7"/>
      <c r="G610" s="7"/>
      <c r="H610" s="7"/>
    </row>
    <row r="611" ht="15.75" customHeight="1">
      <c r="D611" s="7"/>
      <c r="E611" s="7"/>
      <c r="F611" s="7"/>
      <c r="G611" s="7"/>
      <c r="H611" s="7"/>
    </row>
    <row r="612" ht="15.75" customHeight="1">
      <c r="D612" s="7"/>
      <c r="E612" s="7"/>
      <c r="F612" s="7"/>
      <c r="G612" s="7"/>
      <c r="H612" s="7"/>
    </row>
    <row r="613" ht="15.75" customHeight="1">
      <c r="D613" s="7"/>
      <c r="E613" s="7"/>
      <c r="F613" s="7"/>
      <c r="G613" s="7"/>
      <c r="H613" s="7"/>
    </row>
    <row r="614" ht="15.75" customHeight="1">
      <c r="D614" s="7"/>
      <c r="E614" s="7"/>
      <c r="F614" s="7"/>
      <c r="G614" s="7"/>
      <c r="H614" s="7"/>
    </row>
    <row r="615" ht="15.75" customHeight="1">
      <c r="D615" s="7"/>
      <c r="E615" s="7"/>
      <c r="F615" s="7"/>
      <c r="G615" s="7"/>
      <c r="H615" s="7"/>
    </row>
    <row r="616" ht="15.75" customHeight="1">
      <c r="D616" s="7"/>
      <c r="E616" s="7"/>
      <c r="F616" s="7"/>
      <c r="G616" s="7"/>
      <c r="H616" s="7"/>
    </row>
    <row r="617" ht="15.75" customHeight="1">
      <c r="D617" s="7"/>
      <c r="E617" s="7"/>
      <c r="F617" s="7"/>
      <c r="G617" s="7"/>
      <c r="H617" s="7"/>
    </row>
    <row r="618" ht="15.75" customHeight="1">
      <c r="D618" s="7"/>
      <c r="E618" s="7"/>
      <c r="F618" s="7"/>
      <c r="G618" s="7"/>
      <c r="H618" s="7"/>
    </row>
    <row r="619" ht="15.75" customHeight="1">
      <c r="D619" s="7"/>
      <c r="E619" s="7"/>
      <c r="F619" s="7"/>
      <c r="G619" s="7"/>
      <c r="H619" s="7"/>
    </row>
    <row r="620" ht="15.75" customHeight="1">
      <c r="D620" s="7"/>
      <c r="E620" s="7"/>
      <c r="F620" s="7"/>
      <c r="G620" s="7"/>
      <c r="H620" s="7"/>
    </row>
    <row r="621" ht="15.75" customHeight="1">
      <c r="D621" s="7"/>
      <c r="E621" s="7"/>
      <c r="F621" s="7"/>
      <c r="G621" s="7"/>
      <c r="H621" s="7"/>
    </row>
    <row r="622" ht="15.75" customHeight="1">
      <c r="D622" s="7"/>
      <c r="E622" s="7"/>
      <c r="F622" s="7"/>
      <c r="G622" s="7"/>
      <c r="H622" s="7"/>
    </row>
    <row r="623" ht="15.75" customHeight="1">
      <c r="D623" s="7"/>
      <c r="E623" s="7"/>
      <c r="F623" s="7"/>
      <c r="G623" s="7"/>
      <c r="H623" s="7"/>
    </row>
    <row r="624" ht="15.75" customHeight="1">
      <c r="D624" s="7"/>
      <c r="E624" s="7"/>
      <c r="F624" s="7"/>
      <c r="G624" s="7"/>
      <c r="H624" s="7"/>
    </row>
    <row r="625" ht="15.75" customHeight="1">
      <c r="D625" s="7"/>
      <c r="E625" s="7"/>
      <c r="F625" s="7"/>
      <c r="G625" s="7"/>
      <c r="H625" s="7"/>
    </row>
    <row r="626" ht="15.75" customHeight="1">
      <c r="D626" s="7"/>
      <c r="E626" s="7"/>
      <c r="F626" s="7"/>
      <c r="G626" s="7"/>
      <c r="H626" s="7"/>
    </row>
    <row r="627" ht="15.75" customHeight="1">
      <c r="D627" s="7"/>
      <c r="E627" s="7"/>
      <c r="F627" s="7"/>
      <c r="G627" s="7"/>
      <c r="H627" s="7"/>
    </row>
    <row r="628" ht="15.75" customHeight="1">
      <c r="D628" s="7"/>
      <c r="E628" s="7"/>
      <c r="F628" s="7"/>
      <c r="G628" s="7"/>
      <c r="H628" s="7"/>
    </row>
    <row r="629" ht="15.75" customHeight="1">
      <c r="D629" s="7"/>
      <c r="E629" s="7"/>
      <c r="F629" s="7"/>
      <c r="G629" s="7"/>
      <c r="H629" s="7"/>
    </row>
    <row r="630" ht="15.75" customHeight="1">
      <c r="D630" s="7"/>
      <c r="E630" s="7"/>
      <c r="F630" s="7"/>
      <c r="G630" s="7"/>
      <c r="H630" s="7"/>
    </row>
    <row r="631" ht="15.75" customHeight="1">
      <c r="D631" s="7"/>
      <c r="E631" s="7"/>
      <c r="F631" s="7"/>
      <c r="G631" s="7"/>
      <c r="H631" s="7"/>
    </row>
    <row r="632" ht="15.75" customHeight="1">
      <c r="D632" s="7"/>
      <c r="E632" s="7"/>
      <c r="F632" s="7"/>
      <c r="G632" s="7"/>
      <c r="H632" s="7"/>
    </row>
    <row r="633" ht="15.75" customHeight="1">
      <c r="D633" s="7"/>
      <c r="E633" s="7"/>
      <c r="F633" s="7"/>
      <c r="G633" s="7"/>
      <c r="H633" s="7"/>
    </row>
    <row r="634" ht="15.75" customHeight="1">
      <c r="D634" s="7"/>
      <c r="E634" s="7"/>
      <c r="F634" s="7"/>
      <c r="G634" s="7"/>
      <c r="H634" s="7"/>
    </row>
    <row r="635" ht="15.75" customHeight="1">
      <c r="D635" s="7"/>
      <c r="E635" s="7"/>
      <c r="F635" s="7"/>
      <c r="G635" s="7"/>
      <c r="H635" s="7"/>
    </row>
    <row r="636" ht="15.75" customHeight="1">
      <c r="D636" s="7"/>
      <c r="E636" s="7"/>
      <c r="F636" s="7"/>
      <c r="G636" s="7"/>
      <c r="H636" s="7"/>
    </row>
    <row r="637" ht="15.75" customHeight="1">
      <c r="D637" s="7"/>
      <c r="E637" s="7"/>
      <c r="F637" s="7"/>
      <c r="G637" s="7"/>
      <c r="H637" s="7"/>
    </row>
    <row r="638" ht="15.75" customHeight="1">
      <c r="D638" s="7"/>
      <c r="E638" s="7"/>
      <c r="F638" s="7"/>
      <c r="G638" s="7"/>
      <c r="H638" s="7"/>
    </row>
    <row r="639" ht="15.75" customHeight="1">
      <c r="D639" s="7"/>
      <c r="E639" s="7"/>
      <c r="F639" s="7"/>
      <c r="G639" s="7"/>
      <c r="H639" s="7"/>
    </row>
    <row r="640" ht="15.75" customHeight="1">
      <c r="D640" s="7"/>
      <c r="E640" s="7"/>
      <c r="F640" s="7"/>
      <c r="G640" s="7"/>
      <c r="H640" s="7"/>
    </row>
    <row r="641" ht="15.75" customHeight="1">
      <c r="D641" s="7"/>
      <c r="E641" s="7"/>
      <c r="F641" s="7"/>
      <c r="G641" s="7"/>
      <c r="H641" s="7"/>
    </row>
    <row r="642" ht="15.75" customHeight="1">
      <c r="D642" s="7"/>
      <c r="E642" s="7"/>
      <c r="F642" s="7"/>
      <c r="G642" s="7"/>
      <c r="H642" s="7"/>
    </row>
    <row r="643" ht="15.75" customHeight="1">
      <c r="D643" s="7"/>
      <c r="E643" s="7"/>
      <c r="F643" s="7"/>
      <c r="G643" s="7"/>
      <c r="H643" s="7"/>
    </row>
    <row r="644" ht="15.75" customHeight="1">
      <c r="D644" s="7"/>
      <c r="E644" s="7"/>
      <c r="F644" s="7"/>
      <c r="G644" s="7"/>
      <c r="H644" s="7"/>
    </row>
    <row r="645" ht="15.75" customHeight="1">
      <c r="D645" s="7"/>
      <c r="E645" s="7"/>
      <c r="F645" s="7"/>
      <c r="G645" s="7"/>
      <c r="H645" s="7"/>
    </row>
    <row r="646" ht="15.75" customHeight="1">
      <c r="D646" s="7"/>
      <c r="E646" s="7"/>
      <c r="F646" s="7"/>
      <c r="G646" s="7"/>
      <c r="H646" s="7"/>
    </row>
    <row r="647" ht="15.75" customHeight="1">
      <c r="D647" s="7"/>
      <c r="E647" s="7"/>
      <c r="F647" s="7"/>
      <c r="G647" s="7"/>
      <c r="H647" s="7"/>
    </row>
    <row r="648" ht="15.75" customHeight="1">
      <c r="D648" s="7"/>
      <c r="E648" s="7"/>
      <c r="F648" s="7"/>
      <c r="G648" s="7"/>
      <c r="H648" s="7"/>
    </row>
    <row r="649" ht="15.75" customHeight="1">
      <c r="D649" s="7"/>
      <c r="E649" s="7"/>
      <c r="F649" s="7"/>
      <c r="G649" s="7"/>
      <c r="H649" s="7"/>
    </row>
    <row r="650" ht="15.75" customHeight="1">
      <c r="D650" s="7"/>
      <c r="E650" s="7"/>
      <c r="F650" s="7"/>
      <c r="G650" s="7"/>
      <c r="H650" s="7"/>
    </row>
    <row r="651" ht="15.75" customHeight="1">
      <c r="D651" s="7"/>
      <c r="E651" s="7"/>
      <c r="F651" s="7"/>
      <c r="G651" s="7"/>
      <c r="H651" s="7"/>
    </row>
    <row r="652" ht="15.75" customHeight="1">
      <c r="D652" s="7"/>
      <c r="E652" s="7"/>
      <c r="F652" s="7"/>
      <c r="G652" s="7"/>
      <c r="H652" s="7"/>
    </row>
    <row r="653" ht="15.75" customHeight="1">
      <c r="D653" s="7"/>
      <c r="E653" s="7"/>
      <c r="F653" s="7"/>
      <c r="G653" s="7"/>
      <c r="H653" s="7"/>
    </row>
    <row r="654" ht="15.75" customHeight="1">
      <c r="D654" s="7"/>
      <c r="E654" s="7"/>
      <c r="F654" s="7"/>
      <c r="G654" s="7"/>
      <c r="H654" s="7"/>
    </row>
    <row r="655" ht="15.75" customHeight="1">
      <c r="D655" s="7"/>
      <c r="E655" s="7"/>
      <c r="F655" s="7"/>
      <c r="G655" s="7"/>
      <c r="H655" s="7"/>
    </row>
    <row r="656" ht="15.75" customHeight="1">
      <c r="D656" s="7"/>
      <c r="E656" s="7"/>
      <c r="F656" s="7"/>
      <c r="G656" s="7"/>
      <c r="H656" s="7"/>
    </row>
    <row r="657" ht="15.75" customHeight="1">
      <c r="D657" s="7"/>
      <c r="E657" s="7"/>
      <c r="F657" s="7"/>
      <c r="G657" s="7"/>
      <c r="H657" s="7"/>
    </row>
    <row r="658" ht="15.75" customHeight="1">
      <c r="D658" s="7"/>
      <c r="E658" s="7"/>
      <c r="F658" s="7"/>
      <c r="G658" s="7"/>
      <c r="H658" s="7"/>
    </row>
    <row r="659" ht="15.75" customHeight="1">
      <c r="D659" s="7"/>
      <c r="E659" s="7"/>
      <c r="F659" s="7"/>
      <c r="G659" s="7"/>
      <c r="H659" s="7"/>
    </row>
    <row r="660" ht="15.75" customHeight="1">
      <c r="D660" s="7"/>
      <c r="E660" s="7"/>
      <c r="F660" s="7"/>
      <c r="G660" s="7"/>
      <c r="H660" s="7"/>
    </row>
    <row r="661" ht="15.75" customHeight="1">
      <c r="D661" s="7"/>
      <c r="E661" s="7"/>
      <c r="F661" s="7"/>
      <c r="G661" s="7"/>
      <c r="H661" s="7"/>
    </row>
    <row r="662" ht="15.75" customHeight="1">
      <c r="D662" s="7"/>
      <c r="E662" s="7"/>
      <c r="F662" s="7"/>
      <c r="G662" s="7"/>
      <c r="H662" s="7"/>
    </row>
    <row r="663" ht="15.75" customHeight="1">
      <c r="D663" s="7"/>
      <c r="E663" s="7"/>
      <c r="F663" s="7"/>
      <c r="G663" s="7"/>
      <c r="H663" s="7"/>
    </row>
    <row r="664" ht="15.75" customHeight="1">
      <c r="D664" s="7"/>
      <c r="E664" s="7"/>
      <c r="F664" s="7"/>
      <c r="G664" s="7"/>
      <c r="H664" s="7"/>
    </row>
    <row r="665" ht="15.75" customHeight="1">
      <c r="D665" s="7"/>
      <c r="E665" s="7"/>
      <c r="F665" s="7"/>
      <c r="G665" s="7"/>
      <c r="H665" s="7"/>
    </row>
    <row r="666" ht="15.75" customHeight="1">
      <c r="D666" s="7"/>
      <c r="E666" s="7"/>
      <c r="F666" s="7"/>
      <c r="G666" s="7"/>
      <c r="H666" s="7"/>
    </row>
    <row r="667" ht="15.75" customHeight="1">
      <c r="D667" s="7"/>
      <c r="E667" s="7"/>
      <c r="F667" s="7"/>
      <c r="G667" s="7"/>
      <c r="H667" s="7"/>
    </row>
    <row r="668" ht="15.75" customHeight="1">
      <c r="D668" s="7"/>
      <c r="E668" s="7"/>
      <c r="F668" s="7"/>
      <c r="G668" s="7"/>
      <c r="H668" s="7"/>
    </row>
    <row r="669" ht="15.75" customHeight="1">
      <c r="D669" s="7"/>
      <c r="E669" s="7"/>
      <c r="F669" s="7"/>
      <c r="G669" s="7"/>
      <c r="H669" s="7"/>
    </row>
    <row r="670" ht="15.75" customHeight="1">
      <c r="D670" s="7"/>
      <c r="E670" s="7"/>
      <c r="F670" s="7"/>
      <c r="G670" s="7"/>
      <c r="H670" s="7"/>
    </row>
    <row r="671" ht="15.75" customHeight="1">
      <c r="D671" s="7"/>
      <c r="E671" s="7"/>
      <c r="F671" s="7"/>
      <c r="G671" s="7"/>
      <c r="H671" s="7"/>
    </row>
    <row r="672" ht="15.75" customHeight="1">
      <c r="D672" s="7"/>
      <c r="E672" s="7"/>
      <c r="F672" s="7"/>
      <c r="G672" s="7"/>
      <c r="H672" s="7"/>
    </row>
    <row r="673" ht="15.75" customHeight="1">
      <c r="D673" s="7"/>
      <c r="E673" s="7"/>
      <c r="F673" s="7"/>
      <c r="G673" s="7"/>
      <c r="H673" s="7"/>
    </row>
    <row r="674" ht="15.75" customHeight="1">
      <c r="D674" s="7"/>
      <c r="E674" s="7"/>
      <c r="F674" s="7"/>
      <c r="G674" s="7"/>
      <c r="H674" s="7"/>
    </row>
    <row r="675" ht="15.75" customHeight="1">
      <c r="D675" s="7"/>
      <c r="E675" s="7"/>
      <c r="F675" s="7"/>
      <c r="G675" s="7"/>
      <c r="H675" s="7"/>
    </row>
    <row r="676" ht="15.75" customHeight="1">
      <c r="D676" s="7"/>
      <c r="E676" s="7"/>
      <c r="F676" s="7"/>
      <c r="G676" s="7"/>
      <c r="H676" s="7"/>
    </row>
    <row r="677" ht="15.75" customHeight="1">
      <c r="D677" s="7"/>
      <c r="E677" s="7"/>
      <c r="F677" s="7"/>
      <c r="G677" s="7"/>
      <c r="H677" s="7"/>
    </row>
    <row r="678" ht="15.75" customHeight="1">
      <c r="D678" s="7"/>
      <c r="E678" s="7"/>
      <c r="F678" s="7"/>
      <c r="G678" s="7"/>
      <c r="H678" s="7"/>
    </row>
    <row r="679" ht="15.75" customHeight="1">
      <c r="D679" s="7"/>
      <c r="E679" s="7"/>
      <c r="F679" s="7"/>
      <c r="G679" s="7"/>
      <c r="H679" s="7"/>
    </row>
    <row r="680" ht="15.75" customHeight="1">
      <c r="D680" s="7"/>
      <c r="E680" s="7"/>
      <c r="F680" s="7"/>
      <c r="G680" s="7"/>
      <c r="H680" s="7"/>
    </row>
    <row r="681" ht="15.75" customHeight="1">
      <c r="D681" s="7"/>
      <c r="E681" s="7"/>
      <c r="F681" s="7"/>
      <c r="G681" s="7"/>
      <c r="H681" s="7"/>
    </row>
    <row r="682" ht="15.75" customHeight="1">
      <c r="D682" s="7"/>
      <c r="E682" s="7"/>
      <c r="F682" s="7"/>
      <c r="G682" s="7"/>
      <c r="H682" s="7"/>
    </row>
    <row r="683" ht="15.75" customHeight="1">
      <c r="D683" s="7"/>
      <c r="E683" s="7"/>
      <c r="F683" s="7"/>
      <c r="G683" s="7"/>
      <c r="H683" s="7"/>
    </row>
    <row r="684" ht="15.75" customHeight="1">
      <c r="D684" s="7"/>
      <c r="E684" s="7"/>
      <c r="F684" s="7"/>
      <c r="G684" s="7"/>
      <c r="H684" s="7"/>
    </row>
    <row r="685" ht="15.75" customHeight="1">
      <c r="D685" s="7"/>
      <c r="E685" s="7"/>
      <c r="F685" s="7"/>
      <c r="G685" s="7"/>
      <c r="H685" s="7"/>
    </row>
    <row r="686" ht="15.75" customHeight="1">
      <c r="D686" s="7"/>
      <c r="E686" s="7"/>
      <c r="F686" s="7"/>
      <c r="G686" s="7"/>
      <c r="H686" s="7"/>
    </row>
    <row r="687" ht="15.75" customHeight="1">
      <c r="D687" s="7"/>
      <c r="E687" s="7"/>
      <c r="F687" s="7"/>
      <c r="G687" s="7"/>
      <c r="H687" s="7"/>
    </row>
    <row r="688" ht="15.75" customHeight="1">
      <c r="D688" s="7"/>
      <c r="E688" s="7"/>
      <c r="F688" s="7"/>
      <c r="G688" s="7"/>
      <c r="H688" s="7"/>
    </row>
    <row r="689" ht="15.75" customHeight="1">
      <c r="D689" s="7"/>
      <c r="E689" s="7"/>
      <c r="F689" s="7"/>
      <c r="G689" s="7"/>
      <c r="H689" s="7"/>
    </row>
    <row r="690" ht="15.75" customHeight="1">
      <c r="D690" s="7"/>
      <c r="E690" s="7"/>
      <c r="F690" s="7"/>
      <c r="G690" s="7"/>
      <c r="H690" s="7"/>
    </row>
    <row r="691" ht="15.75" customHeight="1">
      <c r="D691" s="7"/>
      <c r="E691" s="7"/>
      <c r="F691" s="7"/>
      <c r="G691" s="7"/>
      <c r="H691" s="7"/>
    </row>
    <row r="692" ht="15.75" customHeight="1">
      <c r="D692" s="7"/>
      <c r="E692" s="7"/>
      <c r="F692" s="7"/>
      <c r="G692" s="7"/>
      <c r="H692" s="7"/>
    </row>
    <row r="693" ht="15.75" customHeight="1">
      <c r="D693" s="7"/>
      <c r="E693" s="7"/>
      <c r="F693" s="7"/>
      <c r="G693" s="7"/>
      <c r="H693" s="7"/>
    </row>
    <row r="694" ht="15.75" customHeight="1">
      <c r="D694" s="7"/>
      <c r="E694" s="7"/>
      <c r="F694" s="7"/>
      <c r="G694" s="7"/>
      <c r="H694" s="7"/>
    </row>
    <row r="695" ht="15.75" customHeight="1">
      <c r="D695" s="7"/>
      <c r="E695" s="7"/>
      <c r="F695" s="7"/>
      <c r="G695" s="7"/>
      <c r="H695" s="7"/>
    </row>
    <row r="696" ht="15.75" customHeight="1">
      <c r="D696" s="7"/>
      <c r="E696" s="7"/>
      <c r="F696" s="7"/>
      <c r="G696" s="7"/>
      <c r="H696" s="7"/>
    </row>
    <row r="697" ht="15.75" customHeight="1">
      <c r="D697" s="7"/>
      <c r="E697" s="7"/>
      <c r="F697" s="7"/>
      <c r="G697" s="7"/>
      <c r="H697" s="7"/>
    </row>
    <row r="698" ht="15.75" customHeight="1">
      <c r="D698" s="7"/>
      <c r="E698" s="7"/>
      <c r="F698" s="7"/>
      <c r="G698" s="7"/>
      <c r="H698" s="7"/>
    </row>
    <row r="699" ht="15.75" customHeight="1">
      <c r="D699" s="7"/>
      <c r="E699" s="7"/>
      <c r="F699" s="7"/>
      <c r="G699" s="7"/>
      <c r="H699" s="7"/>
    </row>
    <row r="700" ht="15.75" customHeight="1">
      <c r="D700" s="7"/>
      <c r="E700" s="7"/>
      <c r="F700" s="7"/>
      <c r="G700" s="7"/>
      <c r="H700" s="7"/>
    </row>
    <row r="701" ht="15.75" customHeight="1">
      <c r="D701" s="7"/>
      <c r="E701" s="7"/>
      <c r="F701" s="7"/>
      <c r="G701" s="7"/>
      <c r="H701" s="7"/>
    </row>
    <row r="702" ht="15.75" customHeight="1">
      <c r="D702" s="7"/>
      <c r="E702" s="7"/>
      <c r="F702" s="7"/>
      <c r="G702" s="7"/>
      <c r="H702" s="7"/>
    </row>
    <row r="703" ht="15.75" customHeight="1">
      <c r="D703" s="7"/>
      <c r="E703" s="7"/>
      <c r="F703" s="7"/>
      <c r="G703" s="7"/>
      <c r="H703" s="7"/>
    </row>
    <row r="704" ht="15.75" customHeight="1">
      <c r="D704" s="7"/>
      <c r="E704" s="7"/>
      <c r="F704" s="7"/>
      <c r="G704" s="7"/>
      <c r="H704" s="7"/>
    </row>
    <row r="705" ht="15.75" customHeight="1">
      <c r="D705" s="7"/>
      <c r="E705" s="7"/>
      <c r="F705" s="7"/>
      <c r="G705" s="7"/>
      <c r="H705" s="7"/>
    </row>
    <row r="706" ht="15.75" customHeight="1">
      <c r="D706" s="7"/>
      <c r="E706" s="7"/>
      <c r="F706" s="7"/>
      <c r="G706" s="7"/>
      <c r="H706" s="7"/>
    </row>
    <row r="707" ht="15.75" customHeight="1">
      <c r="D707" s="7"/>
      <c r="E707" s="7"/>
      <c r="F707" s="7"/>
      <c r="G707" s="7"/>
      <c r="H707" s="7"/>
    </row>
    <row r="708" ht="15.75" customHeight="1">
      <c r="D708" s="7"/>
      <c r="E708" s="7"/>
      <c r="F708" s="7"/>
      <c r="G708" s="7"/>
      <c r="H708" s="7"/>
    </row>
    <row r="709" ht="15.75" customHeight="1">
      <c r="D709" s="7"/>
      <c r="E709" s="7"/>
      <c r="F709" s="7"/>
      <c r="G709" s="7"/>
      <c r="H709" s="7"/>
    </row>
    <row r="710" ht="15.75" customHeight="1">
      <c r="D710" s="7"/>
      <c r="E710" s="7"/>
      <c r="F710" s="7"/>
      <c r="G710" s="7"/>
      <c r="H710" s="7"/>
    </row>
    <row r="711" ht="15.75" customHeight="1">
      <c r="D711" s="7"/>
      <c r="E711" s="7"/>
      <c r="F711" s="7"/>
      <c r="G711" s="7"/>
      <c r="H711" s="7"/>
    </row>
    <row r="712" ht="15.75" customHeight="1">
      <c r="D712" s="7"/>
      <c r="E712" s="7"/>
      <c r="F712" s="7"/>
      <c r="G712" s="7"/>
      <c r="H712" s="7"/>
    </row>
    <row r="713" ht="15.75" customHeight="1">
      <c r="D713" s="7"/>
      <c r="E713" s="7"/>
      <c r="F713" s="7"/>
      <c r="G713" s="7"/>
      <c r="H713" s="7"/>
    </row>
    <row r="714" ht="15.75" customHeight="1">
      <c r="D714" s="7"/>
      <c r="E714" s="7"/>
      <c r="F714" s="7"/>
      <c r="G714" s="7"/>
      <c r="H714" s="7"/>
    </row>
    <row r="715" ht="15.75" customHeight="1">
      <c r="D715" s="7"/>
      <c r="E715" s="7"/>
      <c r="F715" s="7"/>
      <c r="G715" s="7"/>
      <c r="H715" s="7"/>
    </row>
    <row r="716" ht="15.75" customHeight="1">
      <c r="D716" s="7"/>
      <c r="E716" s="7"/>
      <c r="F716" s="7"/>
      <c r="G716" s="7"/>
      <c r="H716" s="7"/>
    </row>
    <row r="717" ht="15.75" customHeight="1">
      <c r="D717" s="7"/>
      <c r="E717" s="7"/>
      <c r="F717" s="7"/>
      <c r="G717" s="7"/>
      <c r="H717" s="7"/>
    </row>
    <row r="718" ht="15.75" customHeight="1">
      <c r="D718" s="7"/>
      <c r="E718" s="7"/>
      <c r="F718" s="7"/>
      <c r="G718" s="7"/>
      <c r="H718" s="7"/>
    </row>
    <row r="719" ht="15.75" customHeight="1">
      <c r="D719" s="7"/>
      <c r="E719" s="7"/>
      <c r="F719" s="7"/>
      <c r="G719" s="7"/>
      <c r="H719" s="7"/>
    </row>
    <row r="720" ht="15.75" customHeight="1">
      <c r="D720" s="7"/>
      <c r="E720" s="7"/>
      <c r="F720" s="7"/>
      <c r="G720" s="7"/>
      <c r="H720" s="7"/>
    </row>
    <row r="721" ht="15.75" customHeight="1">
      <c r="D721" s="7"/>
      <c r="E721" s="7"/>
      <c r="F721" s="7"/>
      <c r="G721" s="7"/>
      <c r="H721" s="7"/>
    </row>
    <row r="722" ht="15.75" customHeight="1">
      <c r="D722" s="7"/>
      <c r="E722" s="7"/>
      <c r="F722" s="7"/>
      <c r="G722" s="7"/>
      <c r="H722" s="7"/>
    </row>
    <row r="723" ht="15.75" customHeight="1">
      <c r="D723" s="7"/>
      <c r="E723" s="7"/>
      <c r="F723" s="7"/>
      <c r="G723" s="7"/>
      <c r="H723" s="7"/>
    </row>
    <row r="724" ht="15.75" customHeight="1">
      <c r="D724" s="7"/>
      <c r="E724" s="7"/>
      <c r="F724" s="7"/>
      <c r="G724" s="7"/>
      <c r="H724" s="7"/>
    </row>
    <row r="725" ht="15.75" customHeight="1">
      <c r="D725" s="7"/>
      <c r="E725" s="7"/>
      <c r="F725" s="7"/>
      <c r="G725" s="7"/>
      <c r="H725" s="7"/>
    </row>
    <row r="726" ht="15.75" customHeight="1">
      <c r="D726" s="7"/>
      <c r="E726" s="7"/>
      <c r="F726" s="7"/>
      <c r="G726" s="7"/>
      <c r="H726" s="7"/>
    </row>
    <row r="727" ht="15.75" customHeight="1">
      <c r="D727" s="7"/>
      <c r="E727" s="7"/>
      <c r="F727" s="7"/>
      <c r="G727" s="7"/>
      <c r="H727" s="7"/>
    </row>
    <row r="728" ht="15.75" customHeight="1">
      <c r="D728" s="7"/>
      <c r="E728" s="7"/>
      <c r="F728" s="7"/>
      <c r="G728" s="7"/>
      <c r="H728" s="7"/>
    </row>
    <row r="729" ht="15.75" customHeight="1">
      <c r="D729" s="7"/>
      <c r="E729" s="7"/>
      <c r="F729" s="7"/>
      <c r="G729" s="7"/>
      <c r="H729" s="7"/>
    </row>
    <row r="730" ht="15.75" customHeight="1">
      <c r="D730" s="7"/>
      <c r="E730" s="7"/>
      <c r="F730" s="7"/>
      <c r="G730" s="7"/>
      <c r="H730" s="7"/>
    </row>
    <row r="731" ht="15.75" customHeight="1">
      <c r="D731" s="7"/>
      <c r="E731" s="7"/>
      <c r="F731" s="7"/>
      <c r="G731" s="7"/>
      <c r="H731" s="7"/>
    </row>
    <row r="732" ht="15.75" customHeight="1">
      <c r="D732" s="7"/>
      <c r="E732" s="7"/>
      <c r="F732" s="7"/>
      <c r="G732" s="7"/>
      <c r="H732" s="7"/>
    </row>
    <row r="733" ht="15.75" customHeight="1">
      <c r="D733" s="7"/>
      <c r="E733" s="7"/>
      <c r="F733" s="7"/>
      <c r="G733" s="7"/>
      <c r="H733" s="7"/>
    </row>
    <row r="734" ht="15.75" customHeight="1">
      <c r="D734" s="7"/>
      <c r="E734" s="7"/>
      <c r="F734" s="7"/>
      <c r="G734" s="7"/>
      <c r="H734" s="7"/>
    </row>
    <row r="735" ht="15.75" customHeight="1">
      <c r="D735" s="7"/>
      <c r="E735" s="7"/>
      <c r="F735" s="7"/>
      <c r="G735" s="7"/>
      <c r="H735" s="7"/>
    </row>
    <row r="736" ht="15.75" customHeight="1">
      <c r="D736" s="7"/>
      <c r="E736" s="7"/>
      <c r="F736" s="7"/>
      <c r="G736" s="7"/>
      <c r="H736" s="7"/>
    </row>
    <row r="737" ht="15.75" customHeight="1">
      <c r="D737" s="7"/>
      <c r="E737" s="7"/>
      <c r="F737" s="7"/>
      <c r="G737" s="7"/>
      <c r="H737" s="7"/>
    </row>
    <row r="738" ht="15.75" customHeight="1">
      <c r="D738" s="7"/>
      <c r="E738" s="7"/>
      <c r="F738" s="7"/>
      <c r="G738" s="7"/>
      <c r="H738" s="7"/>
    </row>
    <row r="739" ht="15.75" customHeight="1">
      <c r="D739" s="7"/>
      <c r="E739" s="7"/>
      <c r="F739" s="7"/>
      <c r="G739" s="7"/>
      <c r="H739" s="7"/>
    </row>
    <row r="740" ht="15.75" customHeight="1">
      <c r="D740" s="7"/>
      <c r="E740" s="7"/>
      <c r="F740" s="7"/>
      <c r="G740" s="7"/>
      <c r="H740" s="7"/>
    </row>
    <row r="741" ht="15.75" customHeight="1">
      <c r="D741" s="7"/>
      <c r="E741" s="7"/>
      <c r="F741" s="7"/>
      <c r="G741" s="7"/>
      <c r="H741" s="7"/>
    </row>
    <row r="742" ht="15.75" customHeight="1">
      <c r="D742" s="7"/>
      <c r="E742" s="7"/>
      <c r="F742" s="7"/>
      <c r="G742" s="7"/>
      <c r="H742" s="7"/>
    </row>
    <row r="743" ht="15.75" customHeight="1">
      <c r="D743" s="7"/>
      <c r="E743" s="7"/>
      <c r="F743" s="7"/>
      <c r="G743" s="7"/>
      <c r="H743" s="7"/>
    </row>
    <row r="744" ht="15.75" customHeight="1">
      <c r="D744" s="7"/>
      <c r="E744" s="7"/>
      <c r="F744" s="7"/>
      <c r="G744" s="7"/>
      <c r="H744" s="7"/>
    </row>
    <row r="745" ht="15.75" customHeight="1">
      <c r="D745" s="7"/>
      <c r="E745" s="7"/>
      <c r="F745" s="7"/>
      <c r="G745" s="7"/>
      <c r="H745" s="7"/>
    </row>
    <row r="746" ht="15.75" customHeight="1">
      <c r="D746" s="7"/>
      <c r="E746" s="7"/>
      <c r="F746" s="7"/>
      <c r="G746" s="7"/>
      <c r="H746" s="7"/>
    </row>
    <row r="747" ht="15.75" customHeight="1">
      <c r="D747" s="7"/>
      <c r="E747" s="7"/>
      <c r="F747" s="7"/>
      <c r="G747" s="7"/>
      <c r="H747" s="7"/>
    </row>
    <row r="748" ht="15.75" customHeight="1">
      <c r="D748" s="7"/>
      <c r="E748" s="7"/>
      <c r="F748" s="7"/>
      <c r="G748" s="7"/>
      <c r="H748" s="7"/>
    </row>
    <row r="749" ht="15.75" customHeight="1">
      <c r="D749" s="7"/>
      <c r="E749" s="7"/>
      <c r="F749" s="7"/>
      <c r="G749" s="7"/>
      <c r="H749" s="7"/>
    </row>
    <row r="750" ht="15.75" customHeight="1">
      <c r="D750" s="7"/>
      <c r="E750" s="7"/>
      <c r="F750" s="7"/>
      <c r="G750" s="7"/>
      <c r="H750" s="7"/>
    </row>
    <row r="751" ht="15.75" customHeight="1">
      <c r="D751" s="7"/>
      <c r="E751" s="7"/>
      <c r="F751" s="7"/>
      <c r="G751" s="7"/>
      <c r="H751" s="7"/>
    </row>
    <row r="752" ht="15.75" customHeight="1">
      <c r="D752" s="7"/>
      <c r="E752" s="7"/>
      <c r="F752" s="7"/>
      <c r="G752" s="7"/>
      <c r="H752" s="7"/>
    </row>
    <row r="753" ht="15.75" customHeight="1">
      <c r="D753" s="7"/>
      <c r="E753" s="7"/>
      <c r="F753" s="7"/>
      <c r="G753" s="7"/>
      <c r="H753" s="7"/>
    </row>
    <row r="754" ht="15.75" customHeight="1">
      <c r="D754" s="7"/>
      <c r="E754" s="7"/>
      <c r="F754" s="7"/>
      <c r="G754" s="7"/>
      <c r="H754" s="7"/>
    </row>
    <row r="755" ht="15.75" customHeight="1">
      <c r="D755" s="7"/>
      <c r="E755" s="7"/>
      <c r="F755" s="7"/>
      <c r="G755" s="7"/>
      <c r="H755" s="7"/>
    </row>
    <row r="756" ht="15.75" customHeight="1">
      <c r="D756" s="7"/>
      <c r="E756" s="7"/>
      <c r="F756" s="7"/>
      <c r="G756" s="7"/>
      <c r="H756" s="7"/>
    </row>
    <row r="757" ht="15.75" customHeight="1">
      <c r="D757" s="7"/>
      <c r="E757" s="7"/>
      <c r="F757" s="7"/>
      <c r="G757" s="7"/>
      <c r="H757" s="7"/>
    </row>
    <row r="758" ht="15.75" customHeight="1">
      <c r="D758" s="7"/>
      <c r="E758" s="7"/>
      <c r="F758" s="7"/>
      <c r="G758" s="7"/>
      <c r="H758" s="7"/>
    </row>
    <row r="759" ht="15.75" customHeight="1">
      <c r="D759" s="7"/>
      <c r="E759" s="7"/>
      <c r="F759" s="7"/>
      <c r="G759" s="7"/>
      <c r="H759" s="7"/>
    </row>
    <row r="760" ht="15.75" customHeight="1">
      <c r="D760" s="7"/>
      <c r="E760" s="7"/>
      <c r="F760" s="7"/>
      <c r="G760" s="7"/>
      <c r="H760" s="7"/>
    </row>
    <row r="761" ht="15.75" customHeight="1">
      <c r="D761" s="7"/>
      <c r="E761" s="7"/>
      <c r="F761" s="7"/>
      <c r="G761" s="7"/>
      <c r="H761" s="7"/>
    </row>
    <row r="762" ht="15.75" customHeight="1">
      <c r="D762" s="7"/>
      <c r="E762" s="7"/>
      <c r="F762" s="7"/>
      <c r="G762" s="7"/>
      <c r="H762" s="7"/>
    </row>
    <row r="763" ht="15.75" customHeight="1">
      <c r="D763" s="7"/>
      <c r="E763" s="7"/>
      <c r="F763" s="7"/>
      <c r="G763" s="7"/>
      <c r="H763" s="7"/>
    </row>
    <row r="764" ht="15.75" customHeight="1">
      <c r="D764" s="7"/>
      <c r="E764" s="7"/>
      <c r="F764" s="7"/>
      <c r="G764" s="7"/>
      <c r="H764" s="7"/>
    </row>
    <row r="765" ht="15.75" customHeight="1">
      <c r="D765" s="7"/>
      <c r="E765" s="7"/>
      <c r="F765" s="7"/>
      <c r="G765" s="7"/>
      <c r="H765" s="7"/>
    </row>
    <row r="766" ht="15.75" customHeight="1">
      <c r="D766" s="7"/>
      <c r="E766" s="7"/>
      <c r="F766" s="7"/>
      <c r="G766" s="7"/>
      <c r="H766" s="7"/>
    </row>
    <row r="767" ht="15.75" customHeight="1">
      <c r="D767" s="7"/>
      <c r="E767" s="7"/>
      <c r="F767" s="7"/>
      <c r="G767" s="7"/>
      <c r="H767" s="7"/>
    </row>
    <row r="768" ht="15.75" customHeight="1">
      <c r="D768" s="7"/>
      <c r="E768" s="7"/>
      <c r="F768" s="7"/>
      <c r="G768" s="7"/>
      <c r="H768" s="7"/>
    </row>
    <row r="769" ht="15.75" customHeight="1">
      <c r="D769" s="7"/>
      <c r="E769" s="7"/>
      <c r="F769" s="7"/>
      <c r="G769" s="7"/>
      <c r="H769" s="7"/>
    </row>
    <row r="770" ht="15.75" customHeight="1">
      <c r="D770" s="7"/>
      <c r="E770" s="7"/>
      <c r="F770" s="7"/>
      <c r="G770" s="7"/>
      <c r="H770" s="7"/>
    </row>
    <row r="771" ht="15.75" customHeight="1">
      <c r="D771" s="7"/>
      <c r="E771" s="7"/>
      <c r="F771" s="7"/>
      <c r="G771" s="7"/>
      <c r="H771" s="7"/>
    </row>
    <row r="772" ht="15.75" customHeight="1">
      <c r="D772" s="7"/>
      <c r="E772" s="7"/>
      <c r="F772" s="7"/>
      <c r="G772" s="7"/>
      <c r="H772" s="7"/>
    </row>
    <row r="773" ht="15.75" customHeight="1">
      <c r="D773" s="7"/>
      <c r="E773" s="7"/>
      <c r="F773" s="7"/>
      <c r="G773" s="7"/>
      <c r="H773" s="7"/>
    </row>
    <row r="774" ht="15.75" customHeight="1">
      <c r="D774" s="7"/>
      <c r="E774" s="7"/>
      <c r="F774" s="7"/>
      <c r="G774" s="7"/>
      <c r="H774" s="7"/>
    </row>
    <row r="775" ht="15.75" customHeight="1">
      <c r="D775" s="7"/>
      <c r="E775" s="7"/>
      <c r="F775" s="7"/>
      <c r="G775" s="7"/>
      <c r="H775" s="7"/>
    </row>
    <row r="776" ht="15.75" customHeight="1">
      <c r="D776" s="7"/>
      <c r="E776" s="7"/>
      <c r="F776" s="7"/>
      <c r="G776" s="7"/>
      <c r="H776" s="7"/>
    </row>
    <row r="777" ht="15.75" customHeight="1">
      <c r="D777" s="7"/>
      <c r="E777" s="7"/>
      <c r="F777" s="7"/>
      <c r="G777" s="7"/>
      <c r="H777" s="7"/>
    </row>
    <row r="778" ht="15.75" customHeight="1">
      <c r="D778" s="7"/>
      <c r="E778" s="7"/>
      <c r="F778" s="7"/>
      <c r="G778" s="7"/>
      <c r="H778" s="7"/>
    </row>
    <row r="779" ht="15.75" customHeight="1">
      <c r="D779" s="7"/>
      <c r="E779" s="7"/>
      <c r="F779" s="7"/>
      <c r="G779" s="7"/>
      <c r="H779" s="7"/>
    </row>
    <row r="780" ht="15.75" customHeight="1">
      <c r="D780" s="7"/>
      <c r="E780" s="7"/>
      <c r="F780" s="7"/>
      <c r="G780" s="7"/>
      <c r="H780" s="7"/>
    </row>
    <row r="781" ht="15.75" customHeight="1">
      <c r="D781" s="7"/>
      <c r="E781" s="7"/>
      <c r="F781" s="7"/>
      <c r="G781" s="7"/>
      <c r="H781" s="7"/>
    </row>
    <row r="782" ht="15.75" customHeight="1">
      <c r="D782" s="7"/>
      <c r="E782" s="7"/>
      <c r="F782" s="7"/>
      <c r="G782" s="7"/>
      <c r="H782" s="7"/>
    </row>
    <row r="783" ht="15.75" customHeight="1">
      <c r="D783" s="7"/>
      <c r="E783" s="7"/>
      <c r="F783" s="7"/>
      <c r="G783" s="7"/>
      <c r="H783" s="7"/>
    </row>
    <row r="784" ht="15.75" customHeight="1">
      <c r="D784" s="7"/>
      <c r="E784" s="7"/>
      <c r="F784" s="7"/>
      <c r="G784" s="7"/>
      <c r="H784" s="7"/>
    </row>
    <row r="785" ht="15.75" customHeight="1">
      <c r="D785" s="7"/>
      <c r="E785" s="7"/>
      <c r="F785" s="7"/>
      <c r="G785" s="7"/>
      <c r="H785" s="7"/>
    </row>
    <row r="786" ht="15.75" customHeight="1">
      <c r="D786" s="7"/>
      <c r="E786" s="7"/>
      <c r="F786" s="7"/>
      <c r="G786" s="7"/>
      <c r="H786" s="7"/>
    </row>
    <row r="787" ht="15.75" customHeight="1">
      <c r="D787" s="7"/>
      <c r="E787" s="7"/>
      <c r="F787" s="7"/>
      <c r="G787" s="7"/>
      <c r="H787" s="7"/>
    </row>
    <row r="788" ht="15.75" customHeight="1">
      <c r="D788" s="7"/>
      <c r="E788" s="7"/>
      <c r="F788" s="7"/>
      <c r="G788" s="7"/>
      <c r="H788" s="7"/>
    </row>
    <row r="789" ht="15.75" customHeight="1">
      <c r="D789" s="7"/>
      <c r="E789" s="7"/>
      <c r="F789" s="7"/>
      <c r="G789" s="7"/>
      <c r="H789" s="7"/>
    </row>
    <row r="790" ht="15.75" customHeight="1">
      <c r="D790" s="7"/>
      <c r="E790" s="7"/>
      <c r="F790" s="7"/>
      <c r="G790" s="7"/>
      <c r="H790" s="7"/>
    </row>
    <row r="791" ht="15.75" customHeight="1">
      <c r="D791" s="7"/>
      <c r="E791" s="7"/>
      <c r="F791" s="7"/>
      <c r="G791" s="7"/>
      <c r="H791" s="7"/>
    </row>
    <row r="792" ht="15.75" customHeight="1">
      <c r="D792" s="7"/>
      <c r="E792" s="7"/>
      <c r="F792" s="7"/>
      <c r="G792" s="7"/>
      <c r="H792" s="7"/>
    </row>
    <row r="793" ht="15.75" customHeight="1">
      <c r="D793" s="7"/>
      <c r="E793" s="7"/>
      <c r="F793" s="7"/>
      <c r="G793" s="7"/>
      <c r="H793" s="7"/>
    </row>
    <row r="794" ht="15.75" customHeight="1">
      <c r="D794" s="7"/>
      <c r="E794" s="7"/>
      <c r="F794" s="7"/>
      <c r="G794" s="7"/>
      <c r="H794" s="7"/>
    </row>
    <row r="795" ht="15.75" customHeight="1">
      <c r="D795" s="7"/>
      <c r="E795" s="7"/>
      <c r="F795" s="7"/>
      <c r="G795" s="7"/>
      <c r="H795" s="7"/>
    </row>
    <row r="796" ht="15.75" customHeight="1">
      <c r="D796" s="7"/>
      <c r="E796" s="7"/>
      <c r="F796" s="7"/>
      <c r="G796" s="7"/>
      <c r="H796" s="7"/>
    </row>
    <row r="797" ht="15.75" customHeight="1">
      <c r="D797" s="7"/>
      <c r="E797" s="7"/>
      <c r="F797" s="7"/>
      <c r="G797" s="7"/>
      <c r="H797" s="7"/>
    </row>
    <row r="798" ht="15.75" customHeight="1">
      <c r="D798" s="7"/>
      <c r="E798" s="7"/>
      <c r="F798" s="7"/>
      <c r="G798" s="7"/>
      <c r="H798" s="7"/>
    </row>
    <row r="799" ht="15.75" customHeight="1">
      <c r="D799" s="7"/>
      <c r="E799" s="7"/>
      <c r="F799" s="7"/>
      <c r="G799" s="7"/>
      <c r="H799" s="7"/>
    </row>
    <row r="800" ht="15.75" customHeight="1">
      <c r="D800" s="7"/>
      <c r="E800" s="7"/>
      <c r="F800" s="7"/>
      <c r="G800" s="7"/>
      <c r="H800" s="7"/>
    </row>
    <row r="801" ht="15.75" customHeight="1">
      <c r="D801" s="7"/>
      <c r="E801" s="7"/>
      <c r="F801" s="7"/>
      <c r="G801" s="7"/>
      <c r="H801" s="7"/>
    </row>
    <row r="802" ht="15.75" customHeight="1">
      <c r="D802" s="7"/>
      <c r="E802" s="7"/>
      <c r="F802" s="7"/>
      <c r="G802" s="7"/>
      <c r="H802" s="7"/>
    </row>
    <row r="803" ht="15.75" customHeight="1">
      <c r="D803" s="7"/>
      <c r="E803" s="7"/>
      <c r="F803" s="7"/>
      <c r="G803" s="7"/>
      <c r="H803" s="7"/>
    </row>
    <row r="804" ht="15.75" customHeight="1">
      <c r="D804" s="7"/>
      <c r="E804" s="7"/>
      <c r="F804" s="7"/>
      <c r="G804" s="7"/>
      <c r="H804" s="7"/>
    </row>
    <row r="805" ht="15.75" customHeight="1">
      <c r="D805" s="7"/>
      <c r="E805" s="7"/>
      <c r="F805" s="7"/>
      <c r="G805" s="7"/>
      <c r="H805" s="7"/>
    </row>
    <row r="806" ht="15.75" customHeight="1">
      <c r="D806" s="7"/>
      <c r="E806" s="7"/>
      <c r="F806" s="7"/>
      <c r="G806" s="7"/>
      <c r="H806" s="7"/>
    </row>
    <row r="807" ht="15.75" customHeight="1">
      <c r="D807" s="7"/>
      <c r="E807" s="7"/>
      <c r="F807" s="7"/>
      <c r="G807" s="7"/>
      <c r="H807" s="7"/>
    </row>
    <row r="808" ht="15.75" customHeight="1">
      <c r="D808" s="7"/>
      <c r="E808" s="7"/>
      <c r="F808" s="7"/>
      <c r="G808" s="7"/>
      <c r="H808" s="7"/>
    </row>
    <row r="809" ht="15.75" customHeight="1">
      <c r="D809" s="7"/>
      <c r="E809" s="7"/>
      <c r="F809" s="7"/>
      <c r="G809" s="7"/>
      <c r="H809" s="7"/>
    </row>
    <row r="810" ht="15.75" customHeight="1">
      <c r="D810" s="7"/>
      <c r="E810" s="7"/>
      <c r="F810" s="7"/>
      <c r="G810" s="7"/>
      <c r="H810" s="7"/>
    </row>
    <row r="811" ht="15.75" customHeight="1">
      <c r="D811" s="7"/>
      <c r="E811" s="7"/>
      <c r="F811" s="7"/>
      <c r="G811" s="7"/>
      <c r="H811" s="7"/>
    </row>
    <row r="812" ht="15.75" customHeight="1">
      <c r="D812" s="7"/>
      <c r="E812" s="7"/>
      <c r="F812" s="7"/>
      <c r="G812" s="7"/>
      <c r="H812" s="7"/>
    </row>
    <row r="813" ht="15.75" customHeight="1">
      <c r="D813" s="7"/>
      <c r="E813" s="7"/>
      <c r="F813" s="7"/>
      <c r="G813" s="7"/>
      <c r="H813" s="7"/>
    </row>
    <row r="814" ht="15.75" customHeight="1">
      <c r="D814" s="7"/>
      <c r="E814" s="7"/>
      <c r="F814" s="7"/>
      <c r="G814" s="7"/>
      <c r="H814" s="7"/>
    </row>
    <row r="815" ht="15.75" customHeight="1">
      <c r="D815" s="7"/>
      <c r="E815" s="7"/>
      <c r="F815" s="7"/>
      <c r="G815" s="7"/>
      <c r="H815" s="7"/>
    </row>
    <row r="816" ht="15.75" customHeight="1">
      <c r="D816" s="7"/>
      <c r="E816" s="7"/>
      <c r="F816" s="7"/>
      <c r="G816" s="7"/>
      <c r="H816" s="7"/>
    </row>
    <row r="817" ht="15.75" customHeight="1">
      <c r="D817" s="7"/>
      <c r="E817" s="7"/>
      <c r="F817" s="7"/>
      <c r="G817" s="7"/>
      <c r="H817" s="7"/>
    </row>
    <row r="818" ht="15.75" customHeight="1">
      <c r="D818" s="7"/>
      <c r="E818" s="7"/>
      <c r="F818" s="7"/>
      <c r="G818" s="7"/>
      <c r="H818" s="7"/>
    </row>
    <row r="819" ht="15.75" customHeight="1">
      <c r="D819" s="7"/>
      <c r="E819" s="7"/>
      <c r="F819" s="7"/>
      <c r="G819" s="7"/>
      <c r="H819" s="7"/>
    </row>
    <row r="820" ht="15.75" customHeight="1">
      <c r="D820" s="7"/>
      <c r="E820" s="7"/>
      <c r="F820" s="7"/>
      <c r="G820" s="7"/>
      <c r="H820" s="7"/>
    </row>
    <row r="821" ht="15.75" customHeight="1">
      <c r="D821" s="7"/>
      <c r="E821" s="7"/>
      <c r="F821" s="7"/>
      <c r="G821" s="7"/>
      <c r="H821" s="7"/>
    </row>
    <row r="822" ht="15.75" customHeight="1">
      <c r="D822" s="7"/>
      <c r="E822" s="7"/>
      <c r="F822" s="7"/>
      <c r="G822" s="7"/>
      <c r="H822" s="7"/>
    </row>
    <row r="823" ht="15.75" customHeight="1">
      <c r="D823" s="7"/>
      <c r="E823" s="7"/>
      <c r="F823" s="7"/>
      <c r="G823" s="7"/>
      <c r="H823" s="7"/>
    </row>
    <row r="824" ht="15.75" customHeight="1">
      <c r="D824" s="7"/>
      <c r="E824" s="7"/>
      <c r="F824" s="7"/>
      <c r="G824" s="7"/>
      <c r="H824" s="7"/>
    </row>
    <row r="825" ht="15.75" customHeight="1">
      <c r="D825" s="7"/>
      <c r="E825" s="7"/>
      <c r="F825" s="7"/>
      <c r="G825" s="7"/>
      <c r="H825" s="7"/>
    </row>
    <row r="826" ht="15.75" customHeight="1">
      <c r="D826" s="7"/>
      <c r="E826" s="7"/>
      <c r="F826" s="7"/>
      <c r="G826" s="7"/>
      <c r="H826" s="7"/>
    </row>
    <row r="827" ht="15.75" customHeight="1">
      <c r="D827" s="7"/>
      <c r="E827" s="7"/>
      <c r="F827" s="7"/>
      <c r="G827" s="7"/>
      <c r="H827" s="7"/>
    </row>
    <row r="828" ht="15.75" customHeight="1">
      <c r="D828" s="7"/>
      <c r="E828" s="7"/>
      <c r="F828" s="7"/>
      <c r="G828" s="7"/>
      <c r="H828" s="7"/>
    </row>
    <row r="829" ht="15.75" customHeight="1">
      <c r="D829" s="7"/>
      <c r="E829" s="7"/>
      <c r="F829" s="7"/>
      <c r="G829" s="7"/>
      <c r="H829" s="7"/>
    </row>
    <row r="830" ht="15.75" customHeight="1">
      <c r="D830" s="7"/>
      <c r="E830" s="7"/>
      <c r="F830" s="7"/>
      <c r="G830" s="7"/>
      <c r="H830" s="7"/>
    </row>
    <row r="831" ht="15.75" customHeight="1">
      <c r="D831" s="7"/>
      <c r="E831" s="7"/>
      <c r="F831" s="7"/>
      <c r="G831" s="7"/>
      <c r="H831" s="7"/>
    </row>
    <row r="832" ht="15.75" customHeight="1">
      <c r="D832" s="7"/>
      <c r="E832" s="7"/>
      <c r="F832" s="7"/>
      <c r="G832" s="7"/>
      <c r="H832" s="7"/>
    </row>
    <row r="833" ht="15.75" customHeight="1">
      <c r="D833" s="7"/>
      <c r="E833" s="7"/>
      <c r="F833" s="7"/>
      <c r="G833" s="7"/>
      <c r="H833" s="7"/>
    </row>
    <row r="834" ht="15.75" customHeight="1">
      <c r="D834" s="7"/>
      <c r="E834" s="7"/>
      <c r="F834" s="7"/>
      <c r="G834" s="7"/>
      <c r="H834" s="7"/>
    </row>
    <row r="835" ht="15.75" customHeight="1">
      <c r="D835" s="7"/>
      <c r="E835" s="7"/>
      <c r="F835" s="7"/>
      <c r="G835" s="7"/>
      <c r="H835" s="7"/>
    </row>
    <row r="836" ht="15.75" customHeight="1">
      <c r="D836" s="7"/>
      <c r="E836" s="7"/>
      <c r="F836" s="7"/>
      <c r="G836" s="7"/>
      <c r="H836" s="7"/>
    </row>
    <row r="837" ht="15.75" customHeight="1">
      <c r="D837" s="7"/>
      <c r="E837" s="7"/>
      <c r="F837" s="7"/>
      <c r="G837" s="7"/>
      <c r="H837" s="7"/>
    </row>
    <row r="838" ht="15.75" customHeight="1">
      <c r="D838" s="7"/>
      <c r="E838" s="7"/>
      <c r="F838" s="7"/>
      <c r="G838" s="7"/>
      <c r="H838" s="7"/>
    </row>
    <row r="839" ht="15.75" customHeight="1">
      <c r="D839" s="7"/>
      <c r="E839" s="7"/>
      <c r="F839" s="7"/>
      <c r="G839" s="7"/>
      <c r="H839" s="7"/>
    </row>
    <row r="840" ht="15.75" customHeight="1">
      <c r="D840" s="7"/>
      <c r="E840" s="7"/>
      <c r="F840" s="7"/>
      <c r="G840" s="7"/>
      <c r="H840" s="7"/>
    </row>
    <row r="841" ht="15.75" customHeight="1">
      <c r="D841" s="7"/>
      <c r="E841" s="7"/>
      <c r="F841" s="7"/>
      <c r="G841" s="7"/>
      <c r="H841" s="7"/>
    </row>
    <row r="842" ht="15.75" customHeight="1">
      <c r="D842" s="7"/>
      <c r="E842" s="7"/>
      <c r="F842" s="7"/>
      <c r="G842" s="7"/>
      <c r="H842" s="7"/>
    </row>
    <row r="843" ht="15.75" customHeight="1">
      <c r="D843" s="7"/>
      <c r="E843" s="7"/>
      <c r="F843" s="7"/>
      <c r="G843" s="7"/>
      <c r="H843" s="7"/>
    </row>
    <row r="844" ht="15.75" customHeight="1">
      <c r="D844" s="7"/>
      <c r="E844" s="7"/>
      <c r="F844" s="7"/>
      <c r="G844" s="7"/>
      <c r="H844" s="7"/>
    </row>
    <row r="845" ht="15.75" customHeight="1">
      <c r="D845" s="7"/>
      <c r="E845" s="7"/>
      <c r="F845" s="7"/>
      <c r="G845" s="7"/>
      <c r="H845" s="7"/>
    </row>
    <row r="846" ht="15.75" customHeight="1">
      <c r="D846" s="7"/>
      <c r="E846" s="7"/>
      <c r="F846" s="7"/>
      <c r="G846" s="7"/>
      <c r="H846" s="7"/>
    </row>
    <row r="847" ht="15.75" customHeight="1">
      <c r="D847" s="7"/>
      <c r="E847" s="7"/>
      <c r="F847" s="7"/>
      <c r="G847" s="7"/>
      <c r="H847" s="7"/>
    </row>
    <row r="848" ht="15.75" customHeight="1">
      <c r="D848" s="7"/>
      <c r="E848" s="7"/>
      <c r="F848" s="7"/>
      <c r="G848" s="7"/>
      <c r="H848" s="7"/>
    </row>
    <row r="849" ht="15.75" customHeight="1">
      <c r="D849" s="7"/>
      <c r="E849" s="7"/>
      <c r="F849" s="7"/>
      <c r="G849" s="7"/>
      <c r="H849" s="7"/>
    </row>
    <row r="850" ht="15.75" customHeight="1">
      <c r="D850" s="7"/>
      <c r="E850" s="7"/>
      <c r="F850" s="7"/>
      <c r="G850" s="7"/>
      <c r="H850" s="7"/>
    </row>
    <row r="851" ht="15.75" customHeight="1">
      <c r="D851" s="7"/>
      <c r="E851" s="7"/>
      <c r="F851" s="7"/>
      <c r="G851" s="7"/>
      <c r="H851" s="7"/>
    </row>
    <row r="852" ht="15.75" customHeight="1">
      <c r="D852" s="7"/>
      <c r="E852" s="7"/>
      <c r="F852" s="7"/>
      <c r="G852" s="7"/>
      <c r="H852" s="7"/>
    </row>
    <row r="853" ht="15.75" customHeight="1">
      <c r="D853" s="7"/>
      <c r="E853" s="7"/>
      <c r="F853" s="7"/>
      <c r="G853" s="7"/>
      <c r="H853" s="7"/>
    </row>
    <row r="854" ht="15.75" customHeight="1">
      <c r="D854" s="7"/>
      <c r="E854" s="7"/>
      <c r="F854" s="7"/>
      <c r="G854" s="7"/>
      <c r="H854" s="7"/>
    </row>
    <row r="855" ht="15.75" customHeight="1">
      <c r="D855" s="7"/>
      <c r="E855" s="7"/>
      <c r="F855" s="7"/>
      <c r="G855" s="7"/>
      <c r="H855" s="7"/>
    </row>
    <row r="856" ht="15.75" customHeight="1">
      <c r="D856" s="7"/>
      <c r="E856" s="7"/>
      <c r="F856" s="7"/>
      <c r="G856" s="7"/>
      <c r="H856" s="7"/>
    </row>
    <row r="857" ht="15.75" customHeight="1">
      <c r="D857" s="7"/>
      <c r="E857" s="7"/>
      <c r="F857" s="7"/>
      <c r="G857" s="7"/>
      <c r="H857" s="7"/>
    </row>
    <row r="858" ht="15.75" customHeight="1">
      <c r="D858" s="7"/>
      <c r="E858" s="7"/>
      <c r="F858" s="7"/>
      <c r="G858" s="7"/>
      <c r="H858" s="7"/>
    </row>
    <row r="859" ht="15.75" customHeight="1">
      <c r="D859" s="7"/>
      <c r="E859" s="7"/>
      <c r="F859" s="7"/>
      <c r="G859" s="7"/>
      <c r="H859" s="7"/>
    </row>
    <row r="860" ht="15.75" customHeight="1">
      <c r="D860" s="7"/>
      <c r="E860" s="7"/>
      <c r="F860" s="7"/>
      <c r="G860" s="7"/>
      <c r="H860" s="7"/>
    </row>
    <row r="861" ht="15.75" customHeight="1">
      <c r="D861" s="7"/>
      <c r="E861" s="7"/>
      <c r="F861" s="7"/>
      <c r="G861" s="7"/>
      <c r="H861" s="7"/>
    </row>
    <row r="862" ht="15.75" customHeight="1">
      <c r="D862" s="7"/>
      <c r="E862" s="7"/>
      <c r="F862" s="7"/>
      <c r="G862" s="7"/>
      <c r="H862" s="7"/>
    </row>
    <row r="863" ht="15.75" customHeight="1">
      <c r="D863" s="7"/>
      <c r="E863" s="7"/>
      <c r="F863" s="7"/>
      <c r="G863" s="7"/>
      <c r="H863" s="7"/>
    </row>
    <row r="864" ht="15.75" customHeight="1">
      <c r="D864" s="7"/>
      <c r="E864" s="7"/>
      <c r="F864" s="7"/>
      <c r="G864" s="7"/>
      <c r="H864" s="7"/>
    </row>
    <row r="865" ht="15.75" customHeight="1">
      <c r="D865" s="7"/>
      <c r="E865" s="7"/>
      <c r="F865" s="7"/>
      <c r="G865" s="7"/>
      <c r="H865" s="7"/>
    </row>
    <row r="866" ht="15.75" customHeight="1">
      <c r="D866" s="7"/>
      <c r="E866" s="7"/>
      <c r="F866" s="7"/>
      <c r="G866" s="7"/>
      <c r="H866" s="7"/>
    </row>
    <row r="867" ht="15.75" customHeight="1">
      <c r="D867" s="7"/>
      <c r="E867" s="7"/>
      <c r="F867" s="7"/>
      <c r="G867" s="7"/>
      <c r="H867" s="7"/>
    </row>
    <row r="868" ht="15.75" customHeight="1">
      <c r="D868" s="7"/>
      <c r="E868" s="7"/>
      <c r="F868" s="7"/>
      <c r="G868" s="7"/>
      <c r="H868" s="7"/>
    </row>
    <row r="869" ht="15.75" customHeight="1">
      <c r="D869" s="7"/>
      <c r="E869" s="7"/>
      <c r="F869" s="7"/>
      <c r="G869" s="7"/>
      <c r="H869" s="7"/>
    </row>
    <row r="870" ht="15.75" customHeight="1">
      <c r="D870" s="7"/>
      <c r="E870" s="7"/>
      <c r="F870" s="7"/>
      <c r="G870" s="7"/>
      <c r="H870" s="7"/>
    </row>
    <row r="871" ht="15.75" customHeight="1">
      <c r="D871" s="7"/>
      <c r="E871" s="7"/>
      <c r="F871" s="7"/>
      <c r="G871" s="7"/>
      <c r="H871" s="7"/>
    </row>
    <row r="872" ht="15.75" customHeight="1">
      <c r="D872" s="7"/>
      <c r="E872" s="7"/>
      <c r="F872" s="7"/>
      <c r="G872" s="7"/>
      <c r="H872" s="7"/>
    </row>
    <row r="873" ht="15.75" customHeight="1">
      <c r="D873" s="7"/>
      <c r="E873" s="7"/>
      <c r="F873" s="7"/>
      <c r="G873" s="7"/>
      <c r="H873" s="7"/>
    </row>
    <row r="874" ht="15.75" customHeight="1">
      <c r="D874" s="7"/>
      <c r="E874" s="7"/>
      <c r="F874" s="7"/>
      <c r="G874" s="7"/>
      <c r="H874" s="7"/>
    </row>
    <row r="875" ht="15.75" customHeight="1">
      <c r="D875" s="7"/>
      <c r="E875" s="7"/>
      <c r="F875" s="7"/>
      <c r="G875" s="7"/>
      <c r="H875" s="7"/>
    </row>
    <row r="876" ht="15.75" customHeight="1">
      <c r="D876" s="7"/>
      <c r="E876" s="7"/>
      <c r="F876" s="7"/>
      <c r="G876" s="7"/>
      <c r="H876" s="7"/>
    </row>
    <row r="877" ht="15.75" customHeight="1">
      <c r="D877" s="7"/>
      <c r="E877" s="7"/>
      <c r="F877" s="7"/>
      <c r="G877" s="7"/>
      <c r="H877" s="7"/>
    </row>
    <row r="878" ht="15.75" customHeight="1">
      <c r="D878" s="7"/>
      <c r="E878" s="7"/>
      <c r="F878" s="7"/>
      <c r="G878" s="7"/>
      <c r="H878" s="7"/>
    </row>
    <row r="879" ht="15.75" customHeight="1">
      <c r="D879" s="7"/>
      <c r="E879" s="7"/>
      <c r="F879" s="7"/>
      <c r="G879" s="7"/>
      <c r="H879" s="7"/>
    </row>
    <row r="880" ht="15.75" customHeight="1">
      <c r="D880" s="7"/>
      <c r="E880" s="7"/>
      <c r="F880" s="7"/>
      <c r="G880" s="7"/>
      <c r="H880" s="7"/>
    </row>
    <row r="881" ht="15.75" customHeight="1">
      <c r="D881" s="7"/>
      <c r="E881" s="7"/>
      <c r="F881" s="7"/>
      <c r="G881" s="7"/>
      <c r="H881" s="7"/>
    </row>
    <row r="882" ht="15.75" customHeight="1">
      <c r="D882" s="7"/>
      <c r="E882" s="7"/>
      <c r="F882" s="7"/>
      <c r="G882" s="7"/>
      <c r="H882" s="7"/>
    </row>
    <row r="883" ht="15.75" customHeight="1">
      <c r="D883" s="7"/>
      <c r="E883" s="7"/>
      <c r="F883" s="7"/>
      <c r="G883" s="7"/>
      <c r="H883" s="7"/>
    </row>
    <row r="884" ht="15.75" customHeight="1">
      <c r="D884" s="7"/>
      <c r="E884" s="7"/>
      <c r="F884" s="7"/>
      <c r="G884" s="7"/>
      <c r="H884" s="7"/>
    </row>
    <row r="885" ht="15.75" customHeight="1">
      <c r="D885" s="7"/>
      <c r="E885" s="7"/>
      <c r="F885" s="7"/>
      <c r="G885" s="7"/>
      <c r="H885" s="7"/>
    </row>
    <row r="886" ht="15.75" customHeight="1">
      <c r="D886" s="7"/>
      <c r="E886" s="7"/>
      <c r="F886" s="7"/>
      <c r="G886" s="7"/>
      <c r="H886" s="7"/>
    </row>
    <row r="887" ht="15.75" customHeight="1">
      <c r="D887" s="7"/>
      <c r="E887" s="7"/>
      <c r="F887" s="7"/>
      <c r="G887" s="7"/>
      <c r="H887" s="7"/>
    </row>
    <row r="888" ht="15.75" customHeight="1">
      <c r="D888" s="7"/>
      <c r="E888" s="7"/>
      <c r="F888" s="7"/>
      <c r="G888" s="7"/>
      <c r="H888" s="7"/>
    </row>
    <row r="889" ht="15.75" customHeight="1">
      <c r="D889" s="7"/>
      <c r="E889" s="7"/>
      <c r="F889" s="7"/>
      <c r="G889" s="7"/>
      <c r="H889" s="7"/>
    </row>
    <row r="890" ht="15.75" customHeight="1">
      <c r="D890" s="7"/>
      <c r="E890" s="7"/>
      <c r="F890" s="7"/>
      <c r="G890" s="7"/>
      <c r="H890" s="7"/>
    </row>
    <row r="891" ht="15.75" customHeight="1">
      <c r="D891" s="7"/>
      <c r="E891" s="7"/>
      <c r="F891" s="7"/>
      <c r="G891" s="7"/>
      <c r="H891" s="7"/>
    </row>
    <row r="892" ht="15.75" customHeight="1">
      <c r="D892" s="7"/>
      <c r="E892" s="7"/>
      <c r="F892" s="7"/>
      <c r="G892" s="7"/>
      <c r="H892" s="7"/>
    </row>
    <row r="893" ht="15.75" customHeight="1">
      <c r="D893" s="7"/>
      <c r="E893" s="7"/>
      <c r="F893" s="7"/>
      <c r="G893" s="7"/>
      <c r="H893" s="7"/>
    </row>
    <row r="894" ht="15.75" customHeight="1">
      <c r="D894" s="7"/>
      <c r="E894" s="7"/>
      <c r="F894" s="7"/>
      <c r="G894" s="7"/>
      <c r="H894" s="7"/>
    </row>
    <row r="895" ht="15.75" customHeight="1">
      <c r="D895" s="7"/>
      <c r="E895" s="7"/>
      <c r="F895" s="7"/>
      <c r="G895" s="7"/>
      <c r="H895" s="7"/>
    </row>
    <row r="896" ht="15.75" customHeight="1">
      <c r="D896" s="7"/>
      <c r="E896" s="7"/>
      <c r="F896" s="7"/>
      <c r="G896" s="7"/>
      <c r="H896" s="7"/>
    </row>
    <row r="897" ht="15.75" customHeight="1">
      <c r="D897" s="7"/>
      <c r="E897" s="7"/>
      <c r="F897" s="7"/>
      <c r="G897" s="7"/>
      <c r="H897" s="7"/>
    </row>
    <row r="898" ht="15.75" customHeight="1">
      <c r="D898" s="7"/>
      <c r="E898" s="7"/>
      <c r="F898" s="7"/>
      <c r="G898" s="7"/>
      <c r="H898" s="7"/>
    </row>
    <row r="899" ht="15.75" customHeight="1">
      <c r="D899" s="7"/>
      <c r="E899" s="7"/>
      <c r="F899" s="7"/>
      <c r="G899" s="7"/>
      <c r="H899" s="7"/>
    </row>
    <row r="900" ht="15.75" customHeight="1">
      <c r="D900" s="7"/>
      <c r="E900" s="7"/>
      <c r="F900" s="7"/>
      <c r="G900" s="7"/>
      <c r="H900" s="7"/>
    </row>
    <row r="901" ht="15.75" customHeight="1">
      <c r="D901" s="7"/>
      <c r="E901" s="7"/>
      <c r="F901" s="7"/>
      <c r="G901" s="7"/>
      <c r="H901" s="7"/>
    </row>
    <row r="902" ht="15.75" customHeight="1">
      <c r="D902" s="7"/>
      <c r="E902" s="7"/>
      <c r="F902" s="7"/>
      <c r="G902" s="7"/>
      <c r="H902" s="7"/>
    </row>
    <row r="903" ht="15.75" customHeight="1">
      <c r="D903" s="7"/>
      <c r="E903" s="7"/>
      <c r="F903" s="7"/>
      <c r="G903" s="7"/>
      <c r="H903" s="7"/>
    </row>
    <row r="904" ht="15.75" customHeight="1">
      <c r="D904" s="7"/>
      <c r="E904" s="7"/>
      <c r="F904" s="7"/>
      <c r="G904" s="7"/>
      <c r="H904" s="7"/>
    </row>
    <row r="905" ht="15.75" customHeight="1">
      <c r="D905" s="7"/>
      <c r="E905" s="7"/>
      <c r="F905" s="7"/>
      <c r="G905" s="7"/>
      <c r="H905" s="7"/>
    </row>
    <row r="906" ht="15.75" customHeight="1">
      <c r="D906" s="7"/>
      <c r="E906" s="7"/>
      <c r="F906" s="7"/>
      <c r="G906" s="7"/>
      <c r="H906" s="7"/>
    </row>
    <row r="907" ht="15.75" customHeight="1">
      <c r="D907" s="7"/>
      <c r="E907" s="7"/>
      <c r="F907" s="7"/>
      <c r="G907" s="7"/>
      <c r="H907" s="7"/>
    </row>
    <row r="908" ht="15.75" customHeight="1">
      <c r="D908" s="7"/>
      <c r="E908" s="7"/>
      <c r="F908" s="7"/>
      <c r="G908" s="7"/>
      <c r="H908" s="7"/>
    </row>
    <row r="909" ht="15.75" customHeight="1">
      <c r="D909" s="7"/>
      <c r="E909" s="7"/>
      <c r="F909" s="7"/>
      <c r="G909" s="7"/>
      <c r="H909" s="7"/>
    </row>
    <row r="910" ht="15.75" customHeight="1">
      <c r="D910" s="7"/>
      <c r="E910" s="7"/>
      <c r="F910" s="7"/>
      <c r="G910" s="7"/>
      <c r="H910" s="7"/>
    </row>
    <row r="911" ht="15.75" customHeight="1">
      <c r="D911" s="7"/>
      <c r="E911" s="7"/>
      <c r="F911" s="7"/>
      <c r="G911" s="7"/>
      <c r="H911" s="7"/>
    </row>
    <row r="912" ht="15.75" customHeight="1">
      <c r="D912" s="7"/>
      <c r="E912" s="7"/>
      <c r="F912" s="7"/>
      <c r="G912" s="7"/>
      <c r="H912" s="7"/>
    </row>
    <row r="913" ht="15.75" customHeight="1">
      <c r="D913" s="7"/>
      <c r="E913" s="7"/>
      <c r="F913" s="7"/>
      <c r="G913" s="7"/>
      <c r="H913" s="7"/>
    </row>
    <row r="914" ht="15.75" customHeight="1">
      <c r="D914" s="7"/>
      <c r="E914" s="7"/>
      <c r="F914" s="7"/>
      <c r="G914" s="7"/>
      <c r="H914" s="7"/>
    </row>
    <row r="915" ht="15.75" customHeight="1">
      <c r="D915" s="7"/>
      <c r="E915" s="7"/>
      <c r="F915" s="7"/>
      <c r="G915" s="7"/>
      <c r="H915" s="7"/>
    </row>
    <row r="916" ht="15.75" customHeight="1">
      <c r="D916" s="7"/>
      <c r="E916" s="7"/>
      <c r="F916" s="7"/>
      <c r="G916" s="7"/>
      <c r="H916" s="7"/>
    </row>
    <row r="917" ht="15.75" customHeight="1">
      <c r="D917" s="7"/>
      <c r="E917" s="7"/>
      <c r="F917" s="7"/>
      <c r="G917" s="7"/>
      <c r="H917" s="7"/>
    </row>
    <row r="918" ht="15.75" customHeight="1">
      <c r="D918" s="7"/>
      <c r="E918" s="7"/>
      <c r="F918" s="7"/>
      <c r="G918" s="7"/>
      <c r="H918" s="7"/>
    </row>
    <row r="919" ht="15.75" customHeight="1">
      <c r="D919" s="7"/>
      <c r="E919" s="7"/>
      <c r="F919" s="7"/>
      <c r="G919" s="7"/>
      <c r="H919" s="7"/>
    </row>
    <row r="920" ht="15.75" customHeight="1">
      <c r="D920" s="7"/>
      <c r="E920" s="7"/>
      <c r="F920" s="7"/>
      <c r="G920" s="7"/>
      <c r="H920" s="7"/>
    </row>
    <row r="921" ht="15.75" customHeight="1">
      <c r="D921" s="7"/>
      <c r="E921" s="7"/>
      <c r="F921" s="7"/>
      <c r="G921" s="7"/>
      <c r="H921" s="7"/>
    </row>
    <row r="922" ht="15.75" customHeight="1">
      <c r="D922" s="7"/>
      <c r="E922" s="7"/>
      <c r="F922" s="7"/>
      <c r="G922" s="7"/>
      <c r="H922" s="7"/>
    </row>
    <row r="923" ht="15.75" customHeight="1">
      <c r="D923" s="7"/>
      <c r="E923" s="7"/>
      <c r="F923" s="7"/>
      <c r="G923" s="7"/>
      <c r="H923" s="7"/>
    </row>
    <row r="924" ht="15.75" customHeight="1">
      <c r="D924" s="7"/>
      <c r="E924" s="7"/>
      <c r="F924" s="7"/>
      <c r="G924" s="7"/>
      <c r="H924" s="7"/>
    </row>
    <row r="925" ht="15.75" customHeight="1">
      <c r="D925" s="7"/>
      <c r="E925" s="7"/>
      <c r="F925" s="7"/>
      <c r="G925" s="7"/>
      <c r="H925" s="7"/>
    </row>
    <row r="926" ht="15.75" customHeight="1">
      <c r="D926" s="7"/>
      <c r="E926" s="7"/>
      <c r="F926" s="7"/>
      <c r="G926" s="7"/>
      <c r="H926" s="7"/>
    </row>
    <row r="927" ht="15.75" customHeight="1">
      <c r="D927" s="7"/>
      <c r="E927" s="7"/>
      <c r="F927" s="7"/>
      <c r="G927" s="7"/>
      <c r="H927" s="7"/>
    </row>
    <row r="928" ht="15.75" customHeight="1">
      <c r="D928" s="7"/>
      <c r="E928" s="7"/>
      <c r="F928" s="7"/>
      <c r="G928" s="7"/>
      <c r="H928" s="7"/>
    </row>
    <row r="929" ht="15.75" customHeight="1">
      <c r="D929" s="7"/>
      <c r="E929" s="7"/>
      <c r="F929" s="7"/>
      <c r="G929" s="7"/>
      <c r="H929" s="7"/>
    </row>
    <row r="930" ht="15.75" customHeight="1">
      <c r="D930" s="7"/>
      <c r="E930" s="7"/>
      <c r="F930" s="7"/>
      <c r="G930" s="7"/>
      <c r="H930" s="7"/>
    </row>
    <row r="931" ht="15.75" customHeight="1">
      <c r="D931" s="7"/>
      <c r="E931" s="7"/>
      <c r="F931" s="7"/>
      <c r="G931" s="7"/>
      <c r="H931" s="7"/>
    </row>
    <row r="932" ht="15.75" customHeight="1">
      <c r="D932" s="7"/>
      <c r="E932" s="7"/>
      <c r="F932" s="7"/>
      <c r="G932" s="7"/>
      <c r="H932" s="7"/>
    </row>
    <row r="933" ht="15.75" customHeight="1">
      <c r="D933" s="7"/>
      <c r="E933" s="7"/>
      <c r="F933" s="7"/>
      <c r="G933" s="7"/>
      <c r="H933" s="7"/>
    </row>
    <row r="934" ht="15.75" customHeight="1">
      <c r="D934" s="7"/>
      <c r="E934" s="7"/>
      <c r="F934" s="7"/>
      <c r="G934" s="7"/>
      <c r="H934" s="7"/>
    </row>
    <row r="935" ht="15.75" customHeight="1">
      <c r="D935" s="7"/>
      <c r="E935" s="7"/>
      <c r="F935" s="7"/>
      <c r="G935" s="7"/>
      <c r="H935" s="7"/>
    </row>
    <row r="936" ht="15.75" customHeight="1">
      <c r="D936" s="7"/>
      <c r="E936" s="7"/>
      <c r="F936" s="7"/>
      <c r="G936" s="7"/>
      <c r="H936" s="7"/>
    </row>
    <row r="937" ht="15.75" customHeight="1">
      <c r="D937" s="7"/>
      <c r="E937" s="7"/>
      <c r="F937" s="7"/>
      <c r="G937" s="7"/>
      <c r="H937" s="7"/>
    </row>
    <row r="938" ht="15.75" customHeight="1">
      <c r="D938" s="7"/>
      <c r="E938" s="7"/>
      <c r="F938" s="7"/>
      <c r="G938" s="7"/>
      <c r="H938" s="7"/>
    </row>
    <row r="939" ht="15.75" customHeight="1">
      <c r="D939" s="7"/>
      <c r="E939" s="7"/>
      <c r="F939" s="7"/>
      <c r="G939" s="7"/>
      <c r="H939" s="7"/>
    </row>
    <row r="940" ht="15.75" customHeight="1">
      <c r="D940" s="7"/>
      <c r="E940" s="7"/>
      <c r="F940" s="7"/>
      <c r="G940" s="7"/>
      <c r="H940" s="7"/>
    </row>
    <row r="941" ht="15.75" customHeight="1">
      <c r="D941" s="7"/>
      <c r="E941" s="7"/>
      <c r="F941" s="7"/>
      <c r="G941" s="7"/>
      <c r="H941" s="7"/>
    </row>
    <row r="942" ht="15.75" customHeight="1">
      <c r="D942" s="7"/>
      <c r="E942" s="7"/>
      <c r="F942" s="7"/>
      <c r="G942" s="7"/>
      <c r="H942" s="7"/>
    </row>
    <row r="943" ht="15.75" customHeight="1">
      <c r="D943" s="7"/>
      <c r="E943" s="7"/>
      <c r="F943" s="7"/>
      <c r="G943" s="7"/>
      <c r="H943" s="7"/>
    </row>
    <row r="944" ht="15.75" customHeight="1">
      <c r="D944" s="7"/>
      <c r="E944" s="7"/>
      <c r="F944" s="7"/>
      <c r="G944" s="7"/>
      <c r="H944" s="7"/>
    </row>
    <row r="945" ht="15.75" customHeight="1">
      <c r="D945" s="7"/>
      <c r="E945" s="7"/>
      <c r="F945" s="7"/>
      <c r="G945" s="7"/>
      <c r="H945" s="7"/>
    </row>
    <row r="946" ht="15.75" customHeight="1">
      <c r="D946" s="7"/>
      <c r="E946" s="7"/>
      <c r="F946" s="7"/>
      <c r="G946" s="7"/>
      <c r="H946" s="7"/>
    </row>
    <row r="947" ht="15.75" customHeight="1">
      <c r="D947" s="7"/>
      <c r="E947" s="7"/>
      <c r="F947" s="7"/>
      <c r="G947" s="7"/>
      <c r="H947" s="7"/>
    </row>
    <row r="948" ht="15.75" customHeight="1">
      <c r="D948" s="7"/>
      <c r="E948" s="7"/>
      <c r="F948" s="7"/>
      <c r="G948" s="7"/>
      <c r="H948" s="7"/>
    </row>
    <row r="949" ht="15.75" customHeight="1">
      <c r="D949" s="7"/>
      <c r="E949" s="7"/>
      <c r="F949" s="7"/>
      <c r="G949" s="7"/>
      <c r="H949" s="7"/>
    </row>
    <row r="950" ht="15.75" customHeight="1">
      <c r="D950" s="7"/>
      <c r="E950" s="7"/>
      <c r="F950" s="7"/>
      <c r="G950" s="7"/>
      <c r="H950" s="7"/>
    </row>
    <row r="951" ht="15.75" customHeight="1">
      <c r="D951" s="7"/>
      <c r="E951" s="7"/>
      <c r="F951" s="7"/>
      <c r="G951" s="7"/>
      <c r="H951" s="7"/>
    </row>
    <row r="952" ht="15.75" customHeight="1">
      <c r="D952" s="7"/>
      <c r="E952" s="7"/>
      <c r="F952" s="7"/>
      <c r="G952" s="7"/>
      <c r="H952" s="7"/>
    </row>
    <row r="953" ht="15.75" customHeight="1">
      <c r="D953" s="7"/>
      <c r="E953" s="7"/>
      <c r="F953" s="7"/>
      <c r="G953" s="7"/>
      <c r="H953" s="7"/>
    </row>
    <row r="954" ht="15.75" customHeight="1">
      <c r="D954" s="7"/>
      <c r="E954" s="7"/>
      <c r="F954" s="7"/>
      <c r="G954" s="7"/>
      <c r="H954" s="7"/>
    </row>
    <row r="955" ht="15.75" customHeight="1">
      <c r="D955" s="7"/>
      <c r="E955" s="7"/>
      <c r="F955" s="7"/>
      <c r="G955" s="7"/>
      <c r="H955" s="7"/>
    </row>
    <row r="956" ht="15.75" customHeight="1">
      <c r="D956" s="7"/>
      <c r="E956" s="7"/>
      <c r="F956" s="7"/>
      <c r="G956" s="7"/>
      <c r="H956" s="7"/>
    </row>
    <row r="957" ht="15.75" customHeight="1">
      <c r="D957" s="7"/>
      <c r="E957" s="7"/>
      <c r="F957" s="7"/>
      <c r="G957" s="7"/>
      <c r="H957" s="7"/>
    </row>
    <row r="958" ht="15.75" customHeight="1">
      <c r="D958" s="7"/>
      <c r="E958" s="7"/>
      <c r="F958" s="7"/>
      <c r="G958" s="7"/>
      <c r="H958" s="7"/>
    </row>
    <row r="959" ht="15.75" customHeight="1">
      <c r="D959" s="7"/>
      <c r="E959" s="7"/>
      <c r="F959" s="7"/>
      <c r="G959" s="7"/>
      <c r="H959" s="7"/>
    </row>
    <row r="960" ht="15.75" customHeight="1">
      <c r="D960" s="7"/>
      <c r="E960" s="7"/>
      <c r="F960" s="7"/>
      <c r="G960" s="7"/>
      <c r="H960" s="7"/>
    </row>
    <row r="961" ht="15.75" customHeight="1">
      <c r="D961" s="7"/>
      <c r="E961" s="7"/>
      <c r="F961" s="7"/>
      <c r="G961" s="7"/>
      <c r="H961" s="7"/>
    </row>
    <row r="962" ht="15.75" customHeight="1">
      <c r="D962" s="7"/>
      <c r="E962" s="7"/>
      <c r="F962" s="7"/>
      <c r="G962" s="7"/>
      <c r="H962" s="7"/>
    </row>
    <row r="963" ht="15.75" customHeight="1">
      <c r="D963" s="7"/>
      <c r="E963" s="7"/>
      <c r="F963" s="7"/>
      <c r="G963" s="7"/>
      <c r="H963" s="7"/>
    </row>
    <row r="964" ht="15.75" customHeight="1">
      <c r="D964" s="7"/>
      <c r="E964" s="7"/>
      <c r="F964" s="7"/>
      <c r="G964" s="7"/>
      <c r="H964" s="7"/>
    </row>
    <row r="965" ht="15.75" customHeight="1">
      <c r="D965" s="7"/>
      <c r="E965" s="7"/>
      <c r="F965" s="7"/>
      <c r="G965" s="7"/>
      <c r="H965" s="7"/>
    </row>
    <row r="966" ht="15.75" customHeight="1">
      <c r="D966" s="7"/>
      <c r="E966" s="7"/>
      <c r="F966" s="7"/>
      <c r="G966" s="7"/>
      <c r="H966" s="7"/>
    </row>
    <row r="967" ht="15.75" customHeight="1">
      <c r="D967" s="7"/>
      <c r="E967" s="7"/>
      <c r="F967" s="7"/>
      <c r="G967" s="7"/>
      <c r="H967" s="7"/>
    </row>
    <row r="968" ht="15.75" customHeight="1">
      <c r="D968" s="7"/>
      <c r="E968" s="7"/>
      <c r="F968" s="7"/>
      <c r="G968" s="7"/>
      <c r="H968" s="7"/>
    </row>
    <row r="969" ht="15.75" customHeight="1">
      <c r="D969" s="7"/>
      <c r="E969" s="7"/>
      <c r="F969" s="7"/>
      <c r="G969" s="7"/>
      <c r="H969" s="7"/>
    </row>
    <row r="970" ht="15.75" customHeight="1">
      <c r="D970" s="7"/>
      <c r="E970" s="7"/>
      <c r="F970" s="7"/>
      <c r="G970" s="7"/>
      <c r="H970" s="7"/>
    </row>
    <row r="971" ht="15.75" customHeight="1">
      <c r="D971" s="7"/>
      <c r="E971" s="7"/>
      <c r="F971" s="7"/>
      <c r="G971" s="7"/>
      <c r="H971" s="7"/>
    </row>
    <row r="972" ht="15.75" customHeight="1">
      <c r="D972" s="7"/>
      <c r="E972" s="7"/>
      <c r="F972" s="7"/>
      <c r="G972" s="7"/>
      <c r="H972" s="7"/>
    </row>
    <row r="973" ht="15.75" customHeight="1">
      <c r="D973" s="7"/>
      <c r="E973" s="7"/>
      <c r="F973" s="7"/>
      <c r="G973" s="7"/>
      <c r="H973" s="7"/>
    </row>
    <row r="974" ht="15.75" customHeight="1">
      <c r="D974" s="7"/>
      <c r="E974" s="7"/>
      <c r="F974" s="7"/>
      <c r="G974" s="7"/>
      <c r="H974" s="7"/>
    </row>
    <row r="975" ht="15.75" customHeight="1">
      <c r="D975" s="7"/>
      <c r="E975" s="7"/>
      <c r="F975" s="7"/>
      <c r="G975" s="7"/>
      <c r="H975" s="7"/>
    </row>
    <row r="976" ht="15.75" customHeight="1">
      <c r="D976" s="7"/>
      <c r="E976" s="7"/>
      <c r="F976" s="7"/>
      <c r="G976" s="7"/>
      <c r="H976" s="7"/>
    </row>
    <row r="977" ht="15.75" customHeight="1">
      <c r="D977" s="7"/>
      <c r="E977" s="7"/>
      <c r="F977" s="7"/>
      <c r="G977" s="7"/>
      <c r="H977" s="7"/>
    </row>
    <row r="978" ht="15.75" customHeight="1">
      <c r="D978" s="7"/>
      <c r="E978" s="7"/>
      <c r="F978" s="7"/>
      <c r="G978" s="7"/>
      <c r="H978" s="7"/>
    </row>
    <row r="979" ht="15.75" customHeight="1">
      <c r="D979" s="7"/>
      <c r="E979" s="7"/>
      <c r="F979" s="7"/>
      <c r="G979" s="7"/>
      <c r="H979" s="7"/>
    </row>
    <row r="980" ht="15.75" customHeight="1">
      <c r="D980" s="7"/>
      <c r="E980" s="7"/>
      <c r="F980" s="7"/>
      <c r="G980" s="7"/>
      <c r="H980" s="7"/>
    </row>
    <row r="981" ht="15.75" customHeight="1">
      <c r="D981" s="7"/>
      <c r="E981" s="7"/>
      <c r="F981" s="7"/>
      <c r="G981" s="7"/>
      <c r="H981" s="7"/>
    </row>
    <row r="982" ht="15.75" customHeight="1">
      <c r="D982" s="7"/>
      <c r="E982" s="7"/>
      <c r="F982" s="7"/>
      <c r="G982" s="7"/>
      <c r="H982" s="7"/>
    </row>
    <row r="983" ht="15.75" customHeight="1">
      <c r="D983" s="7"/>
      <c r="E983" s="7"/>
      <c r="F983" s="7"/>
      <c r="G983" s="7"/>
      <c r="H983" s="7"/>
    </row>
    <row r="984" ht="15.75" customHeight="1">
      <c r="D984" s="7"/>
      <c r="E984" s="7"/>
      <c r="F984" s="7"/>
      <c r="G984" s="7"/>
      <c r="H984" s="7"/>
    </row>
    <row r="985" ht="15.75" customHeight="1">
      <c r="D985" s="7"/>
      <c r="E985" s="7"/>
      <c r="F985" s="7"/>
      <c r="G985" s="7"/>
      <c r="H985" s="7"/>
    </row>
    <row r="986" ht="15.75" customHeight="1">
      <c r="D986" s="7"/>
      <c r="E986" s="7"/>
      <c r="F986" s="7"/>
      <c r="G986" s="7"/>
      <c r="H986" s="7"/>
    </row>
    <row r="987" ht="15.75" customHeight="1">
      <c r="D987" s="7"/>
      <c r="E987" s="7"/>
      <c r="F987" s="7"/>
      <c r="G987" s="7"/>
      <c r="H987" s="7"/>
    </row>
    <row r="988" ht="15.75" customHeight="1">
      <c r="D988" s="7"/>
      <c r="E988" s="7"/>
      <c r="F988" s="7"/>
      <c r="G988" s="7"/>
      <c r="H988" s="7"/>
    </row>
    <row r="989" ht="15.75" customHeight="1">
      <c r="D989" s="7"/>
      <c r="E989" s="7"/>
      <c r="F989" s="7"/>
      <c r="G989" s="7"/>
      <c r="H989" s="7"/>
    </row>
    <row r="990" ht="15.75" customHeight="1">
      <c r="D990" s="7"/>
      <c r="E990" s="7"/>
      <c r="F990" s="7"/>
      <c r="G990" s="7"/>
      <c r="H990" s="7"/>
    </row>
    <row r="991" ht="15.75" customHeight="1">
      <c r="D991" s="7"/>
      <c r="E991" s="7"/>
      <c r="F991" s="7"/>
      <c r="G991" s="7"/>
      <c r="H991" s="7"/>
    </row>
    <row r="992" ht="15.75" customHeight="1">
      <c r="D992" s="7"/>
      <c r="E992" s="7"/>
      <c r="F992" s="7"/>
      <c r="G992" s="7"/>
      <c r="H992" s="7"/>
    </row>
    <row r="993" ht="15.75" customHeight="1">
      <c r="D993" s="7"/>
      <c r="E993" s="7"/>
      <c r="F993" s="7"/>
      <c r="G993" s="7"/>
      <c r="H993" s="7"/>
    </row>
    <row r="994" ht="15.75" customHeight="1">
      <c r="D994" s="7"/>
      <c r="E994" s="7"/>
      <c r="F994" s="7"/>
      <c r="G994" s="7"/>
      <c r="H994" s="7"/>
    </row>
    <row r="995" ht="15.75" customHeight="1">
      <c r="D995" s="7"/>
      <c r="E995" s="7"/>
      <c r="F995" s="7"/>
      <c r="G995" s="7"/>
      <c r="H995" s="7"/>
    </row>
    <row r="996" ht="15.75" customHeight="1">
      <c r="D996" s="7"/>
      <c r="E996" s="7"/>
      <c r="F996" s="7"/>
      <c r="G996" s="7"/>
      <c r="H996" s="7"/>
    </row>
    <row r="997" ht="15.75" customHeight="1">
      <c r="D997" s="7"/>
      <c r="E997" s="7"/>
      <c r="F997" s="7"/>
      <c r="G997" s="7"/>
      <c r="H997" s="7"/>
    </row>
    <row r="998" ht="15.75" customHeight="1">
      <c r="D998" s="7"/>
      <c r="E998" s="7"/>
      <c r="F998" s="7"/>
      <c r="G998" s="7"/>
      <c r="H998" s="7"/>
    </row>
    <row r="999" ht="15.75" customHeight="1">
      <c r="D999" s="7"/>
      <c r="E999" s="7"/>
      <c r="F999" s="7"/>
      <c r="G999" s="7"/>
      <c r="H999" s="7"/>
    </row>
    <row r="1000" ht="15.75" customHeight="1">
      <c r="D1000" s="7"/>
      <c r="E1000" s="7"/>
      <c r="F1000" s="7"/>
      <c r="G1000" s="7"/>
      <c r="H1000" s="7"/>
    </row>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31.88"/>
    <col customWidth="1" min="3" max="3" width="29.63"/>
    <col customWidth="1" min="4" max="7" width="21.25"/>
    <col customWidth="1" min="8" max="8" width="26.13"/>
    <col customWidth="1" min="9" max="9" width="37.38"/>
    <col customWidth="1" min="10" max="10" width="65.13"/>
    <col customWidth="1" min="11" max="11" width="64.88"/>
    <col customWidth="1" min="12" max="20" width="7.63"/>
  </cols>
  <sheetData>
    <row r="1">
      <c r="A1" s="55" t="s">
        <v>42</v>
      </c>
      <c r="B1" s="55" t="s">
        <v>43</v>
      </c>
      <c r="C1" s="55" t="s">
        <v>44</v>
      </c>
      <c r="D1" s="55" t="s">
        <v>3</v>
      </c>
      <c r="E1" s="55" t="s">
        <v>4</v>
      </c>
      <c r="F1" s="55" t="s">
        <v>5</v>
      </c>
      <c r="G1" s="55" t="s">
        <v>6</v>
      </c>
      <c r="H1" s="55" t="s">
        <v>1406</v>
      </c>
      <c r="I1" s="55" t="s">
        <v>1407</v>
      </c>
      <c r="J1" s="56" t="s">
        <v>1408</v>
      </c>
      <c r="K1" s="19" t="s">
        <v>20</v>
      </c>
    </row>
    <row r="2">
      <c r="A2" s="50" t="s">
        <v>46</v>
      </c>
      <c r="B2" s="50" t="s">
        <v>448</v>
      </c>
      <c r="C2" s="50" t="s">
        <v>449</v>
      </c>
      <c r="D2" s="54">
        <v>0.1</v>
      </c>
      <c r="E2" s="54">
        <v>0.954</v>
      </c>
      <c r="F2" s="54">
        <v>0.5</v>
      </c>
      <c r="G2" s="54">
        <v>0.4</v>
      </c>
      <c r="H2" s="54" t="s">
        <v>14</v>
      </c>
      <c r="I2" s="50" t="s">
        <v>1418</v>
      </c>
      <c r="J2" s="50" t="s">
        <v>1419</v>
      </c>
      <c r="K2" s="44" t="str">
        <f t="shared" ref="K2:K142" si="1">IF(D2&lt;=0.5,
    IF(AND(E2&gt;=0.5, F2&gt;=0.5, G2&gt;=0.5), "Abstractive Deviation",
    IF(AND(E2&gt;=0.5, F2&lt;=0.5, G2&lt;=0.5), "Unsupported Generation",
    IF(AND(E2&lt;=0.5, F2&lt;=0.5, G2&lt;=0.5), "True Hallucination",
    "Other Error"))),
"Other Error")</f>
        <v>Unsupported Generation</v>
      </c>
    </row>
    <row r="3">
      <c r="A3" s="50" t="s">
        <v>49</v>
      </c>
      <c r="B3" s="50" t="s">
        <v>450</v>
      </c>
      <c r="C3" s="50" t="s">
        <v>451</v>
      </c>
      <c r="D3" s="54">
        <v>0.417</v>
      </c>
      <c r="E3" s="54">
        <v>0.0</v>
      </c>
      <c r="F3" s="54">
        <v>0.0</v>
      </c>
      <c r="G3" s="54">
        <v>0.833</v>
      </c>
      <c r="H3" s="54" t="s">
        <v>14</v>
      </c>
      <c r="I3" s="50" t="s">
        <v>1420</v>
      </c>
      <c r="J3" s="50" t="s">
        <v>1419</v>
      </c>
      <c r="K3" s="44" t="str">
        <f t="shared" si="1"/>
        <v>Other Error</v>
      </c>
    </row>
    <row r="4">
      <c r="A4" s="50" t="s">
        <v>61</v>
      </c>
      <c r="B4" s="50" t="s">
        <v>458</v>
      </c>
      <c r="C4" s="50" t="s">
        <v>459</v>
      </c>
      <c r="D4" s="54">
        <v>0.25</v>
      </c>
      <c r="E4" s="54">
        <v>0.976</v>
      </c>
      <c r="F4" s="54">
        <v>0.583</v>
      </c>
      <c r="G4" s="54">
        <v>1.0</v>
      </c>
      <c r="H4" s="54" t="s">
        <v>14</v>
      </c>
      <c r="I4" s="50" t="s">
        <v>1421</v>
      </c>
      <c r="J4" s="50" t="s">
        <v>1419</v>
      </c>
      <c r="K4" s="44" t="str">
        <f t="shared" si="1"/>
        <v>Abstractive Deviation</v>
      </c>
    </row>
    <row r="5">
      <c r="A5" s="50" t="s">
        <v>76</v>
      </c>
      <c r="B5" s="50" t="s">
        <v>468</v>
      </c>
      <c r="C5" s="50" t="s">
        <v>469</v>
      </c>
      <c r="D5" s="54">
        <v>0.0</v>
      </c>
      <c r="E5" s="54">
        <v>0.637</v>
      </c>
      <c r="F5" s="54">
        <v>1.0</v>
      </c>
      <c r="G5" s="54">
        <v>0.429</v>
      </c>
      <c r="H5" s="54" t="s">
        <v>14</v>
      </c>
      <c r="I5" s="50" t="s">
        <v>1422</v>
      </c>
      <c r="J5" s="50" t="s">
        <v>1419</v>
      </c>
      <c r="K5" s="44" t="str">
        <f t="shared" si="1"/>
        <v>Other Error</v>
      </c>
    </row>
    <row r="6">
      <c r="A6" s="50" t="s">
        <v>82</v>
      </c>
      <c r="B6" s="50" t="s">
        <v>472</v>
      </c>
      <c r="C6" s="50" t="s">
        <v>473</v>
      </c>
      <c r="D6" s="54">
        <v>0.286</v>
      </c>
      <c r="E6" s="54">
        <v>0.433</v>
      </c>
      <c r="F6" s="54">
        <v>0.0</v>
      </c>
      <c r="G6" s="54">
        <v>1.0</v>
      </c>
      <c r="H6" s="54" t="s">
        <v>14</v>
      </c>
      <c r="I6" s="50" t="s">
        <v>1423</v>
      </c>
      <c r="J6" s="50" t="s">
        <v>1419</v>
      </c>
      <c r="K6" s="44" t="str">
        <f t="shared" si="1"/>
        <v>Other Error</v>
      </c>
    </row>
    <row r="7">
      <c r="A7" s="50" t="s">
        <v>85</v>
      </c>
      <c r="B7" s="50" t="s">
        <v>474</v>
      </c>
      <c r="C7" s="50" t="s">
        <v>475</v>
      </c>
      <c r="D7" s="54">
        <v>0.333</v>
      </c>
      <c r="E7" s="54">
        <v>0.0</v>
      </c>
      <c r="F7" s="54">
        <v>0.0</v>
      </c>
      <c r="G7" s="54">
        <v>0.8</v>
      </c>
      <c r="H7" s="54" t="s">
        <v>14</v>
      </c>
      <c r="I7" s="50" t="s">
        <v>1424</v>
      </c>
      <c r="J7" s="50" t="s">
        <v>1419</v>
      </c>
      <c r="K7" s="44" t="str">
        <f t="shared" si="1"/>
        <v>Other Error</v>
      </c>
    </row>
    <row r="8">
      <c r="A8" s="50" t="s">
        <v>94</v>
      </c>
      <c r="B8" s="50" t="s">
        <v>480</v>
      </c>
      <c r="C8" s="50" t="s">
        <v>481</v>
      </c>
      <c r="D8" s="54">
        <v>0.778</v>
      </c>
      <c r="E8" s="54">
        <v>0.574</v>
      </c>
      <c r="F8" s="54">
        <v>0.333</v>
      </c>
      <c r="G8" s="54">
        <v>0.429</v>
      </c>
      <c r="H8" s="54" t="s">
        <v>14</v>
      </c>
      <c r="I8" s="50" t="s">
        <v>1425</v>
      </c>
      <c r="J8" s="50" t="s">
        <v>1419</v>
      </c>
      <c r="K8" s="44" t="str">
        <f t="shared" si="1"/>
        <v>Other Error</v>
      </c>
    </row>
    <row r="9">
      <c r="A9" s="50" t="s">
        <v>112</v>
      </c>
      <c r="B9" s="50" t="s">
        <v>494</v>
      </c>
      <c r="C9" s="50" t="s">
        <v>495</v>
      </c>
      <c r="D9" s="54">
        <v>0.273</v>
      </c>
      <c r="E9" s="54">
        <v>0.947</v>
      </c>
      <c r="F9" s="54">
        <v>1.0</v>
      </c>
      <c r="G9" s="54">
        <v>0.8</v>
      </c>
      <c r="H9" s="54" t="s">
        <v>15</v>
      </c>
      <c r="I9" s="50" t="s">
        <v>1426</v>
      </c>
      <c r="J9" s="50" t="s">
        <v>1419</v>
      </c>
      <c r="K9" s="44" t="str">
        <f t="shared" si="1"/>
        <v>Abstractive Deviation</v>
      </c>
    </row>
    <row r="10">
      <c r="A10" s="50" t="s">
        <v>124</v>
      </c>
      <c r="B10" s="50" t="s">
        <v>500</v>
      </c>
      <c r="C10" s="50" t="s">
        <v>501</v>
      </c>
      <c r="D10" s="54">
        <v>0.643</v>
      </c>
      <c r="E10" s="54">
        <v>0.908</v>
      </c>
      <c r="F10" s="54">
        <v>1.0</v>
      </c>
      <c r="G10" s="54">
        <v>1.0</v>
      </c>
      <c r="H10" s="54" t="s">
        <v>15</v>
      </c>
      <c r="I10" s="50" t="s">
        <v>1427</v>
      </c>
      <c r="J10" s="50" t="s">
        <v>1419</v>
      </c>
      <c r="K10" s="44" t="str">
        <f t="shared" si="1"/>
        <v>Other Error</v>
      </c>
    </row>
    <row r="11">
      <c r="A11" s="50" t="s">
        <v>130</v>
      </c>
      <c r="B11" s="50" t="s">
        <v>504</v>
      </c>
      <c r="C11" s="50" t="s">
        <v>505</v>
      </c>
      <c r="D11" s="54">
        <v>0.143</v>
      </c>
      <c r="E11" s="54">
        <v>0.788</v>
      </c>
      <c r="F11" s="54">
        <v>1.0</v>
      </c>
      <c r="G11" s="54">
        <v>0.429</v>
      </c>
      <c r="H11" s="54" t="s">
        <v>15</v>
      </c>
      <c r="I11" s="50" t="s">
        <v>1428</v>
      </c>
      <c r="J11" s="50" t="s">
        <v>1419</v>
      </c>
      <c r="K11" s="44" t="str">
        <f t="shared" si="1"/>
        <v>Other Error</v>
      </c>
    </row>
    <row r="12">
      <c r="A12" s="50" t="s">
        <v>133</v>
      </c>
      <c r="B12" s="50" t="s">
        <v>506</v>
      </c>
      <c r="C12" s="50" t="s">
        <v>507</v>
      </c>
      <c r="D12" s="54">
        <v>1.0</v>
      </c>
      <c r="E12" s="54">
        <v>0.0</v>
      </c>
      <c r="F12" s="54">
        <v>0.0</v>
      </c>
      <c r="G12" s="54">
        <v>0.7</v>
      </c>
      <c r="H12" s="54" t="s">
        <v>15</v>
      </c>
      <c r="I12" s="50" t="s">
        <v>1429</v>
      </c>
      <c r="J12" s="50" t="s">
        <v>1419</v>
      </c>
      <c r="K12" s="44" t="str">
        <f t="shared" si="1"/>
        <v>Other Error</v>
      </c>
    </row>
    <row r="13">
      <c r="A13" s="50" t="s">
        <v>154</v>
      </c>
      <c r="B13" s="50" t="s">
        <v>520</v>
      </c>
      <c r="C13" s="50" t="s">
        <v>521</v>
      </c>
      <c r="D13" s="54">
        <v>0.364</v>
      </c>
      <c r="E13" s="54">
        <v>0.729</v>
      </c>
      <c r="F13" s="54">
        <v>0.583</v>
      </c>
      <c r="G13" s="54">
        <v>0.75</v>
      </c>
      <c r="H13" s="54" t="s">
        <v>15</v>
      </c>
      <c r="I13" s="50" t="s">
        <v>1430</v>
      </c>
      <c r="J13" s="50" t="s">
        <v>1419</v>
      </c>
      <c r="K13" s="44" t="str">
        <f t="shared" si="1"/>
        <v>Abstractive Deviation</v>
      </c>
    </row>
    <row r="14">
      <c r="A14" s="50" t="s">
        <v>166</v>
      </c>
      <c r="B14" s="50" t="s">
        <v>528</v>
      </c>
      <c r="C14" s="50" t="s">
        <v>529</v>
      </c>
      <c r="D14" s="54">
        <v>0.273</v>
      </c>
      <c r="E14" s="54">
        <v>0.935</v>
      </c>
      <c r="F14" s="54">
        <v>0.5</v>
      </c>
      <c r="G14" s="54">
        <v>0.4</v>
      </c>
      <c r="H14" s="54" t="s">
        <v>16</v>
      </c>
      <c r="I14" s="50" t="s">
        <v>1431</v>
      </c>
      <c r="J14" s="50" t="s">
        <v>1419</v>
      </c>
      <c r="K14" s="44" t="str">
        <f t="shared" si="1"/>
        <v>Unsupported Generation</v>
      </c>
    </row>
    <row r="15">
      <c r="A15" s="50" t="s">
        <v>175</v>
      </c>
      <c r="B15" s="50" t="s">
        <v>534</v>
      </c>
      <c r="C15" s="50" t="s">
        <v>535</v>
      </c>
      <c r="D15" s="54">
        <v>0.091</v>
      </c>
      <c r="E15" s="54">
        <v>0.865</v>
      </c>
      <c r="F15" s="54">
        <v>0.5</v>
      </c>
      <c r="G15" s="54">
        <v>0.286</v>
      </c>
      <c r="H15" s="54" t="s">
        <v>16</v>
      </c>
      <c r="I15" s="50" t="s">
        <v>1432</v>
      </c>
      <c r="J15" s="50" t="s">
        <v>1419</v>
      </c>
      <c r="K15" s="44" t="str">
        <f t="shared" si="1"/>
        <v>Unsupported Generation</v>
      </c>
    </row>
    <row r="16">
      <c r="A16" s="50" t="s">
        <v>187</v>
      </c>
      <c r="B16" s="50" t="s">
        <v>542</v>
      </c>
      <c r="C16" s="50" t="s">
        <v>543</v>
      </c>
      <c r="D16" s="54">
        <v>0.364</v>
      </c>
      <c r="E16" s="54">
        <v>0.754</v>
      </c>
      <c r="F16" s="54">
        <v>1.0</v>
      </c>
      <c r="G16" s="54">
        <v>1.0</v>
      </c>
      <c r="H16" s="54" t="s">
        <v>16</v>
      </c>
      <c r="I16" s="50" t="s">
        <v>1433</v>
      </c>
      <c r="J16" s="50" t="s">
        <v>1419</v>
      </c>
      <c r="K16" s="44" t="str">
        <f t="shared" si="1"/>
        <v>Abstractive Deviation</v>
      </c>
    </row>
    <row r="17">
      <c r="A17" s="50" t="s">
        <v>193</v>
      </c>
      <c r="B17" s="50" t="s">
        <v>546</v>
      </c>
      <c r="C17" s="50" t="s">
        <v>547</v>
      </c>
      <c r="D17" s="54">
        <v>0.0</v>
      </c>
      <c r="E17" s="54">
        <v>0.772</v>
      </c>
      <c r="F17" s="54">
        <v>0.833</v>
      </c>
      <c r="G17" s="54">
        <v>0.222</v>
      </c>
      <c r="H17" s="54" t="s">
        <v>16</v>
      </c>
      <c r="I17" s="50" t="s">
        <v>1434</v>
      </c>
      <c r="J17" s="50" t="s">
        <v>1419</v>
      </c>
      <c r="K17" s="44" t="str">
        <f t="shared" si="1"/>
        <v>Other Error</v>
      </c>
    </row>
    <row r="18">
      <c r="A18" s="50" t="s">
        <v>232</v>
      </c>
      <c r="B18" s="50" t="s">
        <v>572</v>
      </c>
      <c r="C18" s="50" t="s">
        <v>573</v>
      </c>
      <c r="D18" s="54">
        <v>0.222</v>
      </c>
      <c r="E18" s="54">
        <v>0.827</v>
      </c>
      <c r="F18" s="54">
        <v>1.0</v>
      </c>
      <c r="G18" s="54">
        <v>0.2</v>
      </c>
      <c r="H18" s="54" t="s">
        <v>17</v>
      </c>
      <c r="I18" s="50" t="s">
        <v>1435</v>
      </c>
      <c r="J18" s="50" t="s">
        <v>1419</v>
      </c>
      <c r="K18" s="44" t="str">
        <f t="shared" si="1"/>
        <v>Other Error</v>
      </c>
    </row>
    <row r="19">
      <c r="A19" s="50" t="s">
        <v>247</v>
      </c>
      <c r="B19" s="50" t="s">
        <v>582</v>
      </c>
      <c r="C19" s="50" t="s">
        <v>583</v>
      </c>
      <c r="D19" s="54">
        <v>0.25</v>
      </c>
      <c r="E19" s="54">
        <v>1.0</v>
      </c>
      <c r="F19" s="54">
        <v>0.0</v>
      </c>
      <c r="G19" s="54">
        <v>0.0</v>
      </c>
      <c r="H19" s="54" t="s">
        <v>17</v>
      </c>
      <c r="I19" s="50" t="s">
        <v>1436</v>
      </c>
      <c r="J19" s="50" t="s">
        <v>1419</v>
      </c>
      <c r="K19" s="44" t="str">
        <f t="shared" si="1"/>
        <v>Unsupported Generation</v>
      </c>
    </row>
    <row r="20">
      <c r="A20" s="50" t="s">
        <v>250</v>
      </c>
      <c r="B20" s="50" t="s">
        <v>584</v>
      </c>
      <c r="C20" s="50" t="s">
        <v>585</v>
      </c>
      <c r="D20" s="54">
        <v>0.143</v>
      </c>
      <c r="E20" s="54">
        <v>0.0</v>
      </c>
      <c r="F20" s="54">
        <v>0.0</v>
      </c>
      <c r="G20" s="54">
        <v>0.667</v>
      </c>
      <c r="H20" s="54" t="s">
        <v>17</v>
      </c>
      <c r="I20" s="50" t="s">
        <v>1437</v>
      </c>
      <c r="J20" s="50" t="s">
        <v>1419</v>
      </c>
      <c r="K20" s="44" t="str">
        <f t="shared" si="1"/>
        <v>Other Error</v>
      </c>
    </row>
    <row r="21" ht="15.75" customHeight="1">
      <c r="A21" s="50" t="s">
        <v>253</v>
      </c>
      <c r="B21" s="50" t="s">
        <v>586</v>
      </c>
      <c r="C21" s="50" t="s">
        <v>587</v>
      </c>
      <c r="D21" s="54">
        <v>0.0</v>
      </c>
      <c r="E21" s="54">
        <v>0.0</v>
      </c>
      <c r="F21" s="54">
        <v>0.0</v>
      </c>
      <c r="G21" s="54">
        <v>1.0</v>
      </c>
      <c r="H21" s="54" t="s">
        <v>17</v>
      </c>
      <c r="I21" s="50" t="s">
        <v>1438</v>
      </c>
      <c r="J21" s="50" t="s">
        <v>1419</v>
      </c>
      <c r="K21" s="44" t="str">
        <f t="shared" si="1"/>
        <v>Other Error</v>
      </c>
    </row>
    <row r="22" ht="15.75" customHeight="1">
      <c r="A22" s="50" t="s">
        <v>274</v>
      </c>
      <c r="B22" s="50" t="s">
        <v>600</v>
      </c>
      <c r="C22" s="50" t="s">
        <v>601</v>
      </c>
      <c r="D22" s="54">
        <v>0.0</v>
      </c>
      <c r="E22" s="54">
        <v>0.809</v>
      </c>
      <c r="F22" s="54">
        <v>1.0</v>
      </c>
      <c r="G22" s="54">
        <v>1.0</v>
      </c>
      <c r="H22" s="54" t="s">
        <v>17</v>
      </c>
      <c r="I22" s="50" t="s">
        <v>1439</v>
      </c>
      <c r="J22" s="50" t="s">
        <v>1419</v>
      </c>
      <c r="K22" s="44" t="str">
        <f t="shared" si="1"/>
        <v>Abstractive Deviation</v>
      </c>
    </row>
    <row r="23" ht="15.75" customHeight="1">
      <c r="A23" s="50" t="s">
        <v>277</v>
      </c>
      <c r="B23" s="50" t="s">
        <v>602</v>
      </c>
      <c r="C23" s="50" t="s">
        <v>603</v>
      </c>
      <c r="D23" s="54">
        <v>0.615</v>
      </c>
      <c r="E23" s="54">
        <v>0.0</v>
      </c>
      <c r="F23" s="54">
        <v>0.0</v>
      </c>
      <c r="G23" s="54">
        <v>0.833</v>
      </c>
      <c r="H23" s="54" t="s">
        <v>17</v>
      </c>
      <c r="I23" s="50" t="s">
        <v>1440</v>
      </c>
      <c r="J23" s="50" t="s">
        <v>1419</v>
      </c>
      <c r="K23" s="44" t="str">
        <f t="shared" si="1"/>
        <v>Other Error</v>
      </c>
    </row>
    <row r="24" ht="15.75" customHeight="1">
      <c r="A24" s="50" t="s">
        <v>55</v>
      </c>
      <c r="B24" s="50" t="s">
        <v>292</v>
      </c>
      <c r="C24" s="50" t="s">
        <v>293</v>
      </c>
      <c r="D24" s="54">
        <v>0.375</v>
      </c>
      <c r="E24" s="54">
        <v>1.0</v>
      </c>
      <c r="F24" s="54">
        <v>0.679</v>
      </c>
      <c r="G24" s="54">
        <v>1.0</v>
      </c>
      <c r="H24" s="54" t="s">
        <v>14</v>
      </c>
      <c r="I24" s="50" t="s">
        <v>1441</v>
      </c>
      <c r="J24" s="50" t="s">
        <v>1419</v>
      </c>
      <c r="K24" s="44" t="str">
        <f t="shared" si="1"/>
        <v>Abstractive Deviation</v>
      </c>
    </row>
    <row r="25" ht="15.75" customHeight="1">
      <c r="A25" s="50" t="s">
        <v>70</v>
      </c>
      <c r="B25" s="50" t="s">
        <v>302</v>
      </c>
      <c r="C25" s="50" t="s">
        <v>303</v>
      </c>
      <c r="D25" s="54">
        <v>0.444</v>
      </c>
      <c r="E25" s="54">
        <v>0.812</v>
      </c>
      <c r="F25" s="54">
        <v>0.2</v>
      </c>
      <c r="G25" s="54">
        <v>1.0</v>
      </c>
      <c r="H25" s="54" t="s">
        <v>14</v>
      </c>
      <c r="I25" s="50" t="s">
        <v>1442</v>
      </c>
      <c r="J25" s="50" t="s">
        <v>1419</v>
      </c>
      <c r="K25" s="44" t="str">
        <f t="shared" si="1"/>
        <v>Other Error</v>
      </c>
    </row>
    <row r="26" ht="15.75" customHeight="1">
      <c r="A26" s="50" t="s">
        <v>115</v>
      </c>
      <c r="B26" s="50" t="s">
        <v>320</v>
      </c>
      <c r="C26" s="50" t="s">
        <v>321</v>
      </c>
      <c r="D26" s="54">
        <v>0.467</v>
      </c>
      <c r="E26" s="54">
        <v>0.994</v>
      </c>
      <c r="F26" s="54">
        <v>1.0</v>
      </c>
      <c r="G26" s="54">
        <v>0.8</v>
      </c>
      <c r="H26" s="54" t="s">
        <v>14</v>
      </c>
      <c r="I26" s="50" t="s">
        <v>1443</v>
      </c>
      <c r="J26" s="50" t="s">
        <v>1419</v>
      </c>
      <c r="K26" s="44" t="str">
        <f t="shared" si="1"/>
        <v>Abstractive Deviation</v>
      </c>
    </row>
    <row r="27" ht="15.75" customHeight="1">
      <c r="A27" s="50" t="s">
        <v>121</v>
      </c>
      <c r="B27" s="50" t="s">
        <v>336</v>
      </c>
      <c r="C27" s="50" t="s">
        <v>337</v>
      </c>
      <c r="D27" s="54">
        <v>0.909</v>
      </c>
      <c r="E27" s="54">
        <v>0.997</v>
      </c>
      <c r="F27" s="54">
        <v>0.45</v>
      </c>
      <c r="G27" s="54">
        <v>0.2</v>
      </c>
      <c r="H27" s="54" t="s">
        <v>15</v>
      </c>
      <c r="I27" s="50" t="s">
        <v>1444</v>
      </c>
      <c r="J27" s="50" t="s">
        <v>1419</v>
      </c>
      <c r="K27" s="44" t="str">
        <f t="shared" si="1"/>
        <v>Other Error</v>
      </c>
    </row>
    <row r="28" ht="15.75" customHeight="1">
      <c r="A28" s="50" t="s">
        <v>124</v>
      </c>
      <c r="B28" s="50" t="s">
        <v>338</v>
      </c>
      <c r="C28" s="50" t="s">
        <v>339</v>
      </c>
      <c r="D28" s="54">
        <v>0.0</v>
      </c>
      <c r="E28" s="54">
        <v>0.908</v>
      </c>
      <c r="F28" s="54">
        <v>0.0</v>
      </c>
      <c r="G28" s="54">
        <v>0.333</v>
      </c>
      <c r="H28" s="54" t="s">
        <v>15</v>
      </c>
      <c r="I28" s="50" t="s">
        <v>1445</v>
      </c>
      <c r="J28" s="50" t="s">
        <v>1419</v>
      </c>
      <c r="K28" s="44" t="str">
        <f t="shared" si="1"/>
        <v>Unsupported Generation</v>
      </c>
    </row>
    <row r="29" ht="15.75" customHeight="1">
      <c r="A29" s="50" t="s">
        <v>133</v>
      </c>
      <c r="B29" s="50" t="s">
        <v>344</v>
      </c>
      <c r="C29" s="50" t="s">
        <v>345</v>
      </c>
      <c r="D29" s="54">
        <v>0.05</v>
      </c>
      <c r="E29" s="54">
        <v>0.993</v>
      </c>
      <c r="F29" s="54">
        <v>0.0</v>
      </c>
      <c r="G29" s="54">
        <v>0.583</v>
      </c>
      <c r="H29" s="54" t="s">
        <v>15</v>
      </c>
      <c r="I29" s="50" t="s">
        <v>1446</v>
      </c>
      <c r="J29" s="50" t="s">
        <v>1419</v>
      </c>
      <c r="K29" s="44" t="str">
        <f t="shared" si="1"/>
        <v>Other Error</v>
      </c>
    </row>
    <row r="30" ht="15.75" customHeight="1">
      <c r="A30" s="50" t="s">
        <v>163</v>
      </c>
      <c r="B30" s="50" t="s">
        <v>364</v>
      </c>
      <c r="C30" s="50" t="s">
        <v>365</v>
      </c>
      <c r="D30" s="54">
        <v>0.273</v>
      </c>
      <c r="E30" s="54">
        <v>0.0</v>
      </c>
      <c r="F30" s="54">
        <v>1.0</v>
      </c>
      <c r="G30" s="54">
        <v>0.615</v>
      </c>
      <c r="H30" s="54" t="s">
        <v>15</v>
      </c>
      <c r="I30" s="50" t="s">
        <v>1447</v>
      </c>
      <c r="J30" s="50" t="s">
        <v>1419</v>
      </c>
      <c r="K30" s="44" t="str">
        <f t="shared" si="1"/>
        <v>Other Error</v>
      </c>
    </row>
    <row r="31" ht="15.75" customHeight="1">
      <c r="A31" s="50" t="s">
        <v>166</v>
      </c>
      <c r="B31" s="50" t="s">
        <v>366</v>
      </c>
      <c r="C31" s="50" t="s">
        <v>367</v>
      </c>
      <c r="D31" s="54">
        <v>0.0</v>
      </c>
      <c r="E31" s="54">
        <v>1.0</v>
      </c>
      <c r="F31" s="54">
        <v>0.804</v>
      </c>
      <c r="G31" s="54">
        <v>0.286</v>
      </c>
      <c r="H31" s="54" t="s">
        <v>16</v>
      </c>
      <c r="I31" s="50" t="s">
        <v>1448</v>
      </c>
      <c r="J31" s="50" t="s">
        <v>1419</v>
      </c>
      <c r="K31" s="44" t="str">
        <f t="shared" si="1"/>
        <v>Other Error</v>
      </c>
    </row>
    <row r="32" ht="15.75" customHeight="1">
      <c r="A32" s="50" t="s">
        <v>172</v>
      </c>
      <c r="B32" s="50" t="s">
        <v>371</v>
      </c>
      <c r="C32" s="50" t="s">
        <v>372</v>
      </c>
      <c r="D32" s="54">
        <v>0.4</v>
      </c>
      <c r="E32" s="54">
        <v>0.916</v>
      </c>
      <c r="F32" s="54">
        <v>0.417</v>
      </c>
      <c r="G32" s="54">
        <v>0.0</v>
      </c>
      <c r="H32" s="54" t="s">
        <v>16</v>
      </c>
      <c r="I32" s="50" t="s">
        <v>1449</v>
      </c>
      <c r="J32" s="50" t="s">
        <v>1419</v>
      </c>
      <c r="K32" s="44" t="str">
        <f t="shared" si="1"/>
        <v>Unsupported Generation</v>
      </c>
    </row>
    <row r="33" ht="15.75" customHeight="1">
      <c r="A33" s="50" t="s">
        <v>181</v>
      </c>
      <c r="B33" s="50" t="s">
        <v>377</v>
      </c>
      <c r="C33" s="50" t="s">
        <v>378</v>
      </c>
      <c r="D33" s="54">
        <v>0.0</v>
      </c>
      <c r="E33" s="54">
        <v>0.78</v>
      </c>
      <c r="F33" s="54">
        <v>0.887</v>
      </c>
      <c r="G33" s="54">
        <v>0.667</v>
      </c>
      <c r="H33" s="54" t="s">
        <v>16</v>
      </c>
      <c r="I33" s="50" t="s">
        <v>1450</v>
      </c>
      <c r="J33" s="50" t="s">
        <v>1419</v>
      </c>
      <c r="K33" s="44" t="str">
        <f t="shared" si="1"/>
        <v>Abstractive Deviation</v>
      </c>
    </row>
    <row r="34" ht="15.75" customHeight="1">
      <c r="A34" s="50" t="s">
        <v>184</v>
      </c>
      <c r="B34" s="50" t="s">
        <v>379</v>
      </c>
      <c r="C34" s="50" t="s">
        <v>380</v>
      </c>
      <c r="D34" s="54">
        <v>0.0</v>
      </c>
      <c r="E34" s="54">
        <v>0.858</v>
      </c>
      <c r="F34" s="54">
        <v>1.0</v>
      </c>
      <c r="G34" s="54">
        <v>1.0</v>
      </c>
      <c r="H34" s="54" t="s">
        <v>16</v>
      </c>
      <c r="I34" s="50" t="s">
        <v>1451</v>
      </c>
      <c r="J34" s="50" t="s">
        <v>1419</v>
      </c>
      <c r="K34" s="44" t="str">
        <f t="shared" si="1"/>
        <v>Abstractive Deviation</v>
      </c>
    </row>
    <row r="35" ht="15.75" customHeight="1">
      <c r="A35" s="50" t="s">
        <v>202</v>
      </c>
      <c r="B35" s="50" t="s">
        <v>391</v>
      </c>
      <c r="C35" s="50" t="s">
        <v>392</v>
      </c>
      <c r="D35" s="54">
        <v>0.0</v>
      </c>
      <c r="E35" s="54">
        <v>0.605</v>
      </c>
      <c r="F35" s="54">
        <v>0.2</v>
      </c>
      <c r="G35" s="54">
        <v>0.0</v>
      </c>
      <c r="H35" s="54" t="s">
        <v>16</v>
      </c>
      <c r="I35" s="50" t="s">
        <v>1452</v>
      </c>
      <c r="J35" s="50" t="s">
        <v>1419</v>
      </c>
      <c r="K35" s="44" t="str">
        <f t="shared" si="1"/>
        <v>Unsupported Generation</v>
      </c>
    </row>
    <row r="36" ht="15.75" customHeight="1">
      <c r="A36" s="50" t="s">
        <v>205</v>
      </c>
      <c r="B36" s="50" t="s">
        <v>393</v>
      </c>
      <c r="C36" s="50" t="s">
        <v>394</v>
      </c>
      <c r="D36" s="54">
        <v>0.185</v>
      </c>
      <c r="E36" s="54">
        <v>1.0</v>
      </c>
      <c r="F36" s="54">
        <v>0.589</v>
      </c>
      <c r="G36" s="54">
        <v>1.0</v>
      </c>
      <c r="H36" s="54" t="s">
        <v>16</v>
      </c>
      <c r="I36" s="50" t="s">
        <v>1453</v>
      </c>
      <c r="J36" s="50" t="s">
        <v>1419</v>
      </c>
      <c r="K36" s="44" t="str">
        <f t="shared" si="1"/>
        <v>Abstractive Deviation</v>
      </c>
    </row>
    <row r="37" ht="15.75" customHeight="1">
      <c r="A37" s="50" t="s">
        <v>214</v>
      </c>
      <c r="B37" s="50" t="s">
        <v>399</v>
      </c>
      <c r="C37" s="50" t="s">
        <v>400</v>
      </c>
      <c r="D37" s="54">
        <v>0.125</v>
      </c>
      <c r="E37" s="54">
        <v>0.759</v>
      </c>
      <c r="F37" s="54">
        <v>0.75</v>
      </c>
      <c r="G37" s="54">
        <v>0.8</v>
      </c>
      <c r="H37" s="54" t="s">
        <v>16</v>
      </c>
      <c r="I37" s="50" t="s">
        <v>1454</v>
      </c>
      <c r="J37" s="50" t="s">
        <v>1419</v>
      </c>
      <c r="K37" s="44" t="str">
        <f t="shared" si="1"/>
        <v>Abstractive Deviation</v>
      </c>
    </row>
    <row r="38" ht="15.75" customHeight="1">
      <c r="A38" s="50" t="s">
        <v>220</v>
      </c>
      <c r="B38" s="50" t="s">
        <v>403</v>
      </c>
      <c r="C38" s="50" t="s">
        <v>404</v>
      </c>
      <c r="D38" s="54">
        <v>0.25</v>
      </c>
      <c r="E38" s="54">
        <v>0.739</v>
      </c>
      <c r="F38" s="54">
        <v>0.917</v>
      </c>
      <c r="G38" s="54">
        <v>1.0</v>
      </c>
      <c r="H38" s="54" t="s">
        <v>16</v>
      </c>
      <c r="I38" s="50" t="s">
        <v>1455</v>
      </c>
      <c r="J38" s="50" t="s">
        <v>1419</v>
      </c>
      <c r="K38" s="44" t="str">
        <f t="shared" si="1"/>
        <v>Abstractive Deviation</v>
      </c>
    </row>
    <row r="39" ht="15.75" customHeight="1">
      <c r="A39" s="50" t="s">
        <v>232</v>
      </c>
      <c r="B39" s="50" t="s">
        <v>411</v>
      </c>
      <c r="C39" s="50" t="s">
        <v>412</v>
      </c>
      <c r="D39" s="54">
        <v>0.333</v>
      </c>
      <c r="E39" s="54">
        <v>0.797</v>
      </c>
      <c r="F39" s="54">
        <v>0.639</v>
      </c>
      <c r="G39" s="54">
        <v>0.857</v>
      </c>
      <c r="H39" s="54" t="s">
        <v>17</v>
      </c>
      <c r="I39" s="50" t="s">
        <v>1456</v>
      </c>
      <c r="J39" s="50" t="s">
        <v>1419</v>
      </c>
      <c r="K39" s="44" t="str">
        <f t="shared" si="1"/>
        <v>Abstractive Deviation</v>
      </c>
    </row>
    <row r="40" ht="15.75" customHeight="1">
      <c r="A40" s="50" t="s">
        <v>265</v>
      </c>
      <c r="B40" s="50" t="s">
        <v>433</v>
      </c>
      <c r="C40" s="50" t="s">
        <v>434</v>
      </c>
      <c r="D40" s="54">
        <v>0.273</v>
      </c>
      <c r="E40" s="54">
        <v>0.978</v>
      </c>
      <c r="F40" s="54">
        <v>0.333</v>
      </c>
      <c r="G40" s="54">
        <v>1.0</v>
      </c>
      <c r="H40" s="54" t="s">
        <v>17</v>
      </c>
      <c r="I40" s="50" t="s">
        <v>1457</v>
      </c>
      <c r="J40" s="50" t="s">
        <v>1419</v>
      </c>
      <c r="K40" s="44" t="str">
        <f t="shared" si="1"/>
        <v>Other Error</v>
      </c>
    </row>
    <row r="41" ht="15.75" customHeight="1">
      <c r="A41" s="50" t="s">
        <v>271</v>
      </c>
      <c r="B41" s="50" t="s">
        <v>437</v>
      </c>
      <c r="C41" s="50" t="s">
        <v>438</v>
      </c>
      <c r="D41" s="54">
        <v>0.375</v>
      </c>
      <c r="E41" s="54">
        <v>0.634</v>
      </c>
      <c r="F41" s="54">
        <v>0.867</v>
      </c>
      <c r="G41" s="54">
        <v>1.0</v>
      </c>
      <c r="H41" s="54" t="s">
        <v>17</v>
      </c>
      <c r="I41" s="50" t="s">
        <v>1458</v>
      </c>
      <c r="J41" s="50" t="s">
        <v>1419</v>
      </c>
      <c r="K41" s="44" t="str">
        <f t="shared" si="1"/>
        <v>Abstractive Deviation</v>
      </c>
    </row>
    <row r="42" ht="15.75" customHeight="1">
      <c r="A42" s="50" t="s">
        <v>280</v>
      </c>
      <c r="B42" s="50" t="s">
        <v>443</v>
      </c>
      <c r="C42" s="50" t="s">
        <v>444</v>
      </c>
      <c r="D42" s="54">
        <v>0.2</v>
      </c>
      <c r="E42" s="54">
        <v>0.413</v>
      </c>
      <c r="F42" s="54">
        <v>0.75</v>
      </c>
      <c r="G42" s="54">
        <v>1.0</v>
      </c>
      <c r="H42" s="54" t="s">
        <v>17</v>
      </c>
      <c r="I42" s="50" t="s">
        <v>1459</v>
      </c>
      <c r="J42" s="50" t="s">
        <v>1419</v>
      </c>
      <c r="K42" s="44" t="str">
        <f t="shared" si="1"/>
        <v>Other Error</v>
      </c>
    </row>
    <row r="43" ht="15.75" customHeight="1">
      <c r="A43" s="50" t="s">
        <v>52</v>
      </c>
      <c r="B43" s="50" t="s">
        <v>772</v>
      </c>
      <c r="C43" s="50" t="s">
        <v>773</v>
      </c>
      <c r="D43" s="54">
        <v>0.455</v>
      </c>
      <c r="E43" s="54">
        <v>0.968</v>
      </c>
      <c r="F43" s="54">
        <v>1.0</v>
      </c>
      <c r="G43" s="54">
        <v>0.625</v>
      </c>
      <c r="H43" s="54" t="s">
        <v>14</v>
      </c>
      <c r="I43" s="50" t="s">
        <v>1460</v>
      </c>
      <c r="J43" s="50" t="s">
        <v>1419</v>
      </c>
      <c r="K43" s="44" t="str">
        <f t="shared" si="1"/>
        <v>Abstractive Deviation</v>
      </c>
    </row>
    <row r="44" ht="15.75" customHeight="1">
      <c r="A44" s="50" t="s">
        <v>70</v>
      </c>
      <c r="B44" s="50" t="s">
        <v>782</v>
      </c>
      <c r="C44" s="50" t="s">
        <v>783</v>
      </c>
      <c r="D44" s="54">
        <v>0.154</v>
      </c>
      <c r="E44" s="54">
        <v>0.955</v>
      </c>
      <c r="F44" s="54">
        <v>1.0</v>
      </c>
      <c r="G44" s="54">
        <v>0.75</v>
      </c>
      <c r="H44" s="54" t="s">
        <v>14</v>
      </c>
      <c r="I44" s="50" t="s">
        <v>1461</v>
      </c>
      <c r="J44" s="50" t="s">
        <v>1419</v>
      </c>
      <c r="K44" s="44" t="str">
        <f t="shared" si="1"/>
        <v>Abstractive Deviation</v>
      </c>
    </row>
    <row r="45" ht="15.75" customHeight="1">
      <c r="A45" s="50" t="s">
        <v>76</v>
      </c>
      <c r="B45" s="50" t="s">
        <v>786</v>
      </c>
      <c r="C45" s="50" t="s">
        <v>787</v>
      </c>
      <c r="D45" s="54">
        <v>0.333</v>
      </c>
      <c r="E45" s="54">
        <v>0.747</v>
      </c>
      <c r="F45" s="54">
        <v>1.0</v>
      </c>
      <c r="G45" s="54">
        <v>0.429</v>
      </c>
      <c r="H45" s="54" t="s">
        <v>14</v>
      </c>
      <c r="I45" s="50" t="s">
        <v>1462</v>
      </c>
      <c r="J45" s="50" t="s">
        <v>1419</v>
      </c>
      <c r="K45" s="44" t="str">
        <f t="shared" si="1"/>
        <v>Other Error</v>
      </c>
    </row>
    <row r="46" ht="15.75" customHeight="1">
      <c r="A46" s="50" t="s">
        <v>85</v>
      </c>
      <c r="B46" s="50" t="s">
        <v>792</v>
      </c>
      <c r="C46" s="50" t="s">
        <v>793</v>
      </c>
      <c r="D46" s="54">
        <v>0.0</v>
      </c>
      <c r="E46" s="54">
        <v>0.985</v>
      </c>
      <c r="F46" s="54">
        <v>0.5</v>
      </c>
      <c r="G46" s="54">
        <v>0.0</v>
      </c>
      <c r="H46" s="54" t="s">
        <v>14</v>
      </c>
      <c r="I46" s="50" t="s">
        <v>1463</v>
      </c>
      <c r="J46" s="50" t="s">
        <v>1419</v>
      </c>
      <c r="K46" s="44" t="str">
        <f t="shared" si="1"/>
        <v>Unsupported Generation</v>
      </c>
    </row>
    <row r="47" ht="15.75" customHeight="1">
      <c r="A47" s="50" t="s">
        <v>118</v>
      </c>
      <c r="B47" s="50" t="s">
        <v>814</v>
      </c>
      <c r="C47" s="50" t="s">
        <v>815</v>
      </c>
      <c r="D47" s="54">
        <v>0.667</v>
      </c>
      <c r="E47" s="54">
        <v>0.0</v>
      </c>
      <c r="F47" s="54">
        <v>0.0</v>
      </c>
      <c r="G47" s="54">
        <v>0.6</v>
      </c>
      <c r="H47" s="54" t="s">
        <v>15</v>
      </c>
      <c r="I47" s="50" t="s">
        <v>1464</v>
      </c>
      <c r="J47" s="50" t="s">
        <v>1419</v>
      </c>
      <c r="K47" s="44" t="str">
        <f t="shared" si="1"/>
        <v>Other Error</v>
      </c>
    </row>
    <row r="48" ht="15.75" customHeight="1">
      <c r="A48" s="50" t="s">
        <v>163</v>
      </c>
      <c r="B48" s="50" t="s">
        <v>844</v>
      </c>
      <c r="C48" s="50" t="s">
        <v>845</v>
      </c>
      <c r="D48" s="54">
        <v>0.25</v>
      </c>
      <c r="E48" s="54">
        <v>0.581</v>
      </c>
      <c r="F48" s="54">
        <v>1.0</v>
      </c>
      <c r="G48" s="54">
        <v>0.833</v>
      </c>
      <c r="H48" s="54" t="s">
        <v>15</v>
      </c>
      <c r="I48" s="50" t="s">
        <v>1465</v>
      </c>
      <c r="J48" s="50" t="s">
        <v>1419</v>
      </c>
      <c r="K48" s="44" t="str">
        <f t="shared" si="1"/>
        <v>Abstractive Deviation</v>
      </c>
    </row>
    <row r="49" ht="15.75" customHeight="1">
      <c r="A49" s="50" t="s">
        <v>169</v>
      </c>
      <c r="B49" s="50" t="s">
        <v>848</v>
      </c>
      <c r="C49" s="50" t="s">
        <v>849</v>
      </c>
      <c r="D49" s="54">
        <v>0.467</v>
      </c>
      <c r="E49" s="54">
        <v>0.873</v>
      </c>
      <c r="F49" s="54">
        <v>0.0</v>
      </c>
      <c r="G49" s="54">
        <v>0.333</v>
      </c>
      <c r="H49" s="54" t="s">
        <v>16</v>
      </c>
      <c r="I49" s="50" t="s">
        <v>1466</v>
      </c>
      <c r="J49" s="50" t="s">
        <v>1419</v>
      </c>
      <c r="K49" s="44" t="str">
        <f t="shared" si="1"/>
        <v>Unsupported Generation</v>
      </c>
    </row>
    <row r="50" ht="15.75" customHeight="1">
      <c r="A50" s="50" t="s">
        <v>175</v>
      </c>
      <c r="B50" s="50" t="s">
        <v>852</v>
      </c>
      <c r="C50" s="50" t="s">
        <v>853</v>
      </c>
      <c r="D50" s="54">
        <v>0.333</v>
      </c>
      <c r="E50" s="54">
        <v>0.983</v>
      </c>
      <c r="F50" s="54">
        <v>0.833</v>
      </c>
      <c r="G50" s="54">
        <v>0.333</v>
      </c>
      <c r="H50" s="54" t="s">
        <v>16</v>
      </c>
      <c r="I50" s="50" t="s">
        <v>1467</v>
      </c>
      <c r="J50" s="50" t="s">
        <v>1419</v>
      </c>
      <c r="K50" s="44" t="str">
        <f t="shared" si="1"/>
        <v>Other Error</v>
      </c>
    </row>
    <row r="51" ht="15.75" customHeight="1">
      <c r="A51" s="50" t="s">
        <v>196</v>
      </c>
      <c r="B51" s="50" t="s">
        <v>867</v>
      </c>
      <c r="C51" s="50" t="s">
        <v>868</v>
      </c>
      <c r="D51" s="54">
        <v>0.182</v>
      </c>
      <c r="E51" s="54">
        <v>0.809</v>
      </c>
      <c r="F51" s="54">
        <v>1.0</v>
      </c>
      <c r="G51" s="54">
        <v>0.167</v>
      </c>
      <c r="H51" s="54" t="s">
        <v>16</v>
      </c>
      <c r="I51" s="50" t="s">
        <v>1468</v>
      </c>
      <c r="J51" s="50" t="s">
        <v>1419</v>
      </c>
      <c r="K51" s="44" t="str">
        <f t="shared" si="1"/>
        <v>Other Error</v>
      </c>
    </row>
    <row r="52" ht="15.75" customHeight="1">
      <c r="A52" s="50" t="s">
        <v>205</v>
      </c>
      <c r="B52" s="50" t="s">
        <v>873</v>
      </c>
      <c r="C52" s="50" t="s">
        <v>874</v>
      </c>
      <c r="D52" s="54">
        <v>0.214</v>
      </c>
      <c r="E52" s="54">
        <v>1.0</v>
      </c>
      <c r="F52" s="54">
        <v>1.0</v>
      </c>
      <c r="G52" s="54">
        <v>1.0</v>
      </c>
      <c r="H52" s="54" t="s">
        <v>16</v>
      </c>
      <c r="I52" s="50" t="s">
        <v>1469</v>
      </c>
      <c r="J52" s="50" t="s">
        <v>1419</v>
      </c>
      <c r="K52" s="44" t="str">
        <f t="shared" si="1"/>
        <v>Abstractive Deviation</v>
      </c>
    </row>
    <row r="53" ht="15.75" customHeight="1">
      <c r="A53" s="50" t="s">
        <v>208</v>
      </c>
      <c r="B53" s="50" t="s">
        <v>875</v>
      </c>
      <c r="C53" s="50" t="s">
        <v>876</v>
      </c>
      <c r="D53" s="54">
        <v>0.529</v>
      </c>
      <c r="E53" s="54">
        <v>0.837</v>
      </c>
      <c r="F53" s="54">
        <v>1.0</v>
      </c>
      <c r="G53" s="54">
        <v>0.0</v>
      </c>
      <c r="H53" s="54" t="s">
        <v>16</v>
      </c>
      <c r="I53" s="50" t="s">
        <v>1470</v>
      </c>
      <c r="J53" s="50" t="s">
        <v>1419</v>
      </c>
      <c r="K53" s="44" t="str">
        <f t="shared" si="1"/>
        <v>Other Error</v>
      </c>
    </row>
    <row r="54" ht="15.75" customHeight="1">
      <c r="A54" s="50" t="s">
        <v>262</v>
      </c>
      <c r="B54" s="50" t="s">
        <v>909</v>
      </c>
      <c r="C54" s="50" t="s">
        <v>910</v>
      </c>
      <c r="D54" s="54">
        <v>0.286</v>
      </c>
      <c r="E54" s="54">
        <v>0.893</v>
      </c>
      <c r="F54" s="54">
        <v>0.833</v>
      </c>
      <c r="G54" s="54">
        <v>1.0</v>
      </c>
      <c r="H54" s="54" t="s">
        <v>17</v>
      </c>
      <c r="I54" s="50" t="s">
        <v>1471</v>
      </c>
      <c r="J54" s="50" t="s">
        <v>1419</v>
      </c>
      <c r="K54" s="44" t="str">
        <f t="shared" si="1"/>
        <v>Abstractive Deviation</v>
      </c>
    </row>
    <row r="55" ht="15.75" customHeight="1">
      <c r="A55" s="50" t="s">
        <v>49</v>
      </c>
      <c r="B55" s="50" t="s">
        <v>1087</v>
      </c>
      <c r="C55" s="50" t="s">
        <v>1088</v>
      </c>
      <c r="D55" s="54">
        <v>0.111</v>
      </c>
      <c r="E55" s="54">
        <v>1.0</v>
      </c>
      <c r="F55" s="54">
        <v>0.5</v>
      </c>
      <c r="G55" s="54">
        <v>0.5</v>
      </c>
      <c r="H55" s="54" t="s">
        <v>14</v>
      </c>
      <c r="I55" s="50" t="s">
        <v>1472</v>
      </c>
      <c r="J55" s="50" t="s">
        <v>1419</v>
      </c>
      <c r="K55" s="44" t="str">
        <f t="shared" si="1"/>
        <v>Abstractive Deviation</v>
      </c>
    </row>
    <row r="56" ht="15.75" customHeight="1">
      <c r="A56" s="50" t="s">
        <v>67</v>
      </c>
      <c r="B56" s="50" t="s">
        <v>1097</v>
      </c>
      <c r="C56" s="50" t="s">
        <v>1098</v>
      </c>
      <c r="D56" s="54">
        <v>0.25</v>
      </c>
      <c r="E56" s="54">
        <v>0.891</v>
      </c>
      <c r="F56" s="54">
        <v>1.0</v>
      </c>
      <c r="G56" s="54">
        <v>1.0</v>
      </c>
      <c r="H56" s="54" t="s">
        <v>14</v>
      </c>
      <c r="I56" s="50" t="s">
        <v>1473</v>
      </c>
      <c r="J56" s="50" t="s">
        <v>1419</v>
      </c>
      <c r="K56" s="44" t="str">
        <f t="shared" si="1"/>
        <v>Abstractive Deviation</v>
      </c>
    </row>
    <row r="57" ht="15.75" customHeight="1">
      <c r="A57" s="50" t="s">
        <v>85</v>
      </c>
      <c r="B57" s="50" t="s">
        <v>1109</v>
      </c>
      <c r="C57" s="50" t="s">
        <v>1110</v>
      </c>
      <c r="D57" s="54">
        <v>0.273</v>
      </c>
      <c r="E57" s="54">
        <v>0.985</v>
      </c>
      <c r="F57" s="54">
        <v>0.333</v>
      </c>
      <c r="G57" s="54">
        <v>0.0</v>
      </c>
      <c r="H57" s="54" t="s">
        <v>14</v>
      </c>
      <c r="I57" s="50" t="s">
        <v>1474</v>
      </c>
      <c r="J57" s="50" t="s">
        <v>1419</v>
      </c>
      <c r="K57" s="44" t="str">
        <f t="shared" si="1"/>
        <v>Unsupported Generation</v>
      </c>
    </row>
    <row r="58" ht="15.75" customHeight="1">
      <c r="A58" s="50" t="s">
        <v>94</v>
      </c>
      <c r="B58" s="50" t="s">
        <v>1115</v>
      </c>
      <c r="C58" s="50" t="s">
        <v>1116</v>
      </c>
      <c r="D58" s="54">
        <v>0.474</v>
      </c>
      <c r="E58" s="54">
        <v>0.889</v>
      </c>
      <c r="F58" s="54">
        <v>1.0</v>
      </c>
      <c r="G58" s="54">
        <v>0.8</v>
      </c>
      <c r="H58" s="54" t="s">
        <v>14</v>
      </c>
      <c r="I58" s="50" t="s">
        <v>1475</v>
      </c>
      <c r="J58" s="50" t="s">
        <v>1419</v>
      </c>
      <c r="K58" s="44" t="str">
        <f t="shared" si="1"/>
        <v>Abstractive Deviation</v>
      </c>
    </row>
    <row r="59" ht="15.75" customHeight="1">
      <c r="A59" s="50" t="s">
        <v>106</v>
      </c>
      <c r="B59" s="50" t="s">
        <v>1127</v>
      </c>
      <c r="C59" s="50" t="s">
        <v>1128</v>
      </c>
      <c r="D59" s="54">
        <v>0.444</v>
      </c>
      <c r="E59" s="54">
        <v>0.0</v>
      </c>
      <c r="F59" s="54">
        <v>0.0</v>
      </c>
      <c r="G59" s="54">
        <v>0.667</v>
      </c>
      <c r="H59" s="54" t="s">
        <v>15</v>
      </c>
      <c r="I59" s="50" t="s">
        <v>1476</v>
      </c>
      <c r="J59" s="50" t="s">
        <v>1419</v>
      </c>
      <c r="K59" s="44" t="str">
        <f t="shared" si="1"/>
        <v>Other Error</v>
      </c>
    </row>
    <row r="60" ht="15.75" customHeight="1">
      <c r="A60" s="50" t="s">
        <v>109</v>
      </c>
      <c r="B60" s="50" t="s">
        <v>1129</v>
      </c>
      <c r="C60" s="50" t="s">
        <v>1130</v>
      </c>
      <c r="D60" s="54">
        <v>0.467</v>
      </c>
      <c r="E60" s="54">
        <v>0.0</v>
      </c>
      <c r="F60" s="54">
        <v>1.0</v>
      </c>
      <c r="G60" s="54">
        <v>0.8</v>
      </c>
      <c r="H60" s="54" t="s">
        <v>15</v>
      </c>
      <c r="I60" s="50" t="s">
        <v>1477</v>
      </c>
      <c r="J60" s="50" t="s">
        <v>1419</v>
      </c>
      <c r="K60" s="44" t="str">
        <f t="shared" si="1"/>
        <v>Other Error</v>
      </c>
    </row>
    <row r="61" ht="15.75" customHeight="1">
      <c r="A61" s="50" t="s">
        <v>121</v>
      </c>
      <c r="B61" s="50" t="s">
        <v>1135</v>
      </c>
      <c r="C61" s="50" t="s">
        <v>1136</v>
      </c>
      <c r="D61" s="54">
        <v>0.25</v>
      </c>
      <c r="E61" s="54">
        <v>0.978</v>
      </c>
      <c r="F61" s="54">
        <v>0.333</v>
      </c>
      <c r="G61" s="54">
        <v>1.0</v>
      </c>
      <c r="H61" s="54" t="s">
        <v>15</v>
      </c>
      <c r="I61" s="50" t="s">
        <v>1478</v>
      </c>
      <c r="J61" s="50" t="s">
        <v>1419</v>
      </c>
      <c r="K61" s="44" t="str">
        <f t="shared" si="1"/>
        <v>Other Error</v>
      </c>
    </row>
    <row r="62" ht="15.75" customHeight="1">
      <c r="A62" s="50" t="s">
        <v>130</v>
      </c>
      <c r="B62" s="50" t="s">
        <v>1141</v>
      </c>
      <c r="C62" s="50" t="s">
        <v>1142</v>
      </c>
      <c r="D62" s="54">
        <v>0.462</v>
      </c>
      <c r="E62" s="54">
        <v>0.798</v>
      </c>
      <c r="F62" s="54">
        <v>1.0</v>
      </c>
      <c r="G62" s="54">
        <v>0.667</v>
      </c>
      <c r="H62" s="54" t="s">
        <v>15</v>
      </c>
      <c r="I62" s="50" t="s">
        <v>1479</v>
      </c>
      <c r="J62" s="50" t="s">
        <v>1419</v>
      </c>
      <c r="K62" s="44" t="str">
        <f t="shared" si="1"/>
        <v>Abstractive Deviation</v>
      </c>
    </row>
    <row r="63" ht="15.75" customHeight="1">
      <c r="A63" s="50" t="s">
        <v>157</v>
      </c>
      <c r="B63" s="50" t="s">
        <v>1159</v>
      </c>
      <c r="C63" s="50" t="s">
        <v>1160</v>
      </c>
      <c r="D63" s="54">
        <v>0.333</v>
      </c>
      <c r="E63" s="54">
        <v>0.654</v>
      </c>
      <c r="F63" s="54">
        <v>0.333</v>
      </c>
      <c r="G63" s="54">
        <v>0.5</v>
      </c>
      <c r="H63" s="54" t="s">
        <v>15</v>
      </c>
      <c r="I63" s="50" t="s">
        <v>1480</v>
      </c>
      <c r="J63" s="50" t="s">
        <v>1419</v>
      </c>
      <c r="K63" s="44" t="str">
        <f t="shared" si="1"/>
        <v>Unsupported Generation</v>
      </c>
    </row>
    <row r="64" ht="15.75" customHeight="1">
      <c r="A64" s="50" t="s">
        <v>166</v>
      </c>
      <c r="B64" s="50" t="s">
        <v>1165</v>
      </c>
      <c r="C64" s="50" t="s">
        <v>1166</v>
      </c>
      <c r="D64" s="54">
        <v>0.154</v>
      </c>
      <c r="E64" s="54">
        <v>1.0</v>
      </c>
      <c r="F64" s="54">
        <v>1.0</v>
      </c>
      <c r="G64" s="54">
        <v>0.667</v>
      </c>
      <c r="H64" s="54" t="s">
        <v>16</v>
      </c>
      <c r="I64" s="50" t="s">
        <v>1481</v>
      </c>
      <c r="J64" s="50" t="s">
        <v>1419</v>
      </c>
      <c r="K64" s="44" t="str">
        <f t="shared" si="1"/>
        <v>Abstractive Deviation</v>
      </c>
    </row>
    <row r="65" ht="15.75" customHeight="1">
      <c r="A65" s="50" t="s">
        <v>184</v>
      </c>
      <c r="B65" s="50" t="s">
        <v>1177</v>
      </c>
      <c r="C65" s="50" t="s">
        <v>1178</v>
      </c>
      <c r="D65" s="54">
        <v>0.3</v>
      </c>
      <c r="E65" s="54">
        <v>0.85</v>
      </c>
      <c r="F65" s="54">
        <v>1.0</v>
      </c>
      <c r="G65" s="54">
        <v>0.333</v>
      </c>
      <c r="H65" s="54" t="s">
        <v>16</v>
      </c>
      <c r="I65" s="50" t="s">
        <v>1482</v>
      </c>
      <c r="J65" s="50" t="s">
        <v>1419</v>
      </c>
      <c r="K65" s="44" t="str">
        <f t="shared" si="1"/>
        <v>Other Error</v>
      </c>
    </row>
    <row r="66" ht="15.75" customHeight="1">
      <c r="A66" s="50" t="s">
        <v>196</v>
      </c>
      <c r="B66" s="50" t="s">
        <v>1185</v>
      </c>
      <c r="C66" s="50" t="s">
        <v>1186</v>
      </c>
      <c r="D66" s="54">
        <v>0.286</v>
      </c>
      <c r="E66" s="54">
        <v>0.842</v>
      </c>
      <c r="F66" s="54">
        <v>1.0</v>
      </c>
      <c r="G66" s="54">
        <v>1.0</v>
      </c>
      <c r="H66" s="54" t="s">
        <v>16</v>
      </c>
      <c r="I66" s="50" t="s">
        <v>1483</v>
      </c>
      <c r="J66" s="50" t="s">
        <v>1419</v>
      </c>
      <c r="K66" s="44" t="str">
        <f t="shared" si="1"/>
        <v>Abstractive Deviation</v>
      </c>
    </row>
    <row r="67" ht="15.75" customHeight="1">
      <c r="A67" s="50" t="s">
        <v>217</v>
      </c>
      <c r="B67" s="50" t="s">
        <v>1199</v>
      </c>
      <c r="C67" s="50" t="s">
        <v>1200</v>
      </c>
      <c r="D67" s="54">
        <v>0.0</v>
      </c>
      <c r="E67" s="54">
        <v>0.876</v>
      </c>
      <c r="F67" s="54">
        <v>0.0</v>
      </c>
      <c r="G67" s="54">
        <v>0.0</v>
      </c>
      <c r="H67" s="54" t="s">
        <v>16</v>
      </c>
      <c r="I67" s="50" t="s">
        <v>1484</v>
      </c>
      <c r="J67" s="50" t="s">
        <v>1419</v>
      </c>
      <c r="K67" s="44" t="str">
        <f t="shared" si="1"/>
        <v>Unsupported Generation</v>
      </c>
    </row>
    <row r="68" ht="15.75" customHeight="1">
      <c r="A68" s="50" t="s">
        <v>265</v>
      </c>
      <c r="B68" s="50" t="s">
        <v>1231</v>
      </c>
      <c r="C68" s="50" t="s">
        <v>1232</v>
      </c>
      <c r="D68" s="54">
        <v>0.375</v>
      </c>
      <c r="E68" s="54">
        <v>0.892</v>
      </c>
      <c r="F68" s="54">
        <v>1.0</v>
      </c>
      <c r="G68" s="54">
        <v>0.125</v>
      </c>
      <c r="H68" s="54" t="s">
        <v>17</v>
      </c>
      <c r="I68" s="50" t="s">
        <v>1485</v>
      </c>
      <c r="J68" s="50" t="s">
        <v>1419</v>
      </c>
      <c r="K68" s="44" t="str">
        <f t="shared" si="1"/>
        <v>Other Error</v>
      </c>
    </row>
    <row r="69" ht="15.75" customHeight="1">
      <c r="A69" s="50" t="s">
        <v>283</v>
      </c>
      <c r="B69" s="50" t="s">
        <v>1243</v>
      </c>
      <c r="C69" s="50" t="s">
        <v>1244</v>
      </c>
      <c r="D69" s="54">
        <v>0.143</v>
      </c>
      <c r="E69" s="54">
        <v>0.768</v>
      </c>
      <c r="F69" s="54">
        <v>0.333</v>
      </c>
      <c r="G69" s="54">
        <v>1.0</v>
      </c>
      <c r="H69" s="54" t="s">
        <v>17</v>
      </c>
      <c r="I69" s="50" t="s">
        <v>1486</v>
      </c>
      <c r="J69" s="50" t="s">
        <v>1419</v>
      </c>
      <c r="K69" s="44" t="str">
        <f t="shared" si="1"/>
        <v>Other Error</v>
      </c>
    </row>
    <row r="70" ht="15.75" customHeight="1">
      <c r="A70" s="50" t="s">
        <v>70</v>
      </c>
      <c r="B70" s="50" t="s">
        <v>943</v>
      </c>
      <c r="C70" s="50" t="s">
        <v>944</v>
      </c>
      <c r="D70" s="54">
        <v>0.417</v>
      </c>
      <c r="E70" s="54">
        <v>0.874</v>
      </c>
      <c r="F70" s="54">
        <v>1.0</v>
      </c>
      <c r="G70" s="54">
        <v>0.2</v>
      </c>
      <c r="H70" s="54" t="s">
        <v>14</v>
      </c>
      <c r="I70" s="50" t="s">
        <v>1487</v>
      </c>
      <c r="J70" s="50" t="s">
        <v>1419</v>
      </c>
      <c r="K70" s="44" t="str">
        <f t="shared" si="1"/>
        <v>Other Error</v>
      </c>
    </row>
    <row r="71" ht="15.75" customHeight="1">
      <c r="A71" s="50" t="s">
        <v>91</v>
      </c>
      <c r="B71" s="50" t="s">
        <v>957</v>
      </c>
      <c r="C71" s="50" t="s">
        <v>958</v>
      </c>
      <c r="D71" s="54">
        <v>0.5</v>
      </c>
      <c r="E71" s="54">
        <v>0.827</v>
      </c>
      <c r="F71" s="54">
        <v>0.867</v>
      </c>
      <c r="G71" s="54">
        <v>1.0</v>
      </c>
      <c r="H71" s="54" t="s">
        <v>14</v>
      </c>
      <c r="I71" s="50" t="s">
        <v>1488</v>
      </c>
      <c r="J71" s="50" t="s">
        <v>1419</v>
      </c>
      <c r="K71" s="44" t="str">
        <f t="shared" si="1"/>
        <v>Abstractive Deviation</v>
      </c>
    </row>
    <row r="72" ht="15.75" customHeight="1">
      <c r="A72" s="50" t="s">
        <v>94</v>
      </c>
      <c r="B72" s="50" t="s">
        <v>959</v>
      </c>
      <c r="C72" s="50" t="s">
        <v>960</v>
      </c>
      <c r="D72" s="54">
        <v>0.462</v>
      </c>
      <c r="E72" s="54">
        <v>0.912</v>
      </c>
      <c r="F72" s="54">
        <v>1.0</v>
      </c>
      <c r="G72" s="54">
        <v>0.286</v>
      </c>
      <c r="H72" s="54" t="s">
        <v>14</v>
      </c>
      <c r="I72" s="50" t="s">
        <v>1489</v>
      </c>
      <c r="J72" s="50" t="s">
        <v>1419</v>
      </c>
      <c r="K72" s="44" t="str">
        <f t="shared" si="1"/>
        <v>Other Error</v>
      </c>
    </row>
    <row r="73" ht="15.75" customHeight="1">
      <c r="A73" s="50" t="s">
        <v>160</v>
      </c>
      <c r="B73" s="50" t="s">
        <v>1001</v>
      </c>
      <c r="C73" s="50" t="s">
        <v>1002</v>
      </c>
      <c r="D73" s="54">
        <v>0.786</v>
      </c>
      <c r="E73" s="54">
        <v>0.66</v>
      </c>
      <c r="F73" s="54">
        <v>1.0</v>
      </c>
      <c r="G73" s="54">
        <v>0.4</v>
      </c>
      <c r="H73" s="54" t="s">
        <v>15</v>
      </c>
      <c r="I73" s="50" t="s">
        <v>1490</v>
      </c>
      <c r="J73" s="50" t="s">
        <v>1419</v>
      </c>
      <c r="K73" s="44" t="str">
        <f t="shared" si="1"/>
        <v>Other Error</v>
      </c>
    </row>
    <row r="74" ht="15.75" customHeight="1">
      <c r="A74" s="50" t="s">
        <v>163</v>
      </c>
      <c r="B74" s="50" t="s">
        <v>1003</v>
      </c>
      <c r="C74" s="50" t="s">
        <v>1004</v>
      </c>
      <c r="D74" s="54">
        <v>0.25</v>
      </c>
      <c r="E74" s="54">
        <v>0.665</v>
      </c>
      <c r="F74" s="54">
        <v>1.0</v>
      </c>
      <c r="G74" s="54">
        <v>1.0</v>
      </c>
      <c r="H74" s="54" t="s">
        <v>15</v>
      </c>
      <c r="I74" s="50" t="s">
        <v>1491</v>
      </c>
      <c r="J74" s="50" t="s">
        <v>1419</v>
      </c>
      <c r="K74" s="44" t="str">
        <f t="shared" si="1"/>
        <v>Abstractive Deviation</v>
      </c>
    </row>
    <row r="75" ht="15.75" customHeight="1">
      <c r="A75" s="50" t="s">
        <v>166</v>
      </c>
      <c r="B75" s="50" t="s">
        <v>1007</v>
      </c>
      <c r="C75" s="50" t="s">
        <v>1008</v>
      </c>
      <c r="D75" s="54">
        <v>0.067</v>
      </c>
      <c r="E75" s="54">
        <v>0.986</v>
      </c>
      <c r="F75" s="54">
        <v>1.0</v>
      </c>
      <c r="G75" s="54">
        <v>0.75</v>
      </c>
      <c r="H75" s="54" t="s">
        <v>16</v>
      </c>
      <c r="I75" s="50" t="s">
        <v>1492</v>
      </c>
      <c r="J75" s="50" t="s">
        <v>1419</v>
      </c>
      <c r="K75" s="44" t="str">
        <f t="shared" si="1"/>
        <v>Abstractive Deviation</v>
      </c>
    </row>
    <row r="76" ht="15.75" customHeight="1">
      <c r="A76" s="50" t="s">
        <v>181</v>
      </c>
      <c r="B76" s="50" t="s">
        <v>1017</v>
      </c>
      <c r="C76" s="50" t="s">
        <v>1018</v>
      </c>
      <c r="D76" s="54">
        <v>0.125</v>
      </c>
      <c r="E76" s="54">
        <v>0.895</v>
      </c>
      <c r="F76" s="54">
        <v>1.0</v>
      </c>
      <c r="G76" s="54">
        <v>1.0</v>
      </c>
      <c r="H76" s="54" t="s">
        <v>16</v>
      </c>
      <c r="I76" s="50" t="s">
        <v>1493</v>
      </c>
      <c r="J76" s="50" t="s">
        <v>1419</v>
      </c>
      <c r="K76" s="44" t="str">
        <f t="shared" si="1"/>
        <v>Abstractive Deviation</v>
      </c>
    </row>
    <row r="77" ht="15.75" customHeight="1">
      <c r="A77" s="50" t="s">
        <v>205</v>
      </c>
      <c r="B77" s="50" t="s">
        <v>1031</v>
      </c>
      <c r="C77" s="50" t="s">
        <v>1032</v>
      </c>
      <c r="D77" s="54">
        <v>0.091</v>
      </c>
      <c r="E77" s="54">
        <v>1.0</v>
      </c>
      <c r="F77" s="54">
        <v>0.95</v>
      </c>
      <c r="G77" s="54">
        <v>1.0</v>
      </c>
      <c r="H77" s="54" t="s">
        <v>16</v>
      </c>
      <c r="I77" s="50" t="s">
        <v>1494</v>
      </c>
      <c r="J77" s="50" t="s">
        <v>1419</v>
      </c>
      <c r="K77" s="44" t="str">
        <f t="shared" si="1"/>
        <v>Abstractive Deviation</v>
      </c>
    </row>
    <row r="78" ht="15.75" customHeight="1">
      <c r="A78" s="50" t="s">
        <v>238</v>
      </c>
      <c r="B78" s="50" t="s">
        <v>1053</v>
      </c>
      <c r="C78" s="50" t="s">
        <v>1054</v>
      </c>
      <c r="D78" s="54">
        <v>0.5</v>
      </c>
      <c r="E78" s="54">
        <v>0.817</v>
      </c>
      <c r="F78" s="54">
        <v>1.0</v>
      </c>
      <c r="G78" s="54">
        <v>0.8</v>
      </c>
      <c r="H78" s="54" t="s">
        <v>17</v>
      </c>
      <c r="I78" s="50" t="s">
        <v>1495</v>
      </c>
      <c r="J78" s="50" t="s">
        <v>1419</v>
      </c>
      <c r="K78" s="44" t="str">
        <f t="shared" si="1"/>
        <v>Abstractive Deviation</v>
      </c>
    </row>
    <row r="79" ht="15.75" customHeight="1">
      <c r="A79" s="50" t="s">
        <v>265</v>
      </c>
      <c r="B79" s="50" t="s">
        <v>1071</v>
      </c>
      <c r="C79" s="50" t="s">
        <v>1072</v>
      </c>
      <c r="D79" s="54">
        <v>0.167</v>
      </c>
      <c r="E79" s="54">
        <v>0.875</v>
      </c>
      <c r="F79" s="54">
        <v>0.75</v>
      </c>
      <c r="G79" s="54">
        <v>0.75</v>
      </c>
      <c r="H79" s="54" t="s">
        <v>17</v>
      </c>
      <c r="I79" s="50" t="s">
        <v>1496</v>
      </c>
      <c r="J79" s="50" t="s">
        <v>1419</v>
      </c>
      <c r="K79" s="44" t="str">
        <f t="shared" si="1"/>
        <v>Abstractive Deviation</v>
      </c>
    </row>
    <row r="80" ht="15.75" customHeight="1">
      <c r="A80" s="50" t="s">
        <v>274</v>
      </c>
      <c r="B80" s="50" t="s">
        <v>1077</v>
      </c>
      <c r="C80" s="50" t="s">
        <v>1078</v>
      </c>
      <c r="D80" s="54">
        <v>0.0</v>
      </c>
      <c r="E80" s="54">
        <v>0.622</v>
      </c>
      <c r="F80" s="54">
        <v>0.0</v>
      </c>
      <c r="G80" s="54">
        <v>1.0</v>
      </c>
      <c r="H80" s="54" t="s">
        <v>17</v>
      </c>
      <c r="I80" s="50" t="s">
        <v>1497</v>
      </c>
      <c r="J80" s="50" t="s">
        <v>1419</v>
      </c>
      <c r="K80" s="44" t="str">
        <f t="shared" si="1"/>
        <v>Other Error</v>
      </c>
    </row>
    <row r="81" ht="15.75" customHeight="1">
      <c r="A81" s="50" t="s">
        <v>49</v>
      </c>
      <c r="B81" s="50" t="s">
        <v>1247</v>
      </c>
      <c r="C81" s="50" t="s">
        <v>1248</v>
      </c>
      <c r="D81" s="54">
        <v>0.364</v>
      </c>
      <c r="E81" s="54">
        <v>0.941</v>
      </c>
      <c r="F81" s="54">
        <v>0.5</v>
      </c>
      <c r="G81" s="54">
        <v>1.0</v>
      </c>
      <c r="H81" s="54" t="s">
        <v>14</v>
      </c>
      <c r="I81" s="50" t="s">
        <v>1498</v>
      </c>
      <c r="J81" s="50" t="s">
        <v>1419</v>
      </c>
      <c r="K81" s="44" t="str">
        <f t="shared" si="1"/>
        <v>Abstractive Deviation</v>
      </c>
    </row>
    <row r="82" ht="15.75" customHeight="1">
      <c r="A82" s="50" t="s">
        <v>52</v>
      </c>
      <c r="B82" s="50" t="s">
        <v>1249</v>
      </c>
      <c r="C82" s="50" t="s">
        <v>1250</v>
      </c>
      <c r="D82" s="54">
        <v>0.25</v>
      </c>
      <c r="E82" s="54">
        <v>0.968</v>
      </c>
      <c r="F82" s="54">
        <v>1.0</v>
      </c>
      <c r="G82" s="54">
        <v>1.0</v>
      </c>
      <c r="H82" s="54" t="s">
        <v>14</v>
      </c>
      <c r="I82" s="50" t="s">
        <v>1499</v>
      </c>
      <c r="J82" s="50" t="s">
        <v>1419</v>
      </c>
      <c r="K82" s="44" t="str">
        <f t="shared" si="1"/>
        <v>Abstractive Deviation</v>
      </c>
    </row>
    <row r="83" ht="15.75" customHeight="1">
      <c r="A83" s="50" t="s">
        <v>79</v>
      </c>
      <c r="B83" s="50" t="s">
        <v>1267</v>
      </c>
      <c r="C83" s="50" t="s">
        <v>1268</v>
      </c>
      <c r="D83" s="54">
        <v>0.167</v>
      </c>
      <c r="E83" s="54">
        <v>0.909</v>
      </c>
      <c r="F83" s="54">
        <v>1.0</v>
      </c>
      <c r="G83" s="54">
        <v>1.0</v>
      </c>
      <c r="H83" s="54" t="s">
        <v>14</v>
      </c>
      <c r="I83" s="50" t="s">
        <v>1500</v>
      </c>
      <c r="J83" s="50" t="s">
        <v>1419</v>
      </c>
      <c r="K83" s="44" t="str">
        <f t="shared" si="1"/>
        <v>Abstractive Deviation</v>
      </c>
    </row>
    <row r="84" ht="15.75" customHeight="1">
      <c r="A84" s="50" t="s">
        <v>97</v>
      </c>
      <c r="B84" s="50" t="s">
        <v>1279</v>
      </c>
      <c r="C84" s="50" t="s">
        <v>1280</v>
      </c>
      <c r="D84" s="54">
        <v>0.0</v>
      </c>
      <c r="E84" s="54">
        <v>0.844</v>
      </c>
      <c r="F84" s="54">
        <v>0.0</v>
      </c>
      <c r="G84" s="54">
        <v>0.333</v>
      </c>
      <c r="H84" s="54" t="s">
        <v>14</v>
      </c>
      <c r="I84" s="50" t="s">
        <v>1501</v>
      </c>
      <c r="J84" s="50" t="s">
        <v>1419</v>
      </c>
      <c r="K84" s="44" t="str">
        <f t="shared" si="1"/>
        <v>Unsupported Generation</v>
      </c>
    </row>
    <row r="85" ht="15.75" customHeight="1">
      <c r="A85" s="50" t="s">
        <v>148</v>
      </c>
      <c r="B85" s="50" t="s">
        <v>1314</v>
      </c>
      <c r="C85" s="50" t="s">
        <v>1315</v>
      </c>
      <c r="D85" s="54">
        <v>0.3</v>
      </c>
      <c r="E85" s="54">
        <v>0.992</v>
      </c>
      <c r="F85" s="54">
        <v>1.0</v>
      </c>
      <c r="G85" s="54">
        <v>0.833</v>
      </c>
      <c r="H85" s="54" t="s">
        <v>15</v>
      </c>
      <c r="I85" s="50" t="s">
        <v>1502</v>
      </c>
      <c r="J85" s="50" t="s">
        <v>1419</v>
      </c>
      <c r="K85" s="44" t="str">
        <f t="shared" si="1"/>
        <v>Abstractive Deviation</v>
      </c>
    </row>
    <row r="86" ht="15.75" customHeight="1">
      <c r="A86" s="50" t="s">
        <v>157</v>
      </c>
      <c r="B86" s="50" t="s">
        <v>1320</v>
      </c>
      <c r="C86" s="50" t="s">
        <v>1321</v>
      </c>
      <c r="D86" s="54">
        <v>0.455</v>
      </c>
      <c r="E86" s="54">
        <v>0.998</v>
      </c>
      <c r="F86" s="54">
        <v>0.806</v>
      </c>
      <c r="G86" s="54">
        <v>0.429</v>
      </c>
      <c r="H86" s="54" t="s">
        <v>15</v>
      </c>
      <c r="I86" s="50" t="s">
        <v>1503</v>
      </c>
      <c r="J86" s="50" t="s">
        <v>1419</v>
      </c>
      <c r="K86" s="44" t="str">
        <f t="shared" si="1"/>
        <v>Other Error</v>
      </c>
    </row>
    <row r="87" ht="15.75" customHeight="1">
      <c r="A87" s="50" t="s">
        <v>193</v>
      </c>
      <c r="B87" s="50" t="s">
        <v>1342</v>
      </c>
      <c r="C87" s="50" t="s">
        <v>1343</v>
      </c>
      <c r="D87" s="54">
        <v>0.143</v>
      </c>
      <c r="E87" s="54">
        <v>0.873</v>
      </c>
      <c r="F87" s="54">
        <v>1.0</v>
      </c>
      <c r="G87" s="54">
        <v>0.0</v>
      </c>
      <c r="H87" s="54" t="s">
        <v>16</v>
      </c>
      <c r="I87" s="50" t="s">
        <v>1504</v>
      </c>
      <c r="J87" s="50" t="s">
        <v>1419</v>
      </c>
      <c r="K87" s="44" t="str">
        <f t="shared" si="1"/>
        <v>Other Error</v>
      </c>
    </row>
    <row r="88" ht="15.75" customHeight="1">
      <c r="A88" s="50" t="s">
        <v>190</v>
      </c>
      <c r="B88" s="50" t="s">
        <v>1344</v>
      </c>
      <c r="C88" s="50" t="s">
        <v>1345</v>
      </c>
      <c r="D88" s="54">
        <v>0.0</v>
      </c>
      <c r="E88" s="54">
        <v>0.892</v>
      </c>
      <c r="F88" s="54">
        <v>0.95</v>
      </c>
      <c r="G88" s="54">
        <v>1.0</v>
      </c>
      <c r="H88" s="54" t="s">
        <v>16</v>
      </c>
      <c r="I88" s="50" t="s">
        <v>1505</v>
      </c>
      <c r="J88" s="50" t="s">
        <v>1419</v>
      </c>
      <c r="K88" s="44" t="str">
        <f t="shared" si="1"/>
        <v>Abstractive Deviation</v>
      </c>
    </row>
    <row r="89" ht="15.75" customHeight="1">
      <c r="A89" s="50" t="s">
        <v>205</v>
      </c>
      <c r="B89" s="50" t="s">
        <v>1350</v>
      </c>
      <c r="C89" s="50" t="s">
        <v>1351</v>
      </c>
      <c r="D89" s="54">
        <v>0.0</v>
      </c>
      <c r="E89" s="54">
        <v>1.0</v>
      </c>
      <c r="F89" s="54">
        <v>1.0</v>
      </c>
      <c r="G89" s="54">
        <v>1.0</v>
      </c>
      <c r="H89" s="54" t="s">
        <v>16</v>
      </c>
      <c r="I89" s="50" t="s">
        <v>1506</v>
      </c>
      <c r="J89" s="50" t="s">
        <v>1419</v>
      </c>
      <c r="K89" s="44" t="str">
        <f t="shared" si="1"/>
        <v>Abstractive Deviation</v>
      </c>
    </row>
    <row r="90" ht="15.75" customHeight="1">
      <c r="A90" s="50" t="s">
        <v>241</v>
      </c>
      <c r="B90" s="50" t="s">
        <v>1376</v>
      </c>
      <c r="C90" s="50" t="s">
        <v>1377</v>
      </c>
      <c r="D90" s="54">
        <v>0.5</v>
      </c>
      <c r="E90" s="54">
        <v>0.0</v>
      </c>
      <c r="F90" s="54">
        <v>0.0</v>
      </c>
      <c r="G90" s="54">
        <v>0.727</v>
      </c>
      <c r="H90" s="54" t="s">
        <v>17</v>
      </c>
      <c r="I90" s="50" t="s">
        <v>1507</v>
      </c>
      <c r="J90" s="50" t="s">
        <v>1419</v>
      </c>
      <c r="K90" s="44" t="str">
        <f t="shared" si="1"/>
        <v>Other Error</v>
      </c>
    </row>
    <row r="91" ht="15.75" customHeight="1">
      <c r="A91" s="50" t="s">
        <v>262</v>
      </c>
      <c r="B91" s="50" t="s">
        <v>1390</v>
      </c>
      <c r="C91" s="50" t="s">
        <v>1391</v>
      </c>
      <c r="D91" s="54">
        <v>0.182</v>
      </c>
      <c r="E91" s="54">
        <v>0.945</v>
      </c>
      <c r="F91" s="54">
        <v>0.804</v>
      </c>
      <c r="G91" s="54">
        <v>0.25</v>
      </c>
      <c r="H91" s="54" t="s">
        <v>17</v>
      </c>
      <c r="I91" s="50" t="s">
        <v>1508</v>
      </c>
      <c r="J91" s="50" t="s">
        <v>1419</v>
      </c>
      <c r="K91" s="44" t="str">
        <f t="shared" si="1"/>
        <v>Other Error</v>
      </c>
    </row>
    <row r="92" ht="15.75" customHeight="1">
      <c r="A92" s="50" t="s">
        <v>283</v>
      </c>
      <c r="B92" s="50" t="s">
        <v>1402</v>
      </c>
      <c r="C92" s="50" t="s">
        <v>1403</v>
      </c>
      <c r="D92" s="54">
        <v>0.214</v>
      </c>
      <c r="E92" s="54">
        <v>0.0</v>
      </c>
      <c r="F92" s="54">
        <v>0.806</v>
      </c>
      <c r="G92" s="54">
        <v>0.0</v>
      </c>
      <c r="H92" s="54" t="s">
        <v>17</v>
      </c>
      <c r="I92" s="50" t="s">
        <v>1509</v>
      </c>
      <c r="J92" s="50" t="s">
        <v>1419</v>
      </c>
      <c r="K92" s="44" t="str">
        <f t="shared" si="1"/>
        <v>Other Error</v>
      </c>
    </row>
    <row r="93" ht="15.75" customHeight="1">
      <c r="A93" s="50" t="s">
        <v>64</v>
      </c>
      <c r="B93" s="50" t="s">
        <v>65</v>
      </c>
      <c r="C93" s="50" t="s">
        <v>66</v>
      </c>
      <c r="D93" s="54">
        <v>0.0</v>
      </c>
      <c r="E93" s="54">
        <v>0.81</v>
      </c>
      <c r="F93" s="54">
        <v>0.0</v>
      </c>
      <c r="G93" s="54">
        <v>0.2</v>
      </c>
      <c r="H93" s="54" t="s">
        <v>14</v>
      </c>
      <c r="I93" s="50" t="s">
        <v>1510</v>
      </c>
      <c r="J93" s="50" t="s">
        <v>1419</v>
      </c>
      <c r="K93" s="44" t="str">
        <f t="shared" si="1"/>
        <v>Unsupported Generation</v>
      </c>
    </row>
    <row r="94" ht="15.75" customHeight="1">
      <c r="A94" s="50" t="s">
        <v>73</v>
      </c>
      <c r="B94" s="50" t="s">
        <v>74</v>
      </c>
      <c r="C94" s="50" t="s">
        <v>75</v>
      </c>
      <c r="D94" s="54">
        <v>0.286</v>
      </c>
      <c r="E94" s="54">
        <v>0.849</v>
      </c>
      <c r="F94" s="54">
        <v>0.333</v>
      </c>
      <c r="G94" s="54">
        <v>0.75</v>
      </c>
      <c r="H94" s="54" t="s">
        <v>14</v>
      </c>
      <c r="I94" s="50" t="s">
        <v>1511</v>
      </c>
      <c r="J94" s="50" t="s">
        <v>1419</v>
      </c>
      <c r="K94" s="44" t="str">
        <f t="shared" si="1"/>
        <v>Other Error</v>
      </c>
    </row>
    <row r="95" ht="15.75" customHeight="1">
      <c r="A95" s="50" t="s">
        <v>88</v>
      </c>
      <c r="B95" s="50" t="s">
        <v>89</v>
      </c>
      <c r="C95" s="50" t="s">
        <v>90</v>
      </c>
      <c r="D95" s="54">
        <v>1.0</v>
      </c>
      <c r="E95" s="54">
        <v>0.0</v>
      </c>
      <c r="F95" s="54">
        <v>0.0</v>
      </c>
      <c r="G95" s="54">
        <v>0.6</v>
      </c>
      <c r="H95" s="54" t="s">
        <v>14</v>
      </c>
      <c r="I95" s="50" t="s">
        <v>1512</v>
      </c>
      <c r="J95" s="50" t="s">
        <v>1419</v>
      </c>
      <c r="K95" s="44" t="str">
        <f t="shared" si="1"/>
        <v>Other Error</v>
      </c>
    </row>
    <row r="96" ht="15.75" customHeight="1">
      <c r="A96" s="50" t="s">
        <v>94</v>
      </c>
      <c r="B96" s="50" t="s">
        <v>95</v>
      </c>
      <c r="C96" s="50" t="s">
        <v>96</v>
      </c>
      <c r="D96" s="54">
        <v>0.0</v>
      </c>
      <c r="E96" s="54">
        <v>0.568</v>
      </c>
      <c r="F96" s="54">
        <v>0.333</v>
      </c>
      <c r="G96" s="54">
        <v>0.429</v>
      </c>
      <c r="H96" s="54" t="s">
        <v>14</v>
      </c>
      <c r="I96" s="50" t="s">
        <v>1513</v>
      </c>
      <c r="J96" s="50" t="s">
        <v>1419</v>
      </c>
      <c r="K96" s="44" t="str">
        <f t="shared" si="1"/>
        <v>Unsupported Generation</v>
      </c>
    </row>
    <row r="97" ht="15.75" customHeight="1">
      <c r="A97" s="50" t="s">
        <v>100</v>
      </c>
      <c r="B97" s="50" t="s">
        <v>101</v>
      </c>
      <c r="C97" s="50" t="s">
        <v>102</v>
      </c>
      <c r="D97" s="54">
        <v>0.231</v>
      </c>
      <c r="E97" s="54">
        <v>0.933</v>
      </c>
      <c r="F97" s="54">
        <v>0.5</v>
      </c>
      <c r="G97" s="54">
        <v>1.0</v>
      </c>
      <c r="H97" s="54" t="s">
        <v>14</v>
      </c>
      <c r="I97" s="50" t="s">
        <v>1514</v>
      </c>
      <c r="J97" s="50" t="s">
        <v>1419</v>
      </c>
      <c r="K97" s="44" t="str">
        <f t="shared" si="1"/>
        <v>Abstractive Deviation</v>
      </c>
    </row>
    <row r="98" ht="15.75" customHeight="1">
      <c r="A98" s="50" t="s">
        <v>109</v>
      </c>
      <c r="B98" s="50" t="s">
        <v>110</v>
      </c>
      <c r="C98" s="50" t="s">
        <v>111</v>
      </c>
      <c r="D98" s="54">
        <v>0.333</v>
      </c>
      <c r="E98" s="54">
        <v>0.907</v>
      </c>
      <c r="F98" s="54">
        <v>1.0</v>
      </c>
      <c r="G98" s="54">
        <v>0.833</v>
      </c>
      <c r="H98" s="54" t="s">
        <v>15</v>
      </c>
      <c r="I98" s="50" t="s">
        <v>1515</v>
      </c>
      <c r="J98" s="50" t="s">
        <v>1419</v>
      </c>
      <c r="K98" s="44" t="str">
        <f t="shared" si="1"/>
        <v>Abstractive Deviation</v>
      </c>
    </row>
    <row r="99" ht="15.75" customHeight="1">
      <c r="A99" s="50" t="s">
        <v>118</v>
      </c>
      <c r="B99" s="50" t="s">
        <v>119</v>
      </c>
      <c r="C99" s="50" t="s">
        <v>120</v>
      </c>
      <c r="D99" s="54">
        <v>0.417</v>
      </c>
      <c r="E99" s="54">
        <v>1.0</v>
      </c>
      <c r="F99" s="54">
        <v>0.0</v>
      </c>
      <c r="G99" s="54">
        <v>0.833</v>
      </c>
      <c r="H99" s="54" t="s">
        <v>15</v>
      </c>
      <c r="I99" s="50" t="s">
        <v>1516</v>
      </c>
      <c r="J99" s="50" t="s">
        <v>1419</v>
      </c>
      <c r="K99" s="44" t="str">
        <f t="shared" si="1"/>
        <v>Other Error</v>
      </c>
    </row>
    <row r="100" ht="15.75" customHeight="1">
      <c r="A100" s="50" t="s">
        <v>124</v>
      </c>
      <c r="B100" s="50" t="s">
        <v>125</v>
      </c>
      <c r="C100" s="50" t="s">
        <v>126</v>
      </c>
      <c r="D100" s="54">
        <v>0.0</v>
      </c>
      <c r="E100" s="54">
        <v>0.91</v>
      </c>
      <c r="F100" s="54">
        <v>0.833</v>
      </c>
      <c r="G100" s="54">
        <v>0.0</v>
      </c>
      <c r="H100" s="54" t="s">
        <v>15</v>
      </c>
      <c r="I100" s="50" t="s">
        <v>1517</v>
      </c>
      <c r="J100" s="50" t="s">
        <v>1419</v>
      </c>
      <c r="K100" s="44" t="str">
        <f t="shared" si="1"/>
        <v>Other Error</v>
      </c>
    </row>
    <row r="101" ht="15.75" customHeight="1">
      <c r="A101" s="50" t="s">
        <v>148</v>
      </c>
      <c r="B101" s="50" t="s">
        <v>149</v>
      </c>
      <c r="C101" s="50" t="s">
        <v>150</v>
      </c>
      <c r="D101" s="54">
        <v>0.167</v>
      </c>
      <c r="E101" s="54">
        <v>0.633</v>
      </c>
      <c r="F101" s="54">
        <v>0.333</v>
      </c>
      <c r="G101" s="54">
        <v>0.75</v>
      </c>
      <c r="H101" s="54" t="s">
        <v>15</v>
      </c>
      <c r="I101" s="50" t="s">
        <v>1518</v>
      </c>
      <c r="J101" s="50" t="s">
        <v>1419</v>
      </c>
      <c r="K101" s="44" t="str">
        <f t="shared" si="1"/>
        <v>Other Error</v>
      </c>
    </row>
    <row r="102" ht="15.75" customHeight="1">
      <c r="A102" s="50" t="s">
        <v>151</v>
      </c>
      <c r="B102" s="50" t="s">
        <v>152</v>
      </c>
      <c r="C102" s="50" t="s">
        <v>153</v>
      </c>
      <c r="D102" s="54">
        <v>0.421</v>
      </c>
      <c r="E102" s="54">
        <v>0.888</v>
      </c>
      <c r="F102" s="54">
        <v>1.0</v>
      </c>
      <c r="G102" s="54">
        <v>0.375</v>
      </c>
      <c r="H102" s="54" t="s">
        <v>15</v>
      </c>
      <c r="I102" s="50" t="s">
        <v>1519</v>
      </c>
      <c r="J102" s="50" t="s">
        <v>1419</v>
      </c>
      <c r="K102" s="44" t="str">
        <f t="shared" si="1"/>
        <v>Other Error</v>
      </c>
    </row>
    <row r="103" ht="15.75" customHeight="1">
      <c r="A103" s="50" t="s">
        <v>163</v>
      </c>
      <c r="B103" s="50" t="s">
        <v>164</v>
      </c>
      <c r="C103" s="50" t="s">
        <v>165</v>
      </c>
      <c r="D103" s="54">
        <v>0.381</v>
      </c>
      <c r="E103" s="54">
        <v>0.617</v>
      </c>
      <c r="F103" s="54">
        <v>1.0</v>
      </c>
      <c r="G103" s="54">
        <v>0.333</v>
      </c>
      <c r="H103" s="54" t="s">
        <v>15</v>
      </c>
      <c r="I103" s="50" t="s">
        <v>1520</v>
      </c>
      <c r="J103" s="50" t="s">
        <v>1419</v>
      </c>
      <c r="K103" s="44" t="str">
        <f t="shared" si="1"/>
        <v>Other Error</v>
      </c>
    </row>
    <row r="104" ht="15.75" customHeight="1">
      <c r="A104" s="50" t="s">
        <v>166</v>
      </c>
      <c r="B104" s="50" t="s">
        <v>167</v>
      </c>
      <c r="C104" s="50" t="s">
        <v>168</v>
      </c>
      <c r="D104" s="54">
        <v>0.308</v>
      </c>
      <c r="E104" s="54">
        <v>0.935</v>
      </c>
      <c r="F104" s="54">
        <v>0.833</v>
      </c>
      <c r="G104" s="54">
        <v>0.0</v>
      </c>
      <c r="H104" s="54" t="s">
        <v>16</v>
      </c>
      <c r="I104" s="50" t="s">
        <v>1521</v>
      </c>
      <c r="J104" s="50" t="s">
        <v>1419</v>
      </c>
      <c r="K104" s="44" t="str">
        <f t="shared" si="1"/>
        <v>Other Error</v>
      </c>
    </row>
    <row r="105" ht="15.75" customHeight="1">
      <c r="A105" s="50" t="s">
        <v>172</v>
      </c>
      <c r="B105" s="50" t="s">
        <v>173</v>
      </c>
      <c r="C105" s="50" t="s">
        <v>174</v>
      </c>
      <c r="D105" s="54">
        <v>0.875</v>
      </c>
      <c r="E105" s="54">
        <v>0.0</v>
      </c>
      <c r="F105" s="54">
        <v>0.0</v>
      </c>
      <c r="G105" s="54">
        <v>0.2</v>
      </c>
      <c r="H105" s="54" t="s">
        <v>16</v>
      </c>
      <c r="I105" s="50" t="s">
        <v>1522</v>
      </c>
      <c r="J105" s="50" t="s">
        <v>1419</v>
      </c>
      <c r="K105" s="44" t="str">
        <f t="shared" si="1"/>
        <v>Other Error</v>
      </c>
    </row>
    <row r="106" ht="15.75" customHeight="1">
      <c r="A106" s="50" t="s">
        <v>178</v>
      </c>
      <c r="B106" s="50" t="s">
        <v>179</v>
      </c>
      <c r="C106" s="50" t="s">
        <v>180</v>
      </c>
      <c r="D106" s="54">
        <v>0.111</v>
      </c>
      <c r="E106" s="54">
        <v>0.863</v>
      </c>
      <c r="F106" s="54">
        <v>0.0</v>
      </c>
      <c r="G106" s="54">
        <v>0.0</v>
      </c>
      <c r="H106" s="54" t="s">
        <v>16</v>
      </c>
      <c r="I106" s="50" t="s">
        <v>1523</v>
      </c>
      <c r="J106" s="50" t="s">
        <v>1419</v>
      </c>
      <c r="K106" s="44" t="str">
        <f t="shared" si="1"/>
        <v>Unsupported Generation</v>
      </c>
    </row>
    <row r="107" ht="15.75" customHeight="1">
      <c r="A107" s="50" t="s">
        <v>187</v>
      </c>
      <c r="B107" s="50" t="s">
        <v>188</v>
      </c>
      <c r="C107" s="50" t="s">
        <v>189</v>
      </c>
      <c r="D107" s="54">
        <v>0.4</v>
      </c>
      <c r="E107" s="54">
        <v>0.995</v>
      </c>
      <c r="F107" s="54">
        <v>1.0</v>
      </c>
      <c r="G107" s="54">
        <v>0.0</v>
      </c>
      <c r="H107" s="54" t="s">
        <v>16</v>
      </c>
      <c r="I107" s="50" t="s">
        <v>1524</v>
      </c>
      <c r="J107" s="50" t="s">
        <v>1419</v>
      </c>
      <c r="K107" s="44" t="str">
        <f t="shared" si="1"/>
        <v>Other Error</v>
      </c>
    </row>
    <row r="108" ht="15.75" customHeight="1">
      <c r="A108" s="50" t="s">
        <v>190</v>
      </c>
      <c r="B108" s="50" t="s">
        <v>191</v>
      </c>
      <c r="C108" s="50" t="s">
        <v>192</v>
      </c>
      <c r="D108" s="54">
        <v>0.0</v>
      </c>
      <c r="E108" s="54">
        <v>0.764</v>
      </c>
      <c r="F108" s="54">
        <v>1.0</v>
      </c>
      <c r="G108" s="54">
        <v>1.0</v>
      </c>
      <c r="H108" s="54" t="s">
        <v>16</v>
      </c>
      <c r="I108" s="50" t="s">
        <v>1525</v>
      </c>
      <c r="J108" s="50" t="s">
        <v>1419</v>
      </c>
      <c r="K108" s="44" t="str">
        <f t="shared" si="1"/>
        <v>Abstractive Deviation</v>
      </c>
    </row>
    <row r="109" ht="15.75" customHeight="1">
      <c r="A109" s="50" t="s">
        <v>193</v>
      </c>
      <c r="B109" s="50" t="s">
        <v>194</v>
      </c>
      <c r="C109" s="50" t="s">
        <v>195</v>
      </c>
      <c r="D109" s="54">
        <v>0.222</v>
      </c>
      <c r="E109" s="54">
        <v>0.389</v>
      </c>
      <c r="F109" s="54">
        <v>0.333</v>
      </c>
      <c r="G109" s="54">
        <v>0.0</v>
      </c>
      <c r="H109" s="54" t="s">
        <v>16</v>
      </c>
      <c r="I109" s="50" t="s">
        <v>1526</v>
      </c>
      <c r="J109" s="50" t="s">
        <v>1419</v>
      </c>
      <c r="K109" s="44" t="str">
        <f t="shared" si="1"/>
        <v>True Hallucination</v>
      </c>
    </row>
    <row r="110" ht="15.75" customHeight="1">
      <c r="A110" s="50" t="s">
        <v>199</v>
      </c>
      <c r="B110" s="50" t="s">
        <v>200</v>
      </c>
      <c r="C110" s="50" t="s">
        <v>201</v>
      </c>
      <c r="D110" s="54">
        <v>0.25</v>
      </c>
      <c r="E110" s="54">
        <v>0.862</v>
      </c>
      <c r="F110" s="54">
        <v>0.5</v>
      </c>
      <c r="G110" s="54">
        <v>0.857</v>
      </c>
      <c r="H110" s="54" t="s">
        <v>16</v>
      </c>
      <c r="I110" s="50" t="s">
        <v>1527</v>
      </c>
      <c r="J110" s="50" t="s">
        <v>1419</v>
      </c>
      <c r="K110" s="44" t="str">
        <f t="shared" si="1"/>
        <v>Abstractive Deviation</v>
      </c>
    </row>
    <row r="111" ht="15.75" customHeight="1">
      <c r="A111" s="50" t="s">
        <v>202</v>
      </c>
      <c r="B111" s="50" t="s">
        <v>203</v>
      </c>
      <c r="C111" s="50" t="s">
        <v>204</v>
      </c>
      <c r="D111" s="54">
        <v>0.462</v>
      </c>
      <c r="E111" s="54">
        <v>0.605</v>
      </c>
      <c r="F111" s="54">
        <v>0.0</v>
      </c>
      <c r="G111" s="54">
        <v>1.0</v>
      </c>
      <c r="H111" s="54" t="s">
        <v>16</v>
      </c>
      <c r="I111" s="50" t="s">
        <v>1528</v>
      </c>
      <c r="J111" s="50" t="s">
        <v>1419</v>
      </c>
      <c r="K111" s="44" t="str">
        <f t="shared" si="1"/>
        <v>Other Error</v>
      </c>
    </row>
    <row r="112" ht="15.75" customHeight="1">
      <c r="A112" s="50" t="s">
        <v>205</v>
      </c>
      <c r="B112" s="50" t="s">
        <v>206</v>
      </c>
      <c r="C112" s="50" t="s">
        <v>207</v>
      </c>
      <c r="D112" s="54">
        <v>0.0</v>
      </c>
      <c r="E112" s="54">
        <v>1.0</v>
      </c>
      <c r="F112" s="54">
        <v>0.5</v>
      </c>
      <c r="G112" s="54">
        <v>0.0</v>
      </c>
      <c r="H112" s="54" t="s">
        <v>16</v>
      </c>
      <c r="I112" s="50" t="s">
        <v>1529</v>
      </c>
      <c r="J112" s="50" t="s">
        <v>1419</v>
      </c>
      <c r="K112" s="44" t="str">
        <f t="shared" si="1"/>
        <v>Unsupported Generation</v>
      </c>
    </row>
    <row r="113" ht="15.75" customHeight="1">
      <c r="A113" s="50" t="s">
        <v>217</v>
      </c>
      <c r="B113" s="50" t="s">
        <v>218</v>
      </c>
      <c r="C113" s="50" t="s">
        <v>219</v>
      </c>
      <c r="D113" s="54">
        <v>0.714</v>
      </c>
      <c r="E113" s="54">
        <v>0.803</v>
      </c>
      <c r="F113" s="54">
        <v>0.0</v>
      </c>
      <c r="G113" s="54">
        <v>0.0</v>
      </c>
      <c r="H113" s="54" t="s">
        <v>16</v>
      </c>
      <c r="I113" s="50" t="s">
        <v>1530</v>
      </c>
      <c r="J113" s="50" t="s">
        <v>1419</v>
      </c>
      <c r="K113" s="44" t="str">
        <f t="shared" si="1"/>
        <v>Other Error</v>
      </c>
    </row>
    <row r="114" ht="15.75" customHeight="1">
      <c r="A114" s="50" t="s">
        <v>229</v>
      </c>
      <c r="B114" s="50" t="s">
        <v>230</v>
      </c>
      <c r="C114" s="50" t="s">
        <v>231</v>
      </c>
      <c r="D114" s="54">
        <v>0.818</v>
      </c>
      <c r="E114" s="54">
        <v>0.0</v>
      </c>
      <c r="F114" s="54">
        <v>0.0</v>
      </c>
      <c r="G114" s="54">
        <v>0.8</v>
      </c>
      <c r="H114" s="54" t="s">
        <v>17</v>
      </c>
      <c r="I114" s="50" t="s">
        <v>1531</v>
      </c>
      <c r="J114" s="50" t="s">
        <v>1419</v>
      </c>
      <c r="K114" s="44" t="str">
        <f t="shared" si="1"/>
        <v>Other Error</v>
      </c>
    </row>
    <row r="115" ht="15.75" customHeight="1">
      <c r="A115" s="50" t="s">
        <v>232</v>
      </c>
      <c r="B115" s="50" t="s">
        <v>233</v>
      </c>
      <c r="C115" s="50" t="s">
        <v>234</v>
      </c>
      <c r="D115" s="54">
        <v>0.111</v>
      </c>
      <c r="E115" s="54">
        <v>0.797</v>
      </c>
      <c r="F115" s="54">
        <v>1.0</v>
      </c>
      <c r="G115" s="54">
        <v>0.333</v>
      </c>
      <c r="H115" s="54" t="s">
        <v>17</v>
      </c>
      <c r="I115" s="50" t="s">
        <v>1532</v>
      </c>
      <c r="J115" s="50" t="s">
        <v>1419</v>
      </c>
      <c r="K115" s="44" t="str">
        <f t="shared" si="1"/>
        <v>Other Error</v>
      </c>
    </row>
    <row r="116" ht="15.75" customHeight="1">
      <c r="A116" s="50" t="s">
        <v>235</v>
      </c>
      <c r="B116" s="50" t="s">
        <v>236</v>
      </c>
      <c r="C116" s="50" t="s">
        <v>237</v>
      </c>
      <c r="D116" s="54">
        <v>0.25</v>
      </c>
      <c r="E116" s="54">
        <v>0.827</v>
      </c>
      <c r="F116" s="54">
        <v>1.0</v>
      </c>
      <c r="G116" s="54">
        <v>0.333</v>
      </c>
      <c r="H116" s="54" t="s">
        <v>17</v>
      </c>
      <c r="I116" s="50" t="s">
        <v>1533</v>
      </c>
      <c r="J116" s="50" t="s">
        <v>1419</v>
      </c>
      <c r="K116" s="44" t="str">
        <f t="shared" si="1"/>
        <v>Other Error</v>
      </c>
    </row>
    <row r="117" ht="15.75" customHeight="1">
      <c r="A117" s="50" t="s">
        <v>256</v>
      </c>
      <c r="B117" s="50" t="s">
        <v>257</v>
      </c>
      <c r="C117" s="50" t="s">
        <v>258</v>
      </c>
      <c r="D117" s="54">
        <v>0.0</v>
      </c>
      <c r="E117" s="54">
        <v>0.589</v>
      </c>
      <c r="F117" s="54">
        <v>0.833</v>
      </c>
      <c r="G117" s="54">
        <v>0.167</v>
      </c>
      <c r="H117" s="54" t="s">
        <v>17</v>
      </c>
      <c r="I117" s="50" t="s">
        <v>1534</v>
      </c>
      <c r="J117" s="50" t="s">
        <v>1419</v>
      </c>
      <c r="K117" s="44" t="str">
        <f t="shared" si="1"/>
        <v>Other Error</v>
      </c>
    </row>
    <row r="118" ht="15.75" customHeight="1">
      <c r="A118" s="50" t="s">
        <v>259</v>
      </c>
      <c r="B118" s="50" t="s">
        <v>260</v>
      </c>
      <c r="C118" s="50" t="s">
        <v>261</v>
      </c>
      <c r="D118" s="54">
        <v>0.857</v>
      </c>
      <c r="E118" s="54">
        <v>0.0</v>
      </c>
      <c r="F118" s="54">
        <v>0.0</v>
      </c>
      <c r="G118" s="54">
        <v>0.0</v>
      </c>
      <c r="H118" s="54" t="s">
        <v>17</v>
      </c>
      <c r="I118" s="50" t="s">
        <v>1535</v>
      </c>
      <c r="J118" s="50" t="s">
        <v>1419</v>
      </c>
      <c r="K118" s="44" t="str">
        <f t="shared" si="1"/>
        <v>Other Error</v>
      </c>
    </row>
    <row r="119" ht="15.75" customHeight="1">
      <c r="A119" s="50" t="s">
        <v>262</v>
      </c>
      <c r="B119" s="50" t="s">
        <v>263</v>
      </c>
      <c r="C119" s="50" t="s">
        <v>264</v>
      </c>
      <c r="D119" s="54">
        <v>0.0</v>
      </c>
      <c r="E119" s="54">
        <v>1.0</v>
      </c>
      <c r="F119" s="54">
        <v>0.0</v>
      </c>
      <c r="G119" s="54">
        <v>1.0</v>
      </c>
      <c r="H119" s="54" t="s">
        <v>17</v>
      </c>
      <c r="I119" s="50" t="s">
        <v>1536</v>
      </c>
      <c r="J119" s="50" t="s">
        <v>1419</v>
      </c>
      <c r="K119" s="44" t="str">
        <f t="shared" si="1"/>
        <v>Other Error</v>
      </c>
    </row>
    <row r="120" ht="15.75" customHeight="1">
      <c r="A120" s="50" t="s">
        <v>265</v>
      </c>
      <c r="B120" s="50" t="s">
        <v>266</v>
      </c>
      <c r="C120" s="50" t="s">
        <v>267</v>
      </c>
      <c r="D120" s="54">
        <v>0.5</v>
      </c>
      <c r="E120" s="54">
        <v>0.978</v>
      </c>
      <c r="F120" s="54">
        <v>0.333</v>
      </c>
      <c r="G120" s="54">
        <v>1.0</v>
      </c>
      <c r="H120" s="54" t="s">
        <v>17</v>
      </c>
      <c r="I120" s="50" t="s">
        <v>1537</v>
      </c>
      <c r="J120" s="50" t="s">
        <v>1419</v>
      </c>
      <c r="K120" s="44" t="str">
        <f t="shared" si="1"/>
        <v>Other Error</v>
      </c>
    </row>
    <row r="121" ht="15.75" customHeight="1">
      <c r="A121" s="50" t="s">
        <v>274</v>
      </c>
      <c r="B121" s="50" t="s">
        <v>275</v>
      </c>
      <c r="C121" s="50" t="s">
        <v>276</v>
      </c>
      <c r="D121" s="54">
        <v>0.0</v>
      </c>
      <c r="E121" s="54">
        <v>0.611</v>
      </c>
      <c r="F121" s="54">
        <v>1.0</v>
      </c>
      <c r="G121" s="54">
        <v>1.0</v>
      </c>
      <c r="H121" s="54" t="s">
        <v>17</v>
      </c>
      <c r="I121" s="50" t="s">
        <v>1538</v>
      </c>
      <c r="J121" s="50" t="s">
        <v>1419</v>
      </c>
      <c r="K121" s="44" t="str">
        <f t="shared" si="1"/>
        <v>Abstractive Deviation</v>
      </c>
    </row>
    <row r="122" ht="15.75" customHeight="1">
      <c r="A122" s="50" t="s">
        <v>277</v>
      </c>
      <c r="B122" s="50" t="s">
        <v>278</v>
      </c>
      <c r="C122" s="50" t="s">
        <v>279</v>
      </c>
      <c r="D122" s="54">
        <v>0.5</v>
      </c>
      <c r="E122" s="54">
        <v>1.0</v>
      </c>
      <c r="F122" s="54">
        <v>0.5</v>
      </c>
      <c r="G122" s="54">
        <v>1.0</v>
      </c>
      <c r="H122" s="54" t="s">
        <v>17</v>
      </c>
      <c r="I122" s="50" t="s">
        <v>1539</v>
      </c>
      <c r="J122" s="50" t="s">
        <v>1419</v>
      </c>
      <c r="K122" s="44" t="str">
        <f t="shared" si="1"/>
        <v>Abstractive Deviation</v>
      </c>
    </row>
    <row r="123" ht="15.75" customHeight="1">
      <c r="A123" s="50" t="s">
        <v>280</v>
      </c>
      <c r="B123" s="50" t="s">
        <v>281</v>
      </c>
      <c r="C123" s="50" t="s">
        <v>282</v>
      </c>
      <c r="D123" s="54">
        <v>0.6</v>
      </c>
      <c r="E123" s="54">
        <v>0.0</v>
      </c>
      <c r="F123" s="54">
        <v>0.0</v>
      </c>
      <c r="G123" s="54">
        <v>0.0</v>
      </c>
      <c r="H123" s="54" t="s">
        <v>17</v>
      </c>
      <c r="I123" s="50" t="s">
        <v>1540</v>
      </c>
      <c r="J123" s="50" t="s">
        <v>1419</v>
      </c>
      <c r="K123" s="44" t="str">
        <f t="shared" si="1"/>
        <v>Other Error</v>
      </c>
    </row>
    <row r="124" ht="15.75" customHeight="1">
      <c r="A124" s="50" t="s">
        <v>52</v>
      </c>
      <c r="B124" s="50" t="s">
        <v>612</v>
      </c>
      <c r="C124" s="50" t="s">
        <v>613</v>
      </c>
      <c r="D124" s="54">
        <v>0.318</v>
      </c>
      <c r="E124" s="54">
        <v>0.931</v>
      </c>
      <c r="F124" s="54">
        <v>1.0</v>
      </c>
      <c r="G124" s="54">
        <v>1.0</v>
      </c>
      <c r="H124" s="54" t="s">
        <v>14</v>
      </c>
      <c r="I124" s="50" t="s">
        <v>1541</v>
      </c>
      <c r="J124" s="50" t="s">
        <v>1419</v>
      </c>
      <c r="K124" s="44" t="str">
        <f t="shared" si="1"/>
        <v>Abstractive Deviation</v>
      </c>
    </row>
    <row r="125" ht="15.75" customHeight="1">
      <c r="A125" s="50" t="s">
        <v>55</v>
      </c>
      <c r="B125" s="50" t="s">
        <v>614</v>
      </c>
      <c r="C125" s="50" t="s">
        <v>615</v>
      </c>
      <c r="D125" s="54">
        <v>0.1</v>
      </c>
      <c r="E125" s="54">
        <v>1.0</v>
      </c>
      <c r="F125" s="54">
        <v>1.0</v>
      </c>
      <c r="G125" s="54">
        <v>1.0</v>
      </c>
      <c r="H125" s="54" t="s">
        <v>14</v>
      </c>
      <c r="I125" s="50" t="s">
        <v>1542</v>
      </c>
      <c r="J125" s="50" t="s">
        <v>1419</v>
      </c>
      <c r="K125" s="44" t="str">
        <f t="shared" si="1"/>
        <v>Abstractive Deviation</v>
      </c>
    </row>
    <row r="126" ht="15.75" customHeight="1">
      <c r="A126" s="50" t="s">
        <v>82</v>
      </c>
      <c r="B126" s="50" t="s">
        <v>632</v>
      </c>
      <c r="C126" s="50" t="s">
        <v>633</v>
      </c>
      <c r="D126" s="54">
        <v>0.4</v>
      </c>
      <c r="E126" s="54">
        <v>0.634</v>
      </c>
      <c r="F126" s="54">
        <v>0.887</v>
      </c>
      <c r="G126" s="54">
        <v>0.167</v>
      </c>
      <c r="H126" s="54" t="s">
        <v>14</v>
      </c>
      <c r="I126" s="50" t="s">
        <v>1543</v>
      </c>
      <c r="J126" s="50" t="s">
        <v>1419</v>
      </c>
      <c r="K126" s="44" t="str">
        <f t="shared" si="1"/>
        <v>Other Error</v>
      </c>
    </row>
    <row r="127" ht="15.75" customHeight="1">
      <c r="A127" s="50" t="s">
        <v>88</v>
      </c>
      <c r="B127" s="50" t="s">
        <v>636</v>
      </c>
      <c r="C127" s="50" t="s">
        <v>637</v>
      </c>
      <c r="D127" s="54">
        <v>0.429</v>
      </c>
      <c r="E127" s="54">
        <v>0.0</v>
      </c>
      <c r="F127" s="54">
        <v>0.0</v>
      </c>
      <c r="G127" s="54">
        <v>0.333</v>
      </c>
      <c r="H127" s="54" t="s">
        <v>14</v>
      </c>
      <c r="I127" s="50" t="s">
        <v>1544</v>
      </c>
      <c r="J127" s="50" t="s">
        <v>1419</v>
      </c>
      <c r="K127" s="44" t="str">
        <f t="shared" si="1"/>
        <v>True Hallucination</v>
      </c>
    </row>
    <row r="128" ht="15.75" customHeight="1">
      <c r="A128" s="50" t="s">
        <v>94</v>
      </c>
      <c r="B128" s="50" t="s">
        <v>640</v>
      </c>
      <c r="C128" s="50" t="s">
        <v>641</v>
      </c>
      <c r="D128" s="54">
        <v>0.2</v>
      </c>
      <c r="E128" s="54">
        <v>0.66</v>
      </c>
      <c r="F128" s="54">
        <v>0.2</v>
      </c>
      <c r="G128" s="54">
        <v>1.0</v>
      </c>
      <c r="H128" s="54" t="s">
        <v>14</v>
      </c>
      <c r="I128" s="50" t="s">
        <v>1545</v>
      </c>
      <c r="J128" s="50" t="s">
        <v>1419</v>
      </c>
      <c r="K128" s="44" t="str">
        <f t="shared" si="1"/>
        <v>Other Error</v>
      </c>
    </row>
    <row r="129" ht="15.75" customHeight="1">
      <c r="A129" s="50" t="s">
        <v>103</v>
      </c>
      <c r="B129" s="50" t="s">
        <v>648</v>
      </c>
      <c r="C129" s="50" t="s">
        <v>649</v>
      </c>
      <c r="D129" s="54">
        <v>0.333</v>
      </c>
      <c r="E129" s="54">
        <v>0.987</v>
      </c>
      <c r="F129" s="54">
        <v>1.0</v>
      </c>
      <c r="G129" s="54">
        <v>1.0</v>
      </c>
      <c r="H129" s="54" t="s">
        <v>15</v>
      </c>
      <c r="I129" s="50" t="s">
        <v>1546</v>
      </c>
      <c r="J129" s="50" t="s">
        <v>1419</v>
      </c>
      <c r="K129" s="44" t="str">
        <f t="shared" si="1"/>
        <v>Abstractive Deviation</v>
      </c>
    </row>
    <row r="130" ht="15.75" customHeight="1">
      <c r="A130" s="50" t="s">
        <v>109</v>
      </c>
      <c r="B130" s="50" t="s">
        <v>652</v>
      </c>
      <c r="C130" s="50" t="s">
        <v>653</v>
      </c>
      <c r="D130" s="54">
        <v>0.071</v>
      </c>
      <c r="E130" s="54">
        <v>0.555</v>
      </c>
      <c r="F130" s="54">
        <v>0.887</v>
      </c>
      <c r="G130" s="54">
        <v>1.0</v>
      </c>
      <c r="H130" s="54" t="s">
        <v>15</v>
      </c>
      <c r="I130" s="50" t="s">
        <v>1547</v>
      </c>
      <c r="J130" s="50" t="s">
        <v>1419</v>
      </c>
      <c r="K130" s="44" t="str">
        <f t="shared" si="1"/>
        <v>Abstractive Deviation</v>
      </c>
    </row>
    <row r="131" ht="15.75" customHeight="1">
      <c r="A131" s="50" t="s">
        <v>139</v>
      </c>
      <c r="B131" s="50" t="s">
        <v>668</v>
      </c>
      <c r="C131" s="50" t="s">
        <v>669</v>
      </c>
      <c r="D131" s="54">
        <v>0.455</v>
      </c>
      <c r="E131" s="54">
        <v>0.0</v>
      </c>
      <c r="F131" s="54">
        <v>0.478</v>
      </c>
      <c r="G131" s="54">
        <v>1.0</v>
      </c>
      <c r="H131" s="54" t="s">
        <v>15</v>
      </c>
      <c r="I131" s="50" t="s">
        <v>1548</v>
      </c>
      <c r="J131" s="50" t="s">
        <v>1419</v>
      </c>
      <c r="K131" s="44" t="str">
        <f t="shared" si="1"/>
        <v>Other Error</v>
      </c>
    </row>
    <row r="132" ht="15.75" customHeight="1">
      <c r="A132" s="50" t="s">
        <v>142</v>
      </c>
      <c r="B132" s="50" t="s">
        <v>670</v>
      </c>
      <c r="C132" s="50" t="s">
        <v>671</v>
      </c>
      <c r="D132" s="54">
        <v>0.0</v>
      </c>
      <c r="E132" s="54">
        <v>0.0</v>
      </c>
      <c r="F132" s="54">
        <v>0.0</v>
      </c>
      <c r="G132" s="54">
        <v>0.125</v>
      </c>
      <c r="H132" s="54" t="s">
        <v>15</v>
      </c>
      <c r="I132" s="50" t="s">
        <v>1549</v>
      </c>
      <c r="J132" s="50" t="s">
        <v>1419</v>
      </c>
      <c r="K132" s="44" t="str">
        <f t="shared" si="1"/>
        <v>True Hallucination</v>
      </c>
    </row>
    <row r="133" ht="15.75" customHeight="1">
      <c r="A133" s="50" t="s">
        <v>148</v>
      </c>
      <c r="B133" s="50" t="s">
        <v>674</v>
      </c>
      <c r="C133" s="50" t="s">
        <v>675</v>
      </c>
      <c r="D133" s="54">
        <v>0.4</v>
      </c>
      <c r="E133" s="54">
        <v>0.774</v>
      </c>
      <c r="F133" s="54">
        <v>1.0</v>
      </c>
      <c r="G133" s="54">
        <v>1.0</v>
      </c>
      <c r="H133" s="54" t="s">
        <v>15</v>
      </c>
      <c r="I133" s="50" t="s">
        <v>1550</v>
      </c>
      <c r="J133" s="50" t="s">
        <v>1419</v>
      </c>
      <c r="K133" s="44" t="str">
        <f t="shared" si="1"/>
        <v>Abstractive Deviation</v>
      </c>
    </row>
    <row r="134" ht="15.75" customHeight="1">
      <c r="A134" s="50" t="s">
        <v>166</v>
      </c>
      <c r="B134" s="50" t="s">
        <v>688</v>
      </c>
      <c r="C134" s="50" t="s">
        <v>689</v>
      </c>
      <c r="D134" s="54">
        <v>0.182</v>
      </c>
      <c r="E134" s="54">
        <v>0.935</v>
      </c>
      <c r="F134" s="54">
        <v>0.589</v>
      </c>
      <c r="G134" s="54">
        <v>0.0</v>
      </c>
      <c r="H134" s="54" t="s">
        <v>16</v>
      </c>
      <c r="I134" s="50" t="s">
        <v>1551</v>
      </c>
      <c r="J134" s="50" t="s">
        <v>1419</v>
      </c>
      <c r="K134" s="44" t="str">
        <f t="shared" si="1"/>
        <v>Other Error</v>
      </c>
    </row>
    <row r="135" ht="15.75" customHeight="1">
      <c r="A135" s="50" t="s">
        <v>175</v>
      </c>
      <c r="B135" s="50" t="s">
        <v>694</v>
      </c>
      <c r="C135" s="50" t="s">
        <v>695</v>
      </c>
      <c r="D135" s="54">
        <v>0.0</v>
      </c>
      <c r="E135" s="54">
        <v>0.0</v>
      </c>
      <c r="F135" s="54">
        <v>0.0</v>
      </c>
      <c r="G135" s="54">
        <v>0.0</v>
      </c>
      <c r="H135" s="54" t="s">
        <v>16</v>
      </c>
      <c r="I135" s="50" t="s">
        <v>1552</v>
      </c>
      <c r="J135" s="50" t="s">
        <v>1419</v>
      </c>
      <c r="K135" s="44" t="str">
        <f t="shared" si="1"/>
        <v>True Hallucination</v>
      </c>
    </row>
    <row r="136" ht="15.75" customHeight="1">
      <c r="A136" s="50" t="s">
        <v>190</v>
      </c>
      <c r="B136" s="50" t="s">
        <v>704</v>
      </c>
      <c r="C136" s="50" t="s">
        <v>705</v>
      </c>
      <c r="D136" s="54">
        <v>0.071</v>
      </c>
      <c r="E136" s="54">
        <v>0.658</v>
      </c>
      <c r="F136" s="54">
        <v>1.0</v>
      </c>
      <c r="G136" s="54">
        <v>1.0</v>
      </c>
      <c r="H136" s="54" t="s">
        <v>16</v>
      </c>
      <c r="I136" s="50" t="s">
        <v>1553</v>
      </c>
      <c r="J136" s="50" t="s">
        <v>1419</v>
      </c>
      <c r="K136" s="44" t="str">
        <f t="shared" si="1"/>
        <v>Abstractive Deviation</v>
      </c>
    </row>
    <row r="137" ht="15.75" customHeight="1">
      <c r="A137" s="50" t="s">
        <v>205</v>
      </c>
      <c r="B137" s="50" t="s">
        <v>710</v>
      </c>
      <c r="C137" s="50" t="s">
        <v>711</v>
      </c>
      <c r="D137" s="54">
        <v>0.0</v>
      </c>
      <c r="E137" s="54">
        <v>1.0</v>
      </c>
      <c r="F137" s="54">
        <v>0.887</v>
      </c>
      <c r="G137" s="54">
        <v>0.0</v>
      </c>
      <c r="H137" s="54" t="s">
        <v>16</v>
      </c>
      <c r="I137" s="50" t="s">
        <v>1554</v>
      </c>
      <c r="J137" s="50" t="s">
        <v>1419</v>
      </c>
      <c r="K137" s="44" t="str">
        <f t="shared" si="1"/>
        <v>Other Error</v>
      </c>
    </row>
    <row r="138" ht="15.75" customHeight="1">
      <c r="A138" s="50" t="s">
        <v>220</v>
      </c>
      <c r="B138" s="50" t="s">
        <v>724</v>
      </c>
      <c r="C138" s="50" t="s">
        <v>725</v>
      </c>
      <c r="D138" s="54">
        <v>0.158</v>
      </c>
      <c r="E138" s="54">
        <v>0.45</v>
      </c>
      <c r="F138" s="54">
        <v>0.756</v>
      </c>
      <c r="G138" s="54">
        <v>1.0</v>
      </c>
      <c r="H138" s="54" t="s">
        <v>16</v>
      </c>
      <c r="I138" s="50" t="s">
        <v>1555</v>
      </c>
      <c r="J138" s="50" t="s">
        <v>1419</v>
      </c>
      <c r="K138" s="44" t="str">
        <f t="shared" si="1"/>
        <v>Other Error</v>
      </c>
    </row>
    <row r="139" ht="15.75" customHeight="1">
      <c r="A139" s="50" t="s">
        <v>247</v>
      </c>
      <c r="B139" s="50" t="s">
        <v>740</v>
      </c>
      <c r="C139" s="50" t="s">
        <v>741</v>
      </c>
      <c r="D139" s="54">
        <v>0.385</v>
      </c>
      <c r="E139" s="54">
        <v>0.467</v>
      </c>
      <c r="F139" s="54">
        <v>0.0</v>
      </c>
      <c r="G139" s="54">
        <v>0.0</v>
      </c>
      <c r="H139" s="54" t="s">
        <v>17</v>
      </c>
      <c r="I139" s="50" t="s">
        <v>1556</v>
      </c>
      <c r="J139" s="50" t="s">
        <v>1419</v>
      </c>
      <c r="K139" s="44" t="str">
        <f t="shared" si="1"/>
        <v>True Hallucination</v>
      </c>
    </row>
    <row r="140" ht="15.75" customHeight="1">
      <c r="A140" s="50" t="s">
        <v>268</v>
      </c>
      <c r="B140" s="50" t="s">
        <v>750</v>
      </c>
      <c r="C140" s="50" t="s">
        <v>751</v>
      </c>
      <c r="D140" s="54">
        <v>0.25</v>
      </c>
      <c r="E140" s="54">
        <v>0.705</v>
      </c>
      <c r="F140" s="54">
        <v>1.0</v>
      </c>
      <c r="G140" s="54">
        <v>1.0</v>
      </c>
      <c r="H140" s="54" t="s">
        <v>17</v>
      </c>
      <c r="I140" s="50" t="s">
        <v>1557</v>
      </c>
      <c r="J140" s="50" t="s">
        <v>1419</v>
      </c>
      <c r="K140" s="44" t="str">
        <f t="shared" si="1"/>
        <v>Abstractive Deviation</v>
      </c>
    </row>
    <row r="141" ht="15.75" customHeight="1">
      <c r="A141" s="50" t="s">
        <v>262</v>
      </c>
      <c r="B141" s="50" t="s">
        <v>758</v>
      </c>
      <c r="C141" s="50" t="s">
        <v>759</v>
      </c>
      <c r="D141" s="54">
        <v>0.375</v>
      </c>
      <c r="E141" s="54">
        <v>0.902</v>
      </c>
      <c r="F141" s="54">
        <v>0.25</v>
      </c>
      <c r="G141" s="54">
        <v>1.0</v>
      </c>
      <c r="H141" s="54" t="s">
        <v>17</v>
      </c>
      <c r="I141" s="50" t="s">
        <v>1558</v>
      </c>
      <c r="J141" s="50" t="s">
        <v>1419</v>
      </c>
      <c r="K141" s="44" t="str">
        <f t="shared" si="1"/>
        <v>Other Error</v>
      </c>
    </row>
    <row r="142" ht="15.75" customHeight="1">
      <c r="A142" s="50" t="s">
        <v>277</v>
      </c>
      <c r="B142" s="50" t="s">
        <v>762</v>
      </c>
      <c r="C142" s="50" t="s">
        <v>763</v>
      </c>
      <c r="D142" s="54">
        <v>0.938</v>
      </c>
      <c r="E142" s="54">
        <v>0.0</v>
      </c>
      <c r="F142" s="54">
        <v>0.0</v>
      </c>
      <c r="G142" s="54">
        <v>1.0</v>
      </c>
      <c r="H142" s="54" t="s">
        <v>17</v>
      </c>
      <c r="I142" s="50" t="s">
        <v>1559</v>
      </c>
      <c r="J142" s="50" t="s">
        <v>1419</v>
      </c>
      <c r="K142" s="44" t="str">
        <f t="shared" si="1"/>
        <v>Other Error</v>
      </c>
    </row>
    <row r="143" ht="15.75" customHeight="1">
      <c r="D143" s="7"/>
      <c r="E143" s="7"/>
      <c r="F143" s="7"/>
      <c r="G143" s="7"/>
      <c r="H143" s="7"/>
    </row>
    <row r="144" ht="15.75" customHeight="1">
      <c r="D144" s="7"/>
      <c r="E144" s="7"/>
      <c r="F144" s="7"/>
      <c r="G144" s="7"/>
      <c r="H144" s="7"/>
    </row>
    <row r="145" ht="15.75" customHeight="1">
      <c r="D145" s="7"/>
      <c r="E145" s="7"/>
      <c r="F145" s="7"/>
      <c r="G145" s="7"/>
      <c r="H145" s="7"/>
    </row>
    <row r="146" ht="15.75" customHeight="1">
      <c r="D146" s="7"/>
      <c r="E146" s="7"/>
      <c r="F146" s="7"/>
      <c r="G146" s="7"/>
      <c r="H146" s="7"/>
    </row>
    <row r="147" ht="15.75" customHeight="1">
      <c r="D147" s="7"/>
      <c r="E147" s="7"/>
      <c r="F147" s="7"/>
      <c r="G147" s="7"/>
      <c r="H147" s="7"/>
    </row>
    <row r="148" ht="15.75" customHeight="1">
      <c r="D148" s="7"/>
      <c r="E148" s="7"/>
      <c r="F148" s="7"/>
      <c r="G148" s="7"/>
      <c r="H148" s="7"/>
    </row>
    <row r="149" ht="15.75" customHeight="1">
      <c r="D149" s="7"/>
      <c r="E149" s="7"/>
      <c r="F149" s="7"/>
      <c r="G149" s="7"/>
      <c r="H149" s="7"/>
    </row>
    <row r="150" ht="15.75" customHeight="1">
      <c r="D150" s="7"/>
      <c r="E150" s="7"/>
      <c r="F150" s="7"/>
      <c r="G150" s="7"/>
      <c r="H150" s="7"/>
    </row>
    <row r="151" ht="15.75" customHeight="1">
      <c r="D151" s="7"/>
      <c r="E151" s="7"/>
      <c r="F151" s="7"/>
      <c r="G151" s="7"/>
      <c r="H151" s="7"/>
    </row>
    <row r="152" ht="15.75" customHeight="1">
      <c r="D152" s="7"/>
      <c r="E152" s="7"/>
      <c r="F152" s="7"/>
      <c r="G152" s="7"/>
      <c r="H152" s="7"/>
    </row>
    <row r="153" ht="15.75" customHeight="1">
      <c r="D153" s="7"/>
      <c r="E153" s="7"/>
      <c r="F153" s="7"/>
      <c r="G153" s="7"/>
      <c r="H153" s="7"/>
    </row>
    <row r="154" ht="15.75" customHeight="1">
      <c r="D154" s="7"/>
      <c r="E154" s="7"/>
      <c r="F154" s="7"/>
      <c r="G154" s="7"/>
      <c r="H154" s="7"/>
    </row>
    <row r="155" ht="15.75" customHeight="1">
      <c r="D155" s="7"/>
      <c r="E155" s="7"/>
      <c r="F155" s="7"/>
      <c r="G155" s="7"/>
      <c r="H155" s="7"/>
    </row>
    <row r="156" ht="15.75" customHeight="1">
      <c r="D156" s="7"/>
      <c r="E156" s="7"/>
      <c r="F156" s="7"/>
      <c r="G156" s="7"/>
      <c r="H156" s="7"/>
    </row>
    <row r="157" ht="15.75" customHeight="1">
      <c r="D157" s="7"/>
      <c r="E157" s="7"/>
      <c r="F157" s="7"/>
      <c r="G157" s="7"/>
      <c r="H157" s="7"/>
    </row>
    <row r="158" ht="15.75" customHeight="1">
      <c r="D158" s="7"/>
      <c r="E158" s="7"/>
      <c r="F158" s="7"/>
      <c r="G158" s="7"/>
      <c r="H158" s="7"/>
    </row>
    <row r="159" ht="15.75" customHeight="1">
      <c r="D159" s="7"/>
      <c r="E159" s="7"/>
      <c r="F159" s="7"/>
      <c r="G159" s="7"/>
      <c r="H159" s="7"/>
    </row>
    <row r="160" ht="15.75" customHeight="1">
      <c r="D160" s="7"/>
      <c r="E160" s="7"/>
      <c r="F160" s="7"/>
      <c r="G160" s="7"/>
      <c r="H160" s="7"/>
    </row>
    <row r="161" ht="15.75" customHeight="1">
      <c r="D161" s="7"/>
      <c r="E161" s="7"/>
      <c r="F161" s="7"/>
      <c r="G161" s="7"/>
      <c r="H161" s="7"/>
    </row>
    <row r="162" ht="15.75" customHeight="1">
      <c r="D162" s="7"/>
      <c r="E162" s="7"/>
      <c r="F162" s="7"/>
      <c r="G162" s="7"/>
      <c r="H162" s="7"/>
    </row>
    <row r="163" ht="15.75" customHeight="1">
      <c r="D163" s="7"/>
      <c r="E163" s="7"/>
      <c r="F163" s="7"/>
      <c r="G163" s="7"/>
      <c r="H163" s="7"/>
    </row>
    <row r="164" ht="15.75" customHeight="1">
      <c r="D164" s="7"/>
      <c r="E164" s="7"/>
      <c r="F164" s="7"/>
      <c r="G164" s="7"/>
      <c r="H164" s="7"/>
    </row>
    <row r="165" ht="15.75" customHeight="1">
      <c r="D165" s="7"/>
      <c r="E165" s="7"/>
      <c r="F165" s="7"/>
      <c r="G165" s="7"/>
      <c r="H165" s="7"/>
    </row>
    <row r="166" ht="15.75" customHeight="1">
      <c r="D166" s="7"/>
      <c r="E166" s="7"/>
      <c r="F166" s="7"/>
      <c r="G166" s="7"/>
      <c r="H166" s="7"/>
    </row>
    <row r="167" ht="15.75" customHeight="1">
      <c r="D167" s="7"/>
      <c r="E167" s="7"/>
      <c r="F167" s="7"/>
      <c r="G167" s="7"/>
      <c r="H167" s="7"/>
    </row>
    <row r="168" ht="15.75" customHeight="1">
      <c r="D168" s="7"/>
      <c r="E168" s="7"/>
      <c r="F168" s="7"/>
      <c r="G168" s="7"/>
      <c r="H168" s="7"/>
    </row>
    <row r="169" ht="15.75" customHeight="1">
      <c r="D169" s="7"/>
      <c r="E169" s="7"/>
      <c r="F169" s="7"/>
      <c r="G169" s="7"/>
      <c r="H169" s="7"/>
    </row>
    <row r="170" ht="15.75" customHeight="1">
      <c r="D170" s="7"/>
      <c r="E170" s="7"/>
      <c r="F170" s="7"/>
      <c r="G170" s="7"/>
      <c r="H170" s="7"/>
    </row>
    <row r="171" ht="15.75" customHeight="1">
      <c r="D171" s="7"/>
      <c r="E171" s="7"/>
      <c r="F171" s="7"/>
      <c r="G171" s="7"/>
      <c r="H171" s="7"/>
    </row>
    <row r="172" ht="15.75" customHeight="1">
      <c r="D172" s="7"/>
      <c r="E172" s="7"/>
      <c r="F172" s="7"/>
      <c r="G172" s="7"/>
      <c r="H172" s="7"/>
    </row>
    <row r="173" ht="15.75" customHeight="1">
      <c r="D173" s="7"/>
      <c r="E173" s="7"/>
      <c r="F173" s="7"/>
      <c r="G173" s="7"/>
      <c r="H173" s="7"/>
    </row>
    <row r="174" ht="15.75" customHeight="1">
      <c r="D174" s="7"/>
      <c r="E174" s="7"/>
      <c r="F174" s="7"/>
      <c r="G174" s="7"/>
      <c r="H174" s="7"/>
    </row>
    <row r="175" ht="15.75" customHeight="1">
      <c r="D175" s="7"/>
      <c r="E175" s="7"/>
      <c r="F175" s="7"/>
      <c r="G175" s="7"/>
      <c r="H175" s="7"/>
    </row>
    <row r="176" ht="15.75" customHeight="1">
      <c r="D176" s="7"/>
      <c r="E176" s="7"/>
      <c r="F176" s="7"/>
      <c r="G176" s="7"/>
      <c r="H176" s="7"/>
    </row>
    <row r="177" ht="15.75" customHeight="1">
      <c r="D177" s="7"/>
      <c r="E177" s="7"/>
      <c r="F177" s="7"/>
      <c r="G177" s="7"/>
      <c r="H177" s="7"/>
    </row>
    <row r="178" ht="15.75" customHeight="1">
      <c r="D178" s="7"/>
      <c r="E178" s="7"/>
      <c r="F178" s="7"/>
      <c r="G178" s="7"/>
      <c r="H178" s="7"/>
    </row>
    <row r="179" ht="15.75" customHeight="1">
      <c r="D179" s="7"/>
      <c r="E179" s="7"/>
      <c r="F179" s="7"/>
      <c r="G179" s="7"/>
      <c r="H179" s="7"/>
    </row>
    <row r="180" ht="15.75" customHeight="1">
      <c r="D180" s="7"/>
      <c r="E180" s="7"/>
      <c r="F180" s="7"/>
      <c r="G180" s="7"/>
      <c r="H180" s="7"/>
    </row>
    <row r="181" ht="15.75" customHeight="1">
      <c r="D181" s="7"/>
      <c r="E181" s="7"/>
      <c r="F181" s="7"/>
      <c r="G181" s="7"/>
      <c r="H181" s="7"/>
    </row>
    <row r="182" ht="15.75" customHeight="1">
      <c r="D182" s="7"/>
      <c r="E182" s="7"/>
      <c r="F182" s="7"/>
      <c r="G182" s="7"/>
      <c r="H182" s="7"/>
    </row>
    <row r="183" ht="15.75" customHeight="1">
      <c r="D183" s="7"/>
      <c r="E183" s="7"/>
      <c r="F183" s="7"/>
      <c r="G183" s="7"/>
      <c r="H183" s="7"/>
    </row>
    <row r="184" ht="15.75" customHeight="1">
      <c r="D184" s="7"/>
      <c r="E184" s="7"/>
      <c r="F184" s="7"/>
      <c r="G184" s="7"/>
      <c r="H184" s="7"/>
    </row>
    <row r="185" ht="15.75" customHeight="1">
      <c r="D185" s="7"/>
      <c r="E185" s="7"/>
      <c r="F185" s="7"/>
      <c r="G185" s="7"/>
      <c r="H185" s="7"/>
    </row>
    <row r="186" ht="15.75" customHeight="1">
      <c r="D186" s="7"/>
      <c r="E186" s="7"/>
      <c r="F186" s="7"/>
      <c r="G186" s="7"/>
      <c r="H186" s="7"/>
    </row>
    <row r="187" ht="15.75" customHeight="1">
      <c r="D187" s="7"/>
      <c r="E187" s="7"/>
      <c r="F187" s="7"/>
      <c r="G187" s="7"/>
      <c r="H187" s="7"/>
    </row>
    <row r="188" ht="15.75" customHeight="1">
      <c r="D188" s="7"/>
      <c r="E188" s="7"/>
      <c r="F188" s="7"/>
      <c r="G188" s="7"/>
      <c r="H188" s="7"/>
    </row>
    <row r="189" ht="15.75" customHeight="1">
      <c r="D189" s="7"/>
      <c r="E189" s="7"/>
      <c r="F189" s="7"/>
      <c r="G189" s="7"/>
      <c r="H189" s="7"/>
    </row>
    <row r="190" ht="15.75" customHeight="1">
      <c r="D190" s="7"/>
      <c r="E190" s="7"/>
      <c r="F190" s="7"/>
      <c r="G190" s="7"/>
      <c r="H190" s="7"/>
    </row>
    <row r="191" ht="15.75" customHeight="1">
      <c r="D191" s="7"/>
      <c r="E191" s="7"/>
      <c r="F191" s="7"/>
      <c r="G191" s="7"/>
      <c r="H191" s="7"/>
    </row>
    <row r="192" ht="15.75" customHeight="1">
      <c r="D192" s="7"/>
      <c r="E192" s="7"/>
      <c r="F192" s="7"/>
      <c r="G192" s="7"/>
      <c r="H192" s="7"/>
    </row>
    <row r="193" ht="15.75" customHeight="1">
      <c r="D193" s="7"/>
      <c r="E193" s="7"/>
      <c r="F193" s="7"/>
      <c r="G193" s="7"/>
      <c r="H193" s="7"/>
    </row>
    <row r="194" ht="15.75" customHeight="1">
      <c r="D194" s="7"/>
      <c r="E194" s="7"/>
      <c r="F194" s="7"/>
      <c r="G194" s="7"/>
      <c r="H194" s="7"/>
    </row>
    <row r="195" ht="15.75" customHeight="1">
      <c r="D195" s="7"/>
      <c r="E195" s="7"/>
      <c r="F195" s="7"/>
      <c r="G195" s="7"/>
      <c r="H195" s="7"/>
    </row>
    <row r="196" ht="15.75" customHeight="1">
      <c r="D196" s="7"/>
      <c r="E196" s="7"/>
      <c r="F196" s="7"/>
      <c r="G196" s="7"/>
      <c r="H196" s="7"/>
    </row>
    <row r="197" ht="15.75" customHeight="1">
      <c r="D197" s="7"/>
      <c r="E197" s="7"/>
      <c r="F197" s="7"/>
      <c r="G197" s="7"/>
      <c r="H197" s="7"/>
    </row>
    <row r="198" ht="15.75" customHeight="1">
      <c r="D198" s="7"/>
      <c r="E198" s="7"/>
      <c r="F198" s="7"/>
      <c r="G198" s="7"/>
      <c r="H198" s="7"/>
    </row>
    <row r="199" ht="15.75" customHeight="1">
      <c r="D199" s="7"/>
      <c r="E199" s="7"/>
      <c r="F199" s="7"/>
      <c r="G199" s="7"/>
      <c r="H199" s="7"/>
    </row>
    <row r="200" ht="15.75" customHeight="1">
      <c r="D200" s="7"/>
      <c r="E200" s="7"/>
      <c r="F200" s="7"/>
      <c r="G200" s="7"/>
      <c r="H200" s="7"/>
    </row>
    <row r="201" ht="15.75" customHeight="1">
      <c r="D201" s="7"/>
      <c r="E201" s="7"/>
      <c r="F201" s="7"/>
      <c r="G201" s="7"/>
      <c r="H201" s="7"/>
    </row>
    <row r="202" ht="15.75" customHeight="1">
      <c r="D202" s="7"/>
      <c r="E202" s="7"/>
      <c r="F202" s="7"/>
      <c r="G202" s="7"/>
      <c r="H202" s="7"/>
    </row>
    <row r="203" ht="15.75" customHeight="1">
      <c r="D203" s="7"/>
      <c r="E203" s="7"/>
      <c r="F203" s="7"/>
      <c r="G203" s="7"/>
      <c r="H203" s="7"/>
    </row>
    <row r="204" ht="15.75" customHeight="1">
      <c r="D204" s="7"/>
      <c r="E204" s="7"/>
      <c r="F204" s="7"/>
      <c r="G204" s="7"/>
      <c r="H204" s="7"/>
    </row>
    <row r="205" ht="15.75" customHeight="1">
      <c r="D205" s="7"/>
      <c r="E205" s="7"/>
      <c r="F205" s="7"/>
      <c r="G205" s="7"/>
      <c r="H205" s="7"/>
    </row>
    <row r="206" ht="15.75" customHeight="1">
      <c r="D206" s="7"/>
      <c r="E206" s="7"/>
      <c r="F206" s="7"/>
      <c r="G206" s="7"/>
      <c r="H206" s="7"/>
    </row>
    <row r="207" ht="15.75" customHeight="1">
      <c r="D207" s="7"/>
      <c r="E207" s="7"/>
      <c r="F207" s="7"/>
      <c r="G207" s="7"/>
      <c r="H207" s="7"/>
    </row>
    <row r="208" ht="15.75" customHeight="1">
      <c r="D208" s="7"/>
      <c r="E208" s="7"/>
      <c r="F208" s="7"/>
      <c r="G208" s="7"/>
      <c r="H208" s="7"/>
    </row>
    <row r="209" ht="15.75" customHeight="1">
      <c r="D209" s="7"/>
      <c r="E209" s="7"/>
      <c r="F209" s="7"/>
      <c r="G209" s="7"/>
      <c r="H209" s="7"/>
    </row>
    <row r="210" ht="15.75" customHeight="1">
      <c r="D210" s="7"/>
      <c r="E210" s="7"/>
      <c r="F210" s="7"/>
      <c r="G210" s="7"/>
      <c r="H210" s="7"/>
    </row>
    <row r="211" ht="15.75" customHeight="1">
      <c r="D211" s="7"/>
      <c r="E211" s="7"/>
      <c r="F211" s="7"/>
      <c r="G211" s="7"/>
      <c r="H211" s="7"/>
    </row>
    <row r="212" ht="15.75" customHeight="1">
      <c r="D212" s="7"/>
      <c r="E212" s="7"/>
      <c r="F212" s="7"/>
      <c r="G212" s="7"/>
      <c r="H212" s="7"/>
    </row>
    <row r="213" ht="15.75" customHeight="1">
      <c r="D213" s="7"/>
      <c r="E213" s="7"/>
      <c r="F213" s="7"/>
      <c r="G213" s="7"/>
      <c r="H213" s="7"/>
    </row>
    <row r="214" ht="15.75" customHeight="1">
      <c r="D214" s="7"/>
      <c r="E214" s="7"/>
      <c r="F214" s="7"/>
      <c r="G214" s="7"/>
      <c r="H214" s="7"/>
    </row>
    <row r="215" ht="15.75" customHeight="1">
      <c r="D215" s="7"/>
      <c r="E215" s="7"/>
      <c r="F215" s="7"/>
      <c r="G215" s="7"/>
      <c r="H215" s="7"/>
    </row>
    <row r="216" ht="15.75" customHeight="1">
      <c r="D216" s="7"/>
      <c r="E216" s="7"/>
      <c r="F216" s="7"/>
      <c r="G216" s="7"/>
      <c r="H216" s="7"/>
    </row>
    <row r="217" ht="15.75" customHeight="1">
      <c r="D217" s="7"/>
      <c r="E217" s="7"/>
      <c r="F217" s="7"/>
      <c r="G217" s="7"/>
      <c r="H217" s="7"/>
    </row>
    <row r="218" ht="15.75" customHeight="1">
      <c r="D218" s="7"/>
      <c r="E218" s="7"/>
      <c r="F218" s="7"/>
      <c r="G218" s="7"/>
      <c r="H218" s="7"/>
    </row>
    <row r="219" ht="15.75" customHeight="1">
      <c r="D219" s="7"/>
      <c r="E219" s="7"/>
      <c r="F219" s="7"/>
      <c r="G219" s="7"/>
      <c r="H219" s="7"/>
    </row>
    <row r="220" ht="15.75" customHeight="1">
      <c r="D220" s="7"/>
      <c r="E220" s="7"/>
      <c r="F220" s="7"/>
      <c r="G220" s="7"/>
      <c r="H220" s="7"/>
    </row>
    <row r="221" ht="15.75" customHeight="1">
      <c r="D221" s="7"/>
      <c r="E221" s="7"/>
      <c r="F221" s="7"/>
      <c r="G221" s="7"/>
      <c r="H221" s="7"/>
    </row>
    <row r="222" ht="15.75" customHeight="1">
      <c r="D222" s="7"/>
      <c r="E222" s="7"/>
      <c r="F222" s="7"/>
      <c r="G222" s="7"/>
      <c r="H222" s="7"/>
    </row>
    <row r="223" ht="15.75" customHeight="1">
      <c r="D223" s="7"/>
      <c r="E223" s="7"/>
      <c r="F223" s="7"/>
      <c r="G223" s="7"/>
      <c r="H223" s="7"/>
    </row>
    <row r="224" ht="15.75" customHeight="1">
      <c r="D224" s="7"/>
      <c r="E224" s="7"/>
      <c r="F224" s="7"/>
      <c r="G224" s="7"/>
      <c r="H224" s="7"/>
    </row>
    <row r="225" ht="15.75" customHeight="1">
      <c r="D225" s="7"/>
      <c r="E225" s="7"/>
      <c r="F225" s="7"/>
      <c r="G225" s="7"/>
      <c r="H225" s="7"/>
    </row>
    <row r="226" ht="15.75" customHeight="1">
      <c r="D226" s="7"/>
      <c r="E226" s="7"/>
      <c r="F226" s="7"/>
      <c r="G226" s="7"/>
      <c r="H226" s="7"/>
    </row>
    <row r="227" ht="15.75" customHeight="1">
      <c r="D227" s="7"/>
      <c r="E227" s="7"/>
      <c r="F227" s="7"/>
      <c r="G227" s="7"/>
      <c r="H227" s="7"/>
    </row>
    <row r="228" ht="15.75" customHeight="1">
      <c r="D228" s="7"/>
      <c r="E228" s="7"/>
      <c r="F228" s="7"/>
      <c r="G228" s="7"/>
      <c r="H228" s="7"/>
    </row>
    <row r="229" ht="15.75" customHeight="1">
      <c r="D229" s="7"/>
      <c r="E229" s="7"/>
      <c r="F229" s="7"/>
      <c r="G229" s="7"/>
      <c r="H229" s="7"/>
    </row>
    <row r="230" ht="15.75" customHeight="1">
      <c r="D230" s="7"/>
      <c r="E230" s="7"/>
      <c r="F230" s="7"/>
      <c r="G230" s="7"/>
      <c r="H230" s="7"/>
    </row>
    <row r="231" ht="15.75" customHeight="1">
      <c r="D231" s="7"/>
      <c r="E231" s="7"/>
      <c r="F231" s="7"/>
      <c r="G231" s="7"/>
      <c r="H231" s="7"/>
    </row>
    <row r="232" ht="15.75" customHeight="1">
      <c r="D232" s="7"/>
      <c r="E232" s="7"/>
      <c r="F232" s="7"/>
      <c r="G232" s="7"/>
      <c r="H232" s="7"/>
    </row>
    <row r="233" ht="15.75" customHeight="1">
      <c r="D233" s="7"/>
      <c r="E233" s="7"/>
      <c r="F233" s="7"/>
      <c r="G233" s="7"/>
      <c r="H233" s="7"/>
    </row>
    <row r="234" ht="15.75" customHeight="1">
      <c r="D234" s="7"/>
      <c r="E234" s="7"/>
      <c r="F234" s="7"/>
      <c r="G234" s="7"/>
      <c r="H234" s="7"/>
    </row>
    <row r="235" ht="15.75" customHeight="1">
      <c r="D235" s="7"/>
      <c r="E235" s="7"/>
      <c r="F235" s="7"/>
      <c r="G235" s="7"/>
      <c r="H235" s="7"/>
    </row>
    <row r="236" ht="15.75" customHeight="1">
      <c r="D236" s="7"/>
      <c r="E236" s="7"/>
      <c r="F236" s="7"/>
      <c r="G236" s="7"/>
      <c r="H236" s="7"/>
    </row>
    <row r="237" ht="15.75" customHeight="1">
      <c r="D237" s="7"/>
      <c r="E237" s="7"/>
      <c r="F237" s="7"/>
      <c r="G237" s="7"/>
      <c r="H237" s="7"/>
    </row>
    <row r="238" ht="15.75" customHeight="1">
      <c r="D238" s="7"/>
      <c r="E238" s="7"/>
      <c r="F238" s="7"/>
      <c r="G238" s="7"/>
      <c r="H238" s="7"/>
    </row>
    <row r="239" ht="15.75" customHeight="1">
      <c r="D239" s="7"/>
      <c r="E239" s="7"/>
      <c r="F239" s="7"/>
      <c r="G239" s="7"/>
      <c r="H239" s="7"/>
    </row>
    <row r="240" ht="15.75" customHeight="1">
      <c r="D240" s="7"/>
      <c r="E240" s="7"/>
      <c r="F240" s="7"/>
      <c r="G240" s="7"/>
      <c r="H240" s="7"/>
    </row>
    <row r="241" ht="15.75" customHeight="1">
      <c r="D241" s="7"/>
      <c r="E241" s="7"/>
      <c r="F241" s="7"/>
      <c r="G241" s="7"/>
      <c r="H241" s="7"/>
    </row>
    <row r="242" ht="15.75" customHeight="1">
      <c r="D242" s="7"/>
      <c r="E242" s="7"/>
      <c r="F242" s="7"/>
      <c r="G242" s="7"/>
      <c r="H242" s="7"/>
    </row>
    <row r="243" ht="15.75" customHeight="1">
      <c r="D243" s="7"/>
      <c r="E243" s="7"/>
      <c r="F243" s="7"/>
      <c r="G243" s="7"/>
      <c r="H243" s="7"/>
    </row>
    <row r="244" ht="15.75" customHeight="1">
      <c r="D244" s="7"/>
      <c r="E244" s="7"/>
      <c r="F244" s="7"/>
      <c r="G244" s="7"/>
      <c r="H244" s="7"/>
    </row>
    <row r="245" ht="15.75" customHeight="1">
      <c r="D245" s="7"/>
      <c r="E245" s="7"/>
      <c r="F245" s="7"/>
      <c r="G245" s="7"/>
      <c r="H245" s="7"/>
    </row>
    <row r="246" ht="15.75" customHeight="1">
      <c r="D246" s="7"/>
      <c r="E246" s="7"/>
      <c r="F246" s="7"/>
      <c r="G246" s="7"/>
      <c r="H246" s="7"/>
    </row>
    <row r="247" ht="15.75" customHeight="1">
      <c r="D247" s="7"/>
      <c r="E247" s="7"/>
      <c r="F247" s="7"/>
      <c r="G247" s="7"/>
      <c r="H247" s="7"/>
    </row>
    <row r="248" ht="15.75" customHeight="1">
      <c r="D248" s="7"/>
      <c r="E248" s="7"/>
      <c r="F248" s="7"/>
      <c r="G248" s="7"/>
      <c r="H248" s="7"/>
    </row>
    <row r="249" ht="15.75" customHeight="1">
      <c r="D249" s="7"/>
      <c r="E249" s="7"/>
      <c r="F249" s="7"/>
      <c r="G249" s="7"/>
      <c r="H249" s="7"/>
    </row>
    <row r="250" ht="15.75" customHeight="1">
      <c r="D250" s="7"/>
      <c r="E250" s="7"/>
      <c r="F250" s="7"/>
      <c r="G250" s="7"/>
      <c r="H250" s="7"/>
    </row>
    <row r="251" ht="15.75" customHeight="1">
      <c r="D251" s="7"/>
      <c r="E251" s="7"/>
      <c r="F251" s="7"/>
      <c r="G251" s="7"/>
      <c r="H251" s="7"/>
    </row>
    <row r="252" ht="15.75" customHeight="1">
      <c r="D252" s="7"/>
      <c r="E252" s="7"/>
      <c r="F252" s="7"/>
      <c r="G252" s="7"/>
      <c r="H252" s="7"/>
    </row>
    <row r="253" ht="15.75" customHeight="1">
      <c r="D253" s="7"/>
      <c r="E253" s="7"/>
      <c r="F253" s="7"/>
      <c r="G253" s="7"/>
      <c r="H253" s="7"/>
    </row>
    <row r="254" ht="15.75" customHeight="1">
      <c r="D254" s="7"/>
      <c r="E254" s="7"/>
      <c r="F254" s="7"/>
      <c r="G254" s="7"/>
      <c r="H254" s="7"/>
    </row>
    <row r="255" ht="15.75" customHeight="1">
      <c r="D255" s="7"/>
      <c r="E255" s="7"/>
      <c r="F255" s="7"/>
      <c r="G255" s="7"/>
      <c r="H255" s="7"/>
    </row>
    <row r="256" ht="15.75" customHeight="1">
      <c r="D256" s="7"/>
      <c r="E256" s="7"/>
      <c r="F256" s="7"/>
      <c r="G256" s="7"/>
      <c r="H256" s="7"/>
    </row>
    <row r="257" ht="15.75" customHeight="1">
      <c r="D257" s="7"/>
      <c r="E257" s="7"/>
      <c r="F257" s="7"/>
      <c r="G257" s="7"/>
      <c r="H257" s="7"/>
    </row>
    <row r="258" ht="15.75" customHeight="1">
      <c r="D258" s="7"/>
      <c r="E258" s="7"/>
      <c r="F258" s="7"/>
      <c r="G258" s="7"/>
      <c r="H258" s="7"/>
    </row>
    <row r="259" ht="15.75" customHeight="1">
      <c r="D259" s="7"/>
      <c r="E259" s="7"/>
      <c r="F259" s="7"/>
      <c r="G259" s="7"/>
      <c r="H259" s="7"/>
    </row>
    <row r="260" ht="15.75" customHeight="1">
      <c r="D260" s="7"/>
      <c r="E260" s="7"/>
      <c r="F260" s="7"/>
      <c r="G260" s="7"/>
      <c r="H260" s="7"/>
    </row>
    <row r="261" ht="15.75" customHeight="1">
      <c r="D261" s="7"/>
      <c r="E261" s="7"/>
      <c r="F261" s="7"/>
      <c r="G261" s="7"/>
      <c r="H261" s="7"/>
    </row>
    <row r="262" ht="15.75" customHeight="1">
      <c r="D262" s="7"/>
      <c r="E262" s="7"/>
      <c r="F262" s="7"/>
      <c r="G262" s="7"/>
      <c r="H262" s="7"/>
    </row>
    <row r="263" ht="15.75" customHeight="1">
      <c r="D263" s="7"/>
      <c r="E263" s="7"/>
      <c r="F263" s="7"/>
      <c r="G263" s="7"/>
      <c r="H263" s="7"/>
    </row>
    <row r="264" ht="15.75" customHeight="1">
      <c r="D264" s="7"/>
      <c r="E264" s="7"/>
      <c r="F264" s="7"/>
      <c r="G264" s="7"/>
      <c r="H264" s="7"/>
    </row>
    <row r="265" ht="15.75" customHeight="1">
      <c r="D265" s="7"/>
      <c r="E265" s="7"/>
      <c r="F265" s="7"/>
      <c r="G265" s="7"/>
      <c r="H265" s="7"/>
    </row>
    <row r="266" ht="15.75" customHeight="1">
      <c r="D266" s="7"/>
      <c r="E266" s="7"/>
      <c r="F266" s="7"/>
      <c r="G266" s="7"/>
      <c r="H266" s="7"/>
    </row>
    <row r="267" ht="15.75" customHeight="1">
      <c r="D267" s="7"/>
      <c r="E267" s="7"/>
      <c r="F267" s="7"/>
      <c r="G267" s="7"/>
      <c r="H267" s="7"/>
    </row>
    <row r="268" ht="15.75" customHeight="1">
      <c r="D268" s="7"/>
      <c r="E268" s="7"/>
      <c r="F268" s="7"/>
      <c r="G268" s="7"/>
      <c r="H268" s="7"/>
    </row>
    <row r="269" ht="15.75" customHeight="1">
      <c r="D269" s="7"/>
      <c r="E269" s="7"/>
      <c r="F269" s="7"/>
      <c r="G269" s="7"/>
      <c r="H269" s="7"/>
    </row>
    <row r="270" ht="15.75" customHeight="1">
      <c r="D270" s="7"/>
      <c r="E270" s="7"/>
      <c r="F270" s="7"/>
      <c r="G270" s="7"/>
      <c r="H270" s="7"/>
    </row>
    <row r="271" ht="15.75" customHeight="1">
      <c r="D271" s="7"/>
      <c r="E271" s="7"/>
      <c r="F271" s="7"/>
      <c r="G271" s="7"/>
      <c r="H271" s="7"/>
    </row>
    <row r="272" ht="15.75" customHeight="1">
      <c r="D272" s="7"/>
      <c r="E272" s="7"/>
      <c r="F272" s="7"/>
      <c r="G272" s="7"/>
      <c r="H272" s="7"/>
    </row>
    <row r="273" ht="15.75" customHeight="1">
      <c r="D273" s="7"/>
      <c r="E273" s="7"/>
      <c r="F273" s="7"/>
      <c r="G273" s="7"/>
      <c r="H273" s="7"/>
    </row>
    <row r="274" ht="15.75" customHeight="1">
      <c r="D274" s="7"/>
      <c r="E274" s="7"/>
      <c r="F274" s="7"/>
      <c r="G274" s="7"/>
      <c r="H274" s="7"/>
    </row>
    <row r="275" ht="15.75" customHeight="1">
      <c r="D275" s="7"/>
      <c r="E275" s="7"/>
      <c r="F275" s="7"/>
      <c r="G275" s="7"/>
      <c r="H275" s="7"/>
    </row>
    <row r="276" ht="15.75" customHeight="1">
      <c r="D276" s="7"/>
      <c r="E276" s="7"/>
      <c r="F276" s="7"/>
      <c r="G276" s="7"/>
      <c r="H276" s="7"/>
    </row>
    <row r="277" ht="15.75" customHeight="1">
      <c r="D277" s="7"/>
      <c r="E277" s="7"/>
      <c r="F277" s="7"/>
      <c r="G277" s="7"/>
      <c r="H277" s="7"/>
    </row>
    <row r="278" ht="15.75" customHeight="1">
      <c r="D278" s="7"/>
      <c r="E278" s="7"/>
      <c r="F278" s="7"/>
      <c r="G278" s="7"/>
      <c r="H278" s="7"/>
    </row>
    <row r="279" ht="15.75" customHeight="1">
      <c r="D279" s="7"/>
      <c r="E279" s="7"/>
      <c r="F279" s="7"/>
      <c r="G279" s="7"/>
      <c r="H279" s="7"/>
    </row>
    <row r="280" ht="15.75" customHeight="1">
      <c r="D280" s="7"/>
      <c r="E280" s="7"/>
      <c r="F280" s="7"/>
      <c r="G280" s="7"/>
      <c r="H280" s="7"/>
    </row>
    <row r="281" ht="15.75" customHeight="1">
      <c r="D281" s="7"/>
      <c r="E281" s="7"/>
      <c r="F281" s="7"/>
      <c r="G281" s="7"/>
      <c r="H281" s="7"/>
    </row>
    <row r="282" ht="15.75" customHeight="1">
      <c r="D282" s="7"/>
      <c r="E282" s="7"/>
      <c r="F282" s="7"/>
      <c r="G282" s="7"/>
      <c r="H282" s="7"/>
    </row>
    <row r="283" ht="15.75" customHeight="1">
      <c r="D283" s="7"/>
      <c r="E283" s="7"/>
      <c r="F283" s="7"/>
      <c r="G283" s="7"/>
      <c r="H283" s="7"/>
    </row>
    <row r="284" ht="15.75" customHeight="1">
      <c r="D284" s="7"/>
      <c r="E284" s="7"/>
      <c r="F284" s="7"/>
      <c r="G284" s="7"/>
      <c r="H284" s="7"/>
    </row>
    <row r="285" ht="15.75" customHeight="1">
      <c r="D285" s="7"/>
      <c r="E285" s="7"/>
      <c r="F285" s="7"/>
      <c r="G285" s="7"/>
      <c r="H285" s="7"/>
    </row>
    <row r="286" ht="15.75" customHeight="1">
      <c r="D286" s="7"/>
      <c r="E286" s="7"/>
      <c r="F286" s="7"/>
      <c r="G286" s="7"/>
      <c r="H286" s="7"/>
    </row>
    <row r="287" ht="15.75" customHeight="1">
      <c r="D287" s="7"/>
      <c r="E287" s="7"/>
      <c r="F287" s="7"/>
      <c r="G287" s="7"/>
      <c r="H287" s="7"/>
    </row>
    <row r="288" ht="15.75" customHeight="1">
      <c r="D288" s="7"/>
      <c r="E288" s="7"/>
      <c r="F288" s="7"/>
      <c r="G288" s="7"/>
      <c r="H288" s="7"/>
    </row>
    <row r="289" ht="15.75" customHeight="1">
      <c r="D289" s="7"/>
      <c r="E289" s="7"/>
      <c r="F289" s="7"/>
      <c r="G289" s="7"/>
      <c r="H289" s="7"/>
    </row>
    <row r="290" ht="15.75" customHeight="1">
      <c r="D290" s="7"/>
      <c r="E290" s="7"/>
      <c r="F290" s="7"/>
      <c r="G290" s="7"/>
      <c r="H290" s="7"/>
    </row>
    <row r="291" ht="15.75" customHeight="1">
      <c r="D291" s="7"/>
      <c r="E291" s="7"/>
      <c r="F291" s="7"/>
      <c r="G291" s="7"/>
      <c r="H291" s="7"/>
    </row>
    <row r="292" ht="15.75" customHeight="1">
      <c r="D292" s="7"/>
      <c r="E292" s="7"/>
      <c r="F292" s="7"/>
      <c r="G292" s="7"/>
      <c r="H292" s="7"/>
    </row>
    <row r="293" ht="15.75" customHeight="1">
      <c r="D293" s="7"/>
      <c r="E293" s="7"/>
      <c r="F293" s="7"/>
      <c r="G293" s="7"/>
      <c r="H293" s="7"/>
    </row>
    <row r="294" ht="15.75" customHeight="1">
      <c r="D294" s="7"/>
      <c r="E294" s="7"/>
      <c r="F294" s="7"/>
      <c r="G294" s="7"/>
      <c r="H294" s="7"/>
    </row>
    <row r="295" ht="15.75" customHeight="1">
      <c r="D295" s="7"/>
      <c r="E295" s="7"/>
      <c r="F295" s="7"/>
      <c r="G295" s="7"/>
      <c r="H295" s="7"/>
    </row>
    <row r="296" ht="15.75" customHeight="1">
      <c r="D296" s="7"/>
      <c r="E296" s="7"/>
      <c r="F296" s="7"/>
      <c r="G296" s="7"/>
      <c r="H296" s="7"/>
    </row>
    <row r="297" ht="15.75" customHeight="1">
      <c r="D297" s="7"/>
      <c r="E297" s="7"/>
      <c r="F297" s="7"/>
      <c r="G297" s="7"/>
      <c r="H297" s="7"/>
    </row>
    <row r="298" ht="15.75" customHeight="1">
      <c r="D298" s="7"/>
      <c r="E298" s="7"/>
      <c r="F298" s="7"/>
      <c r="G298" s="7"/>
      <c r="H298" s="7"/>
    </row>
    <row r="299" ht="15.75" customHeight="1">
      <c r="D299" s="7"/>
      <c r="E299" s="7"/>
      <c r="F299" s="7"/>
      <c r="G299" s="7"/>
      <c r="H299" s="7"/>
    </row>
    <row r="300" ht="15.75" customHeight="1">
      <c r="D300" s="7"/>
      <c r="E300" s="7"/>
      <c r="F300" s="7"/>
      <c r="G300" s="7"/>
      <c r="H300" s="7"/>
    </row>
    <row r="301" ht="15.75" customHeight="1">
      <c r="D301" s="7"/>
      <c r="E301" s="7"/>
      <c r="F301" s="7"/>
      <c r="G301" s="7"/>
      <c r="H301" s="7"/>
    </row>
    <row r="302" ht="15.75" customHeight="1">
      <c r="D302" s="7"/>
      <c r="E302" s="7"/>
      <c r="F302" s="7"/>
      <c r="G302" s="7"/>
      <c r="H302" s="7"/>
    </row>
    <row r="303" ht="15.75" customHeight="1">
      <c r="D303" s="7"/>
      <c r="E303" s="7"/>
      <c r="F303" s="7"/>
      <c r="G303" s="7"/>
      <c r="H303" s="7"/>
    </row>
    <row r="304" ht="15.75" customHeight="1">
      <c r="D304" s="7"/>
      <c r="E304" s="7"/>
      <c r="F304" s="7"/>
      <c r="G304" s="7"/>
      <c r="H304" s="7"/>
    </row>
    <row r="305" ht="15.75" customHeight="1">
      <c r="D305" s="7"/>
      <c r="E305" s="7"/>
      <c r="F305" s="7"/>
      <c r="G305" s="7"/>
      <c r="H305" s="7"/>
    </row>
    <row r="306" ht="15.75" customHeight="1">
      <c r="D306" s="7"/>
      <c r="E306" s="7"/>
      <c r="F306" s="7"/>
      <c r="G306" s="7"/>
      <c r="H306" s="7"/>
    </row>
    <row r="307" ht="15.75" customHeight="1">
      <c r="D307" s="7"/>
      <c r="E307" s="7"/>
      <c r="F307" s="7"/>
      <c r="G307" s="7"/>
      <c r="H307" s="7"/>
    </row>
    <row r="308" ht="15.75" customHeight="1">
      <c r="D308" s="7"/>
      <c r="E308" s="7"/>
      <c r="F308" s="7"/>
      <c r="G308" s="7"/>
      <c r="H308" s="7"/>
    </row>
    <row r="309" ht="15.75" customHeight="1">
      <c r="D309" s="7"/>
      <c r="E309" s="7"/>
      <c r="F309" s="7"/>
      <c r="G309" s="7"/>
      <c r="H309" s="7"/>
    </row>
    <row r="310" ht="15.75" customHeight="1">
      <c r="D310" s="7"/>
      <c r="E310" s="7"/>
      <c r="F310" s="7"/>
      <c r="G310" s="7"/>
      <c r="H310" s="7"/>
    </row>
    <row r="311" ht="15.75" customHeight="1">
      <c r="D311" s="7"/>
      <c r="E311" s="7"/>
      <c r="F311" s="7"/>
      <c r="G311" s="7"/>
      <c r="H311" s="7"/>
    </row>
    <row r="312" ht="15.75" customHeight="1">
      <c r="D312" s="7"/>
      <c r="E312" s="7"/>
      <c r="F312" s="7"/>
      <c r="G312" s="7"/>
      <c r="H312" s="7"/>
    </row>
    <row r="313" ht="15.75" customHeight="1">
      <c r="D313" s="7"/>
      <c r="E313" s="7"/>
      <c r="F313" s="7"/>
      <c r="G313" s="7"/>
      <c r="H313" s="7"/>
    </row>
    <row r="314" ht="15.75" customHeight="1">
      <c r="D314" s="7"/>
      <c r="E314" s="7"/>
      <c r="F314" s="7"/>
      <c r="G314" s="7"/>
      <c r="H314" s="7"/>
    </row>
    <row r="315" ht="15.75" customHeight="1">
      <c r="D315" s="7"/>
      <c r="E315" s="7"/>
      <c r="F315" s="7"/>
      <c r="G315" s="7"/>
      <c r="H315" s="7"/>
    </row>
    <row r="316" ht="15.75" customHeight="1">
      <c r="D316" s="7"/>
      <c r="E316" s="7"/>
      <c r="F316" s="7"/>
      <c r="G316" s="7"/>
      <c r="H316" s="7"/>
    </row>
    <row r="317" ht="15.75" customHeight="1">
      <c r="D317" s="7"/>
      <c r="E317" s="7"/>
      <c r="F317" s="7"/>
      <c r="G317" s="7"/>
      <c r="H317" s="7"/>
    </row>
    <row r="318" ht="15.75" customHeight="1">
      <c r="D318" s="7"/>
      <c r="E318" s="7"/>
      <c r="F318" s="7"/>
      <c r="G318" s="7"/>
      <c r="H318" s="7"/>
    </row>
    <row r="319" ht="15.75" customHeight="1">
      <c r="D319" s="7"/>
      <c r="E319" s="7"/>
      <c r="F319" s="7"/>
      <c r="G319" s="7"/>
      <c r="H319" s="7"/>
    </row>
    <row r="320" ht="15.75" customHeight="1">
      <c r="D320" s="7"/>
      <c r="E320" s="7"/>
      <c r="F320" s="7"/>
      <c r="G320" s="7"/>
      <c r="H320" s="7"/>
    </row>
    <row r="321" ht="15.75" customHeight="1">
      <c r="D321" s="7"/>
      <c r="E321" s="7"/>
      <c r="F321" s="7"/>
      <c r="G321" s="7"/>
      <c r="H321" s="7"/>
    </row>
    <row r="322" ht="15.75" customHeight="1">
      <c r="D322" s="7"/>
      <c r="E322" s="7"/>
      <c r="F322" s="7"/>
      <c r="G322" s="7"/>
      <c r="H322" s="7"/>
    </row>
    <row r="323" ht="15.75" customHeight="1">
      <c r="D323" s="7"/>
      <c r="E323" s="7"/>
      <c r="F323" s="7"/>
      <c r="G323" s="7"/>
      <c r="H323" s="7"/>
    </row>
    <row r="324" ht="15.75" customHeight="1">
      <c r="D324" s="7"/>
      <c r="E324" s="7"/>
      <c r="F324" s="7"/>
      <c r="G324" s="7"/>
      <c r="H324" s="7"/>
    </row>
    <row r="325" ht="15.75" customHeight="1">
      <c r="D325" s="7"/>
      <c r="E325" s="7"/>
      <c r="F325" s="7"/>
      <c r="G325" s="7"/>
      <c r="H325" s="7"/>
    </row>
    <row r="326" ht="15.75" customHeight="1">
      <c r="D326" s="7"/>
      <c r="E326" s="7"/>
      <c r="F326" s="7"/>
      <c r="G326" s="7"/>
      <c r="H326" s="7"/>
    </row>
    <row r="327" ht="15.75" customHeight="1">
      <c r="D327" s="7"/>
      <c r="E327" s="7"/>
      <c r="F327" s="7"/>
      <c r="G327" s="7"/>
      <c r="H327" s="7"/>
    </row>
    <row r="328" ht="15.75" customHeight="1">
      <c r="D328" s="7"/>
      <c r="E328" s="7"/>
      <c r="F328" s="7"/>
      <c r="G328" s="7"/>
      <c r="H328" s="7"/>
    </row>
    <row r="329" ht="15.75" customHeight="1">
      <c r="D329" s="7"/>
      <c r="E329" s="7"/>
      <c r="F329" s="7"/>
      <c r="G329" s="7"/>
      <c r="H329" s="7"/>
    </row>
    <row r="330" ht="15.75" customHeight="1">
      <c r="D330" s="7"/>
      <c r="E330" s="7"/>
      <c r="F330" s="7"/>
      <c r="G330" s="7"/>
      <c r="H330" s="7"/>
    </row>
    <row r="331" ht="15.75" customHeight="1">
      <c r="D331" s="7"/>
      <c r="E331" s="7"/>
      <c r="F331" s="7"/>
      <c r="G331" s="7"/>
      <c r="H331" s="7"/>
    </row>
    <row r="332" ht="15.75" customHeight="1">
      <c r="D332" s="7"/>
      <c r="E332" s="7"/>
      <c r="F332" s="7"/>
      <c r="G332" s="7"/>
      <c r="H332" s="7"/>
    </row>
    <row r="333" ht="15.75" customHeight="1">
      <c r="D333" s="7"/>
      <c r="E333" s="7"/>
      <c r="F333" s="7"/>
      <c r="G333" s="7"/>
      <c r="H333" s="7"/>
    </row>
    <row r="334" ht="15.75" customHeight="1">
      <c r="D334" s="7"/>
      <c r="E334" s="7"/>
      <c r="F334" s="7"/>
      <c r="G334" s="7"/>
      <c r="H334" s="7"/>
    </row>
    <row r="335" ht="15.75" customHeight="1">
      <c r="D335" s="7"/>
      <c r="E335" s="7"/>
      <c r="F335" s="7"/>
      <c r="G335" s="7"/>
      <c r="H335" s="7"/>
    </row>
    <row r="336" ht="15.75" customHeight="1">
      <c r="D336" s="7"/>
      <c r="E336" s="7"/>
      <c r="F336" s="7"/>
      <c r="G336" s="7"/>
      <c r="H336" s="7"/>
    </row>
    <row r="337" ht="15.75" customHeight="1">
      <c r="D337" s="7"/>
      <c r="E337" s="7"/>
      <c r="F337" s="7"/>
      <c r="G337" s="7"/>
      <c r="H337" s="7"/>
    </row>
    <row r="338" ht="15.75" customHeight="1">
      <c r="D338" s="7"/>
      <c r="E338" s="7"/>
      <c r="F338" s="7"/>
      <c r="G338" s="7"/>
      <c r="H338" s="7"/>
    </row>
    <row r="339" ht="15.75" customHeight="1">
      <c r="D339" s="7"/>
      <c r="E339" s="7"/>
      <c r="F339" s="7"/>
      <c r="G339" s="7"/>
      <c r="H339" s="7"/>
    </row>
    <row r="340" ht="15.75" customHeight="1">
      <c r="D340" s="7"/>
      <c r="E340" s="7"/>
      <c r="F340" s="7"/>
      <c r="G340" s="7"/>
      <c r="H340" s="7"/>
    </row>
    <row r="341" ht="15.75" customHeight="1">
      <c r="D341" s="7"/>
      <c r="E341" s="7"/>
      <c r="F341" s="7"/>
      <c r="G341" s="7"/>
      <c r="H341" s="7"/>
    </row>
    <row r="342" ht="15.75" customHeight="1">
      <c r="D342" s="7"/>
      <c r="E342" s="7"/>
      <c r="F342" s="7"/>
      <c r="G342" s="7"/>
      <c r="H342" s="7"/>
    </row>
    <row r="343" ht="15.75" customHeight="1">
      <c r="D343" s="7"/>
      <c r="E343" s="7"/>
      <c r="F343" s="7"/>
      <c r="G343" s="7"/>
      <c r="H343" s="7"/>
    </row>
    <row r="344" ht="15.75" customHeight="1">
      <c r="D344" s="7"/>
      <c r="E344" s="7"/>
      <c r="F344" s="7"/>
      <c r="G344" s="7"/>
      <c r="H344" s="7"/>
    </row>
    <row r="345" ht="15.75" customHeight="1">
      <c r="D345" s="7"/>
      <c r="E345" s="7"/>
      <c r="F345" s="7"/>
      <c r="G345" s="7"/>
      <c r="H345" s="7"/>
    </row>
    <row r="346" ht="15.75" customHeight="1">
      <c r="D346" s="7"/>
      <c r="E346" s="7"/>
      <c r="F346" s="7"/>
      <c r="G346" s="7"/>
      <c r="H346" s="7"/>
    </row>
    <row r="347" ht="15.75" customHeight="1">
      <c r="D347" s="7"/>
      <c r="E347" s="7"/>
      <c r="F347" s="7"/>
      <c r="G347" s="7"/>
      <c r="H347" s="7"/>
    </row>
    <row r="348" ht="15.75" customHeight="1">
      <c r="D348" s="7"/>
      <c r="E348" s="7"/>
      <c r="F348" s="7"/>
      <c r="G348" s="7"/>
      <c r="H348" s="7"/>
    </row>
    <row r="349" ht="15.75" customHeight="1">
      <c r="D349" s="7"/>
      <c r="E349" s="7"/>
      <c r="F349" s="7"/>
      <c r="G349" s="7"/>
      <c r="H349" s="7"/>
    </row>
    <row r="350" ht="15.75" customHeight="1">
      <c r="D350" s="7"/>
      <c r="E350" s="7"/>
      <c r="F350" s="7"/>
      <c r="G350" s="7"/>
      <c r="H350" s="7"/>
    </row>
    <row r="351" ht="15.75" customHeight="1">
      <c r="D351" s="7"/>
      <c r="E351" s="7"/>
      <c r="F351" s="7"/>
      <c r="G351" s="7"/>
      <c r="H351" s="7"/>
    </row>
    <row r="352" ht="15.75" customHeight="1">
      <c r="D352" s="7"/>
      <c r="E352" s="7"/>
      <c r="F352" s="7"/>
      <c r="G352" s="7"/>
      <c r="H352" s="7"/>
    </row>
    <row r="353" ht="15.75" customHeight="1">
      <c r="D353" s="7"/>
      <c r="E353" s="7"/>
      <c r="F353" s="7"/>
      <c r="G353" s="7"/>
      <c r="H353" s="7"/>
    </row>
    <row r="354" ht="15.75" customHeight="1">
      <c r="D354" s="7"/>
      <c r="E354" s="7"/>
      <c r="F354" s="7"/>
      <c r="G354" s="7"/>
      <c r="H354" s="7"/>
    </row>
    <row r="355" ht="15.75" customHeight="1">
      <c r="D355" s="7"/>
      <c r="E355" s="7"/>
      <c r="F355" s="7"/>
      <c r="G355" s="7"/>
      <c r="H355" s="7"/>
    </row>
    <row r="356" ht="15.75" customHeight="1">
      <c r="D356" s="7"/>
      <c r="E356" s="7"/>
      <c r="F356" s="7"/>
      <c r="G356" s="7"/>
      <c r="H356" s="7"/>
    </row>
    <row r="357" ht="15.75" customHeight="1">
      <c r="D357" s="7"/>
      <c r="E357" s="7"/>
      <c r="F357" s="7"/>
      <c r="G357" s="7"/>
      <c r="H357" s="7"/>
    </row>
    <row r="358" ht="15.75" customHeight="1">
      <c r="D358" s="7"/>
      <c r="E358" s="7"/>
      <c r="F358" s="7"/>
      <c r="G358" s="7"/>
      <c r="H358" s="7"/>
    </row>
    <row r="359" ht="15.75" customHeight="1">
      <c r="D359" s="7"/>
      <c r="E359" s="7"/>
      <c r="F359" s="7"/>
      <c r="G359" s="7"/>
      <c r="H359" s="7"/>
    </row>
    <row r="360" ht="15.75" customHeight="1">
      <c r="D360" s="7"/>
      <c r="E360" s="7"/>
      <c r="F360" s="7"/>
      <c r="G360" s="7"/>
      <c r="H360" s="7"/>
    </row>
    <row r="361" ht="15.75" customHeight="1">
      <c r="D361" s="7"/>
      <c r="E361" s="7"/>
      <c r="F361" s="7"/>
      <c r="G361" s="7"/>
      <c r="H361" s="7"/>
    </row>
    <row r="362" ht="15.75" customHeight="1">
      <c r="D362" s="7"/>
      <c r="E362" s="7"/>
      <c r="F362" s="7"/>
      <c r="G362" s="7"/>
      <c r="H362" s="7"/>
    </row>
    <row r="363" ht="15.75" customHeight="1">
      <c r="D363" s="7"/>
      <c r="E363" s="7"/>
      <c r="F363" s="7"/>
      <c r="G363" s="7"/>
      <c r="H363" s="7"/>
    </row>
    <row r="364" ht="15.75" customHeight="1">
      <c r="D364" s="7"/>
      <c r="E364" s="7"/>
      <c r="F364" s="7"/>
      <c r="G364" s="7"/>
      <c r="H364" s="7"/>
    </row>
    <row r="365" ht="15.75" customHeight="1">
      <c r="D365" s="7"/>
      <c r="E365" s="7"/>
      <c r="F365" s="7"/>
      <c r="G365" s="7"/>
      <c r="H365" s="7"/>
    </row>
    <row r="366" ht="15.75" customHeight="1">
      <c r="D366" s="7"/>
      <c r="E366" s="7"/>
      <c r="F366" s="7"/>
      <c r="G366" s="7"/>
      <c r="H366" s="7"/>
    </row>
    <row r="367" ht="15.75" customHeight="1">
      <c r="D367" s="7"/>
      <c r="E367" s="7"/>
      <c r="F367" s="7"/>
      <c r="G367" s="7"/>
      <c r="H367" s="7"/>
    </row>
    <row r="368" ht="15.75" customHeight="1">
      <c r="D368" s="7"/>
      <c r="E368" s="7"/>
      <c r="F368" s="7"/>
      <c r="G368" s="7"/>
      <c r="H368" s="7"/>
    </row>
    <row r="369" ht="15.75" customHeight="1">
      <c r="D369" s="7"/>
      <c r="E369" s="7"/>
      <c r="F369" s="7"/>
      <c r="G369" s="7"/>
      <c r="H369" s="7"/>
    </row>
    <row r="370" ht="15.75" customHeight="1">
      <c r="D370" s="7"/>
      <c r="E370" s="7"/>
      <c r="F370" s="7"/>
      <c r="G370" s="7"/>
      <c r="H370" s="7"/>
    </row>
    <row r="371" ht="15.75" customHeight="1">
      <c r="D371" s="7"/>
      <c r="E371" s="7"/>
      <c r="F371" s="7"/>
      <c r="G371" s="7"/>
      <c r="H371" s="7"/>
    </row>
    <row r="372" ht="15.75" customHeight="1">
      <c r="D372" s="7"/>
      <c r="E372" s="7"/>
      <c r="F372" s="7"/>
      <c r="G372" s="7"/>
      <c r="H372" s="7"/>
    </row>
    <row r="373" ht="15.75" customHeight="1">
      <c r="D373" s="7"/>
      <c r="E373" s="7"/>
      <c r="F373" s="7"/>
      <c r="G373" s="7"/>
      <c r="H373" s="7"/>
    </row>
    <row r="374" ht="15.75" customHeight="1">
      <c r="D374" s="7"/>
      <c r="E374" s="7"/>
      <c r="F374" s="7"/>
      <c r="G374" s="7"/>
      <c r="H374" s="7"/>
    </row>
    <row r="375" ht="15.75" customHeight="1">
      <c r="D375" s="7"/>
      <c r="E375" s="7"/>
      <c r="F375" s="7"/>
      <c r="G375" s="7"/>
      <c r="H375" s="7"/>
    </row>
    <row r="376" ht="15.75" customHeight="1">
      <c r="D376" s="7"/>
      <c r="E376" s="7"/>
      <c r="F376" s="7"/>
      <c r="G376" s="7"/>
      <c r="H376" s="7"/>
    </row>
    <row r="377" ht="15.75" customHeight="1">
      <c r="D377" s="7"/>
      <c r="E377" s="7"/>
      <c r="F377" s="7"/>
      <c r="G377" s="7"/>
      <c r="H377" s="7"/>
    </row>
    <row r="378" ht="15.75" customHeight="1">
      <c r="D378" s="7"/>
      <c r="E378" s="7"/>
      <c r="F378" s="7"/>
      <c r="G378" s="7"/>
      <c r="H378" s="7"/>
    </row>
    <row r="379" ht="15.75" customHeight="1">
      <c r="D379" s="7"/>
      <c r="E379" s="7"/>
      <c r="F379" s="7"/>
      <c r="G379" s="7"/>
      <c r="H379" s="7"/>
    </row>
    <row r="380" ht="15.75" customHeight="1">
      <c r="D380" s="7"/>
      <c r="E380" s="7"/>
      <c r="F380" s="7"/>
      <c r="G380" s="7"/>
      <c r="H380" s="7"/>
    </row>
    <row r="381" ht="15.75" customHeight="1">
      <c r="D381" s="7"/>
      <c r="E381" s="7"/>
      <c r="F381" s="7"/>
      <c r="G381" s="7"/>
      <c r="H381" s="7"/>
    </row>
    <row r="382" ht="15.75" customHeight="1">
      <c r="D382" s="7"/>
      <c r="E382" s="7"/>
      <c r="F382" s="7"/>
      <c r="G382" s="7"/>
      <c r="H382" s="7"/>
    </row>
    <row r="383" ht="15.75" customHeight="1">
      <c r="D383" s="7"/>
      <c r="E383" s="7"/>
      <c r="F383" s="7"/>
      <c r="G383" s="7"/>
      <c r="H383" s="7"/>
    </row>
    <row r="384" ht="15.75" customHeight="1">
      <c r="D384" s="7"/>
      <c r="E384" s="7"/>
      <c r="F384" s="7"/>
      <c r="G384" s="7"/>
      <c r="H384" s="7"/>
    </row>
    <row r="385" ht="15.75" customHeight="1">
      <c r="D385" s="7"/>
      <c r="E385" s="7"/>
      <c r="F385" s="7"/>
      <c r="G385" s="7"/>
      <c r="H385" s="7"/>
    </row>
    <row r="386" ht="15.75" customHeight="1">
      <c r="D386" s="7"/>
      <c r="E386" s="7"/>
      <c r="F386" s="7"/>
      <c r="G386" s="7"/>
      <c r="H386" s="7"/>
    </row>
    <row r="387" ht="15.75" customHeight="1">
      <c r="D387" s="7"/>
      <c r="E387" s="7"/>
      <c r="F387" s="7"/>
      <c r="G387" s="7"/>
      <c r="H387" s="7"/>
    </row>
    <row r="388" ht="15.75" customHeight="1">
      <c r="D388" s="7"/>
      <c r="E388" s="7"/>
      <c r="F388" s="7"/>
      <c r="G388" s="7"/>
      <c r="H388" s="7"/>
    </row>
    <row r="389" ht="15.75" customHeight="1">
      <c r="D389" s="7"/>
      <c r="E389" s="7"/>
      <c r="F389" s="7"/>
      <c r="G389" s="7"/>
      <c r="H389" s="7"/>
    </row>
    <row r="390" ht="15.75" customHeight="1">
      <c r="D390" s="7"/>
      <c r="E390" s="7"/>
      <c r="F390" s="7"/>
      <c r="G390" s="7"/>
      <c r="H390" s="7"/>
    </row>
    <row r="391" ht="15.75" customHeight="1">
      <c r="D391" s="7"/>
      <c r="E391" s="7"/>
      <c r="F391" s="7"/>
      <c r="G391" s="7"/>
      <c r="H391" s="7"/>
    </row>
    <row r="392" ht="15.75" customHeight="1">
      <c r="D392" s="7"/>
      <c r="E392" s="7"/>
      <c r="F392" s="7"/>
      <c r="G392" s="7"/>
      <c r="H392" s="7"/>
    </row>
    <row r="393" ht="15.75" customHeight="1">
      <c r="D393" s="7"/>
      <c r="E393" s="7"/>
      <c r="F393" s="7"/>
      <c r="G393" s="7"/>
      <c r="H393" s="7"/>
    </row>
    <row r="394" ht="15.75" customHeight="1">
      <c r="D394" s="7"/>
      <c r="E394" s="7"/>
      <c r="F394" s="7"/>
      <c r="G394" s="7"/>
      <c r="H394" s="7"/>
    </row>
    <row r="395" ht="15.75" customHeight="1">
      <c r="D395" s="7"/>
      <c r="E395" s="7"/>
      <c r="F395" s="7"/>
      <c r="G395" s="7"/>
      <c r="H395" s="7"/>
    </row>
    <row r="396" ht="15.75" customHeight="1">
      <c r="D396" s="7"/>
      <c r="E396" s="7"/>
      <c r="F396" s="7"/>
      <c r="G396" s="7"/>
      <c r="H396" s="7"/>
    </row>
    <row r="397" ht="15.75" customHeight="1">
      <c r="D397" s="7"/>
      <c r="E397" s="7"/>
      <c r="F397" s="7"/>
      <c r="G397" s="7"/>
      <c r="H397" s="7"/>
    </row>
    <row r="398" ht="15.75" customHeight="1">
      <c r="D398" s="7"/>
      <c r="E398" s="7"/>
      <c r="F398" s="7"/>
      <c r="G398" s="7"/>
      <c r="H398" s="7"/>
    </row>
    <row r="399" ht="15.75" customHeight="1">
      <c r="D399" s="7"/>
      <c r="E399" s="7"/>
      <c r="F399" s="7"/>
      <c r="G399" s="7"/>
      <c r="H399" s="7"/>
    </row>
    <row r="400" ht="15.75" customHeight="1">
      <c r="D400" s="7"/>
      <c r="E400" s="7"/>
      <c r="F400" s="7"/>
      <c r="G400" s="7"/>
      <c r="H400" s="7"/>
    </row>
    <row r="401" ht="15.75" customHeight="1">
      <c r="D401" s="7"/>
      <c r="E401" s="7"/>
      <c r="F401" s="7"/>
      <c r="G401" s="7"/>
      <c r="H401" s="7"/>
    </row>
    <row r="402" ht="15.75" customHeight="1">
      <c r="D402" s="7"/>
      <c r="E402" s="7"/>
      <c r="F402" s="7"/>
      <c r="G402" s="7"/>
      <c r="H402" s="7"/>
    </row>
    <row r="403" ht="15.75" customHeight="1">
      <c r="D403" s="7"/>
      <c r="E403" s="7"/>
      <c r="F403" s="7"/>
      <c r="G403" s="7"/>
      <c r="H403" s="7"/>
    </row>
    <row r="404" ht="15.75" customHeight="1">
      <c r="D404" s="7"/>
      <c r="E404" s="7"/>
      <c r="F404" s="7"/>
      <c r="G404" s="7"/>
      <c r="H404" s="7"/>
    </row>
    <row r="405" ht="15.75" customHeight="1">
      <c r="D405" s="7"/>
      <c r="E405" s="7"/>
      <c r="F405" s="7"/>
      <c r="G405" s="7"/>
      <c r="H405" s="7"/>
    </row>
    <row r="406" ht="15.75" customHeight="1">
      <c r="D406" s="7"/>
      <c r="E406" s="7"/>
      <c r="F406" s="7"/>
      <c r="G406" s="7"/>
      <c r="H406" s="7"/>
    </row>
    <row r="407" ht="15.75" customHeight="1">
      <c r="D407" s="7"/>
      <c r="E407" s="7"/>
      <c r="F407" s="7"/>
      <c r="G407" s="7"/>
      <c r="H407" s="7"/>
    </row>
    <row r="408" ht="15.75" customHeight="1">
      <c r="D408" s="7"/>
      <c r="E408" s="7"/>
      <c r="F408" s="7"/>
      <c r="G408" s="7"/>
      <c r="H408" s="7"/>
    </row>
    <row r="409" ht="15.75" customHeight="1">
      <c r="D409" s="7"/>
      <c r="E409" s="7"/>
      <c r="F409" s="7"/>
      <c r="G409" s="7"/>
      <c r="H409" s="7"/>
    </row>
    <row r="410" ht="15.75" customHeight="1">
      <c r="D410" s="7"/>
      <c r="E410" s="7"/>
      <c r="F410" s="7"/>
      <c r="G410" s="7"/>
      <c r="H410" s="7"/>
    </row>
    <row r="411" ht="15.75" customHeight="1">
      <c r="D411" s="7"/>
      <c r="E411" s="7"/>
      <c r="F411" s="7"/>
      <c r="G411" s="7"/>
      <c r="H411" s="7"/>
    </row>
    <row r="412" ht="15.75" customHeight="1">
      <c r="D412" s="7"/>
      <c r="E412" s="7"/>
      <c r="F412" s="7"/>
      <c r="G412" s="7"/>
      <c r="H412" s="7"/>
    </row>
    <row r="413" ht="15.75" customHeight="1">
      <c r="D413" s="7"/>
      <c r="E413" s="7"/>
      <c r="F413" s="7"/>
      <c r="G413" s="7"/>
      <c r="H413" s="7"/>
    </row>
    <row r="414" ht="15.75" customHeight="1">
      <c r="D414" s="7"/>
      <c r="E414" s="7"/>
      <c r="F414" s="7"/>
      <c r="G414" s="7"/>
      <c r="H414" s="7"/>
    </row>
    <row r="415" ht="15.75" customHeight="1">
      <c r="D415" s="7"/>
      <c r="E415" s="7"/>
      <c r="F415" s="7"/>
      <c r="G415" s="7"/>
      <c r="H415" s="7"/>
    </row>
    <row r="416" ht="15.75" customHeight="1">
      <c r="D416" s="7"/>
      <c r="E416" s="7"/>
      <c r="F416" s="7"/>
      <c r="G416" s="7"/>
      <c r="H416" s="7"/>
    </row>
    <row r="417" ht="15.75" customHeight="1">
      <c r="D417" s="7"/>
      <c r="E417" s="7"/>
      <c r="F417" s="7"/>
      <c r="G417" s="7"/>
      <c r="H417" s="7"/>
    </row>
    <row r="418" ht="15.75" customHeight="1">
      <c r="D418" s="7"/>
      <c r="E418" s="7"/>
      <c r="F418" s="7"/>
      <c r="G418" s="7"/>
      <c r="H418" s="7"/>
    </row>
    <row r="419" ht="15.75" customHeight="1">
      <c r="D419" s="7"/>
      <c r="E419" s="7"/>
      <c r="F419" s="7"/>
      <c r="G419" s="7"/>
      <c r="H419" s="7"/>
    </row>
    <row r="420" ht="15.75" customHeight="1">
      <c r="D420" s="7"/>
      <c r="E420" s="7"/>
      <c r="F420" s="7"/>
      <c r="G420" s="7"/>
      <c r="H420" s="7"/>
    </row>
    <row r="421" ht="15.75" customHeight="1">
      <c r="D421" s="7"/>
      <c r="E421" s="7"/>
      <c r="F421" s="7"/>
      <c r="G421" s="7"/>
      <c r="H421" s="7"/>
    </row>
    <row r="422" ht="15.75" customHeight="1">
      <c r="D422" s="7"/>
      <c r="E422" s="7"/>
      <c r="F422" s="7"/>
      <c r="G422" s="7"/>
      <c r="H422" s="7"/>
    </row>
    <row r="423" ht="15.75" customHeight="1">
      <c r="D423" s="7"/>
      <c r="E423" s="7"/>
      <c r="F423" s="7"/>
      <c r="G423" s="7"/>
      <c r="H423" s="7"/>
    </row>
    <row r="424" ht="15.75" customHeight="1">
      <c r="D424" s="7"/>
      <c r="E424" s="7"/>
      <c r="F424" s="7"/>
      <c r="G424" s="7"/>
      <c r="H424" s="7"/>
    </row>
    <row r="425" ht="15.75" customHeight="1">
      <c r="D425" s="7"/>
      <c r="E425" s="7"/>
      <c r="F425" s="7"/>
      <c r="G425" s="7"/>
      <c r="H425" s="7"/>
    </row>
    <row r="426" ht="15.75" customHeight="1">
      <c r="D426" s="7"/>
      <c r="E426" s="7"/>
      <c r="F426" s="7"/>
      <c r="G426" s="7"/>
      <c r="H426" s="7"/>
    </row>
    <row r="427" ht="15.75" customHeight="1">
      <c r="D427" s="7"/>
      <c r="E427" s="7"/>
      <c r="F427" s="7"/>
      <c r="G427" s="7"/>
      <c r="H427" s="7"/>
    </row>
    <row r="428" ht="15.75" customHeight="1">
      <c r="D428" s="7"/>
      <c r="E428" s="7"/>
      <c r="F428" s="7"/>
      <c r="G428" s="7"/>
      <c r="H428" s="7"/>
    </row>
    <row r="429" ht="15.75" customHeight="1">
      <c r="D429" s="7"/>
      <c r="E429" s="7"/>
      <c r="F429" s="7"/>
      <c r="G429" s="7"/>
      <c r="H429" s="7"/>
    </row>
    <row r="430" ht="15.75" customHeight="1">
      <c r="D430" s="7"/>
      <c r="E430" s="7"/>
      <c r="F430" s="7"/>
      <c r="G430" s="7"/>
      <c r="H430" s="7"/>
    </row>
    <row r="431" ht="15.75" customHeight="1">
      <c r="D431" s="7"/>
      <c r="E431" s="7"/>
      <c r="F431" s="7"/>
      <c r="G431" s="7"/>
      <c r="H431" s="7"/>
    </row>
    <row r="432" ht="15.75" customHeight="1">
      <c r="D432" s="7"/>
      <c r="E432" s="7"/>
      <c r="F432" s="7"/>
      <c r="G432" s="7"/>
      <c r="H432" s="7"/>
    </row>
    <row r="433" ht="15.75" customHeight="1">
      <c r="D433" s="7"/>
      <c r="E433" s="7"/>
      <c r="F433" s="7"/>
      <c r="G433" s="7"/>
      <c r="H433" s="7"/>
    </row>
    <row r="434" ht="15.75" customHeight="1">
      <c r="D434" s="7"/>
      <c r="E434" s="7"/>
      <c r="F434" s="7"/>
      <c r="G434" s="7"/>
      <c r="H434" s="7"/>
    </row>
    <row r="435" ht="15.75" customHeight="1">
      <c r="D435" s="7"/>
      <c r="E435" s="7"/>
      <c r="F435" s="7"/>
      <c r="G435" s="7"/>
      <c r="H435" s="7"/>
    </row>
    <row r="436" ht="15.75" customHeight="1">
      <c r="D436" s="7"/>
      <c r="E436" s="7"/>
      <c r="F436" s="7"/>
      <c r="G436" s="7"/>
      <c r="H436" s="7"/>
    </row>
    <row r="437" ht="15.75" customHeight="1">
      <c r="D437" s="7"/>
      <c r="E437" s="7"/>
      <c r="F437" s="7"/>
      <c r="G437" s="7"/>
      <c r="H437" s="7"/>
    </row>
    <row r="438" ht="15.75" customHeight="1">
      <c r="D438" s="7"/>
      <c r="E438" s="7"/>
      <c r="F438" s="7"/>
      <c r="G438" s="7"/>
      <c r="H438" s="7"/>
    </row>
    <row r="439" ht="15.75" customHeight="1">
      <c r="D439" s="7"/>
      <c r="E439" s="7"/>
      <c r="F439" s="7"/>
      <c r="G439" s="7"/>
      <c r="H439" s="7"/>
    </row>
    <row r="440" ht="15.75" customHeight="1">
      <c r="D440" s="7"/>
      <c r="E440" s="7"/>
      <c r="F440" s="7"/>
      <c r="G440" s="7"/>
      <c r="H440" s="7"/>
    </row>
    <row r="441" ht="15.75" customHeight="1">
      <c r="D441" s="7"/>
      <c r="E441" s="7"/>
      <c r="F441" s="7"/>
      <c r="G441" s="7"/>
      <c r="H441" s="7"/>
    </row>
    <row r="442" ht="15.75" customHeight="1">
      <c r="D442" s="7"/>
      <c r="E442" s="7"/>
      <c r="F442" s="7"/>
      <c r="G442" s="7"/>
      <c r="H442" s="7"/>
    </row>
    <row r="443" ht="15.75" customHeight="1">
      <c r="D443" s="7"/>
      <c r="E443" s="7"/>
      <c r="F443" s="7"/>
      <c r="G443" s="7"/>
      <c r="H443" s="7"/>
    </row>
    <row r="444" ht="15.75" customHeight="1">
      <c r="D444" s="7"/>
      <c r="E444" s="7"/>
      <c r="F444" s="7"/>
      <c r="G444" s="7"/>
      <c r="H444" s="7"/>
    </row>
    <row r="445" ht="15.75" customHeight="1">
      <c r="D445" s="7"/>
      <c r="E445" s="7"/>
      <c r="F445" s="7"/>
      <c r="G445" s="7"/>
      <c r="H445" s="7"/>
    </row>
    <row r="446" ht="15.75" customHeight="1">
      <c r="D446" s="7"/>
      <c r="E446" s="7"/>
      <c r="F446" s="7"/>
      <c r="G446" s="7"/>
      <c r="H446" s="7"/>
    </row>
    <row r="447" ht="15.75" customHeight="1">
      <c r="D447" s="7"/>
      <c r="E447" s="7"/>
      <c r="F447" s="7"/>
      <c r="G447" s="7"/>
      <c r="H447" s="7"/>
    </row>
    <row r="448" ht="15.75" customHeight="1">
      <c r="D448" s="7"/>
      <c r="E448" s="7"/>
      <c r="F448" s="7"/>
      <c r="G448" s="7"/>
      <c r="H448" s="7"/>
    </row>
    <row r="449" ht="15.75" customHeight="1">
      <c r="D449" s="7"/>
      <c r="E449" s="7"/>
      <c r="F449" s="7"/>
      <c r="G449" s="7"/>
      <c r="H449" s="7"/>
    </row>
    <row r="450" ht="15.75" customHeight="1">
      <c r="D450" s="7"/>
      <c r="E450" s="7"/>
      <c r="F450" s="7"/>
      <c r="G450" s="7"/>
      <c r="H450" s="7"/>
    </row>
    <row r="451" ht="15.75" customHeight="1">
      <c r="D451" s="7"/>
      <c r="E451" s="7"/>
      <c r="F451" s="7"/>
      <c r="G451" s="7"/>
      <c r="H451" s="7"/>
    </row>
    <row r="452" ht="15.75" customHeight="1">
      <c r="D452" s="7"/>
      <c r="E452" s="7"/>
      <c r="F452" s="7"/>
      <c r="G452" s="7"/>
      <c r="H452" s="7"/>
    </row>
    <row r="453" ht="15.75" customHeight="1">
      <c r="D453" s="7"/>
      <c r="E453" s="7"/>
      <c r="F453" s="7"/>
      <c r="G453" s="7"/>
      <c r="H453" s="7"/>
    </row>
    <row r="454" ht="15.75" customHeight="1">
      <c r="D454" s="7"/>
      <c r="E454" s="7"/>
      <c r="F454" s="7"/>
      <c r="G454" s="7"/>
      <c r="H454" s="7"/>
    </row>
    <row r="455" ht="15.75" customHeight="1">
      <c r="D455" s="7"/>
      <c r="E455" s="7"/>
      <c r="F455" s="7"/>
      <c r="G455" s="7"/>
      <c r="H455" s="7"/>
    </row>
    <row r="456" ht="15.75" customHeight="1">
      <c r="D456" s="7"/>
      <c r="E456" s="7"/>
      <c r="F456" s="7"/>
      <c r="G456" s="7"/>
      <c r="H456" s="7"/>
    </row>
    <row r="457" ht="15.75" customHeight="1">
      <c r="D457" s="7"/>
      <c r="E457" s="7"/>
      <c r="F457" s="7"/>
      <c r="G457" s="7"/>
      <c r="H457" s="7"/>
    </row>
    <row r="458" ht="15.75" customHeight="1">
      <c r="D458" s="7"/>
      <c r="E458" s="7"/>
      <c r="F458" s="7"/>
      <c r="G458" s="7"/>
      <c r="H458" s="7"/>
    </row>
    <row r="459" ht="15.75" customHeight="1">
      <c r="D459" s="7"/>
      <c r="E459" s="7"/>
      <c r="F459" s="7"/>
      <c r="G459" s="7"/>
      <c r="H459" s="7"/>
    </row>
    <row r="460" ht="15.75" customHeight="1">
      <c r="D460" s="7"/>
      <c r="E460" s="7"/>
      <c r="F460" s="7"/>
      <c r="G460" s="7"/>
      <c r="H460" s="7"/>
    </row>
    <row r="461" ht="15.75" customHeight="1">
      <c r="D461" s="7"/>
      <c r="E461" s="7"/>
      <c r="F461" s="7"/>
      <c r="G461" s="7"/>
      <c r="H461" s="7"/>
    </row>
    <row r="462" ht="15.75" customHeight="1">
      <c r="D462" s="7"/>
      <c r="E462" s="7"/>
      <c r="F462" s="7"/>
      <c r="G462" s="7"/>
      <c r="H462" s="7"/>
    </row>
    <row r="463" ht="15.75" customHeight="1">
      <c r="D463" s="7"/>
      <c r="E463" s="7"/>
      <c r="F463" s="7"/>
      <c r="G463" s="7"/>
      <c r="H463" s="7"/>
    </row>
    <row r="464" ht="15.75" customHeight="1">
      <c r="D464" s="7"/>
      <c r="E464" s="7"/>
      <c r="F464" s="7"/>
      <c r="G464" s="7"/>
      <c r="H464" s="7"/>
    </row>
    <row r="465" ht="15.75" customHeight="1">
      <c r="D465" s="7"/>
      <c r="E465" s="7"/>
      <c r="F465" s="7"/>
      <c r="G465" s="7"/>
      <c r="H465" s="7"/>
    </row>
    <row r="466" ht="15.75" customHeight="1">
      <c r="D466" s="7"/>
      <c r="E466" s="7"/>
      <c r="F466" s="7"/>
      <c r="G466" s="7"/>
      <c r="H466" s="7"/>
    </row>
    <row r="467" ht="15.75" customHeight="1">
      <c r="D467" s="7"/>
      <c r="E467" s="7"/>
      <c r="F467" s="7"/>
      <c r="G467" s="7"/>
      <c r="H467" s="7"/>
    </row>
    <row r="468" ht="15.75" customHeight="1">
      <c r="D468" s="7"/>
      <c r="E468" s="7"/>
      <c r="F468" s="7"/>
      <c r="G468" s="7"/>
      <c r="H468" s="7"/>
    </row>
    <row r="469" ht="15.75" customHeight="1">
      <c r="D469" s="7"/>
      <c r="E469" s="7"/>
      <c r="F469" s="7"/>
      <c r="G469" s="7"/>
      <c r="H469" s="7"/>
    </row>
    <row r="470" ht="15.75" customHeight="1">
      <c r="D470" s="7"/>
      <c r="E470" s="7"/>
      <c r="F470" s="7"/>
      <c r="G470" s="7"/>
      <c r="H470" s="7"/>
    </row>
    <row r="471" ht="15.75" customHeight="1">
      <c r="D471" s="7"/>
      <c r="E471" s="7"/>
      <c r="F471" s="7"/>
      <c r="G471" s="7"/>
      <c r="H471" s="7"/>
    </row>
    <row r="472" ht="15.75" customHeight="1">
      <c r="D472" s="7"/>
      <c r="E472" s="7"/>
      <c r="F472" s="7"/>
      <c r="G472" s="7"/>
      <c r="H472" s="7"/>
    </row>
    <row r="473" ht="15.75" customHeight="1">
      <c r="D473" s="7"/>
      <c r="E473" s="7"/>
      <c r="F473" s="7"/>
      <c r="G473" s="7"/>
      <c r="H473" s="7"/>
    </row>
    <row r="474" ht="15.75" customHeight="1">
      <c r="D474" s="7"/>
      <c r="E474" s="7"/>
      <c r="F474" s="7"/>
      <c r="G474" s="7"/>
      <c r="H474" s="7"/>
    </row>
    <row r="475" ht="15.75" customHeight="1">
      <c r="D475" s="7"/>
      <c r="E475" s="7"/>
      <c r="F475" s="7"/>
      <c r="G475" s="7"/>
      <c r="H475" s="7"/>
    </row>
    <row r="476" ht="15.75" customHeight="1">
      <c r="D476" s="7"/>
      <c r="E476" s="7"/>
      <c r="F476" s="7"/>
      <c r="G476" s="7"/>
      <c r="H476" s="7"/>
    </row>
    <row r="477" ht="15.75" customHeight="1">
      <c r="D477" s="7"/>
      <c r="E477" s="7"/>
      <c r="F477" s="7"/>
      <c r="G477" s="7"/>
      <c r="H477" s="7"/>
    </row>
    <row r="478" ht="15.75" customHeight="1">
      <c r="D478" s="7"/>
      <c r="E478" s="7"/>
      <c r="F478" s="7"/>
      <c r="G478" s="7"/>
      <c r="H478" s="7"/>
    </row>
    <row r="479" ht="15.75" customHeight="1">
      <c r="D479" s="7"/>
      <c r="E479" s="7"/>
      <c r="F479" s="7"/>
      <c r="G479" s="7"/>
      <c r="H479" s="7"/>
    </row>
    <row r="480" ht="15.75" customHeight="1">
      <c r="D480" s="7"/>
      <c r="E480" s="7"/>
      <c r="F480" s="7"/>
      <c r="G480" s="7"/>
      <c r="H480" s="7"/>
    </row>
    <row r="481" ht="15.75" customHeight="1">
      <c r="D481" s="7"/>
      <c r="E481" s="7"/>
      <c r="F481" s="7"/>
      <c r="G481" s="7"/>
      <c r="H481" s="7"/>
    </row>
    <row r="482" ht="15.75" customHeight="1">
      <c r="D482" s="7"/>
      <c r="E482" s="7"/>
      <c r="F482" s="7"/>
      <c r="G482" s="7"/>
      <c r="H482" s="7"/>
    </row>
    <row r="483" ht="15.75" customHeight="1">
      <c r="D483" s="7"/>
      <c r="E483" s="7"/>
      <c r="F483" s="7"/>
      <c r="G483" s="7"/>
      <c r="H483" s="7"/>
    </row>
    <row r="484" ht="15.75" customHeight="1">
      <c r="D484" s="7"/>
      <c r="E484" s="7"/>
      <c r="F484" s="7"/>
      <c r="G484" s="7"/>
      <c r="H484" s="7"/>
    </row>
    <row r="485" ht="15.75" customHeight="1">
      <c r="D485" s="7"/>
      <c r="E485" s="7"/>
      <c r="F485" s="7"/>
      <c r="G485" s="7"/>
      <c r="H485" s="7"/>
    </row>
    <row r="486" ht="15.75" customHeight="1">
      <c r="D486" s="7"/>
      <c r="E486" s="7"/>
      <c r="F486" s="7"/>
      <c r="G486" s="7"/>
      <c r="H486" s="7"/>
    </row>
    <row r="487" ht="15.75" customHeight="1">
      <c r="D487" s="7"/>
      <c r="E487" s="7"/>
      <c r="F487" s="7"/>
      <c r="G487" s="7"/>
      <c r="H487" s="7"/>
    </row>
    <row r="488" ht="15.75" customHeight="1">
      <c r="D488" s="7"/>
      <c r="E488" s="7"/>
      <c r="F488" s="7"/>
      <c r="G488" s="7"/>
      <c r="H488" s="7"/>
    </row>
    <row r="489" ht="15.75" customHeight="1">
      <c r="D489" s="7"/>
      <c r="E489" s="7"/>
      <c r="F489" s="7"/>
      <c r="G489" s="7"/>
      <c r="H489" s="7"/>
    </row>
    <row r="490" ht="15.75" customHeight="1">
      <c r="D490" s="7"/>
      <c r="E490" s="7"/>
      <c r="F490" s="7"/>
      <c r="G490" s="7"/>
      <c r="H490" s="7"/>
    </row>
    <row r="491" ht="15.75" customHeight="1">
      <c r="D491" s="7"/>
      <c r="E491" s="7"/>
      <c r="F491" s="7"/>
      <c r="G491" s="7"/>
      <c r="H491" s="7"/>
    </row>
    <row r="492" ht="15.75" customHeight="1">
      <c r="D492" s="7"/>
      <c r="E492" s="7"/>
      <c r="F492" s="7"/>
      <c r="G492" s="7"/>
      <c r="H492" s="7"/>
    </row>
    <row r="493" ht="15.75" customHeight="1">
      <c r="D493" s="7"/>
      <c r="E493" s="7"/>
      <c r="F493" s="7"/>
      <c r="G493" s="7"/>
      <c r="H493" s="7"/>
    </row>
    <row r="494" ht="15.75" customHeight="1">
      <c r="D494" s="7"/>
      <c r="E494" s="7"/>
      <c r="F494" s="7"/>
      <c r="G494" s="7"/>
      <c r="H494" s="7"/>
    </row>
    <row r="495" ht="15.75" customHeight="1">
      <c r="D495" s="7"/>
      <c r="E495" s="7"/>
      <c r="F495" s="7"/>
      <c r="G495" s="7"/>
      <c r="H495" s="7"/>
    </row>
    <row r="496" ht="15.75" customHeight="1">
      <c r="D496" s="7"/>
      <c r="E496" s="7"/>
      <c r="F496" s="7"/>
      <c r="G496" s="7"/>
      <c r="H496" s="7"/>
    </row>
    <row r="497" ht="15.75" customHeight="1">
      <c r="D497" s="7"/>
      <c r="E497" s="7"/>
      <c r="F497" s="7"/>
      <c r="G497" s="7"/>
      <c r="H497" s="7"/>
    </row>
    <row r="498" ht="15.75" customHeight="1">
      <c r="D498" s="7"/>
      <c r="E498" s="7"/>
      <c r="F498" s="7"/>
      <c r="G498" s="7"/>
      <c r="H498" s="7"/>
    </row>
    <row r="499" ht="15.75" customHeight="1">
      <c r="D499" s="7"/>
      <c r="E499" s="7"/>
      <c r="F499" s="7"/>
      <c r="G499" s="7"/>
      <c r="H499" s="7"/>
    </row>
    <row r="500" ht="15.75" customHeight="1">
      <c r="D500" s="7"/>
      <c r="E500" s="7"/>
      <c r="F500" s="7"/>
      <c r="G500" s="7"/>
      <c r="H500" s="7"/>
    </row>
    <row r="501" ht="15.75" customHeight="1">
      <c r="D501" s="7"/>
      <c r="E501" s="7"/>
      <c r="F501" s="7"/>
      <c r="G501" s="7"/>
      <c r="H501" s="7"/>
    </row>
    <row r="502" ht="15.75" customHeight="1">
      <c r="D502" s="7"/>
      <c r="E502" s="7"/>
      <c r="F502" s="7"/>
      <c r="G502" s="7"/>
      <c r="H502" s="7"/>
    </row>
    <row r="503" ht="15.75" customHeight="1">
      <c r="D503" s="7"/>
      <c r="E503" s="7"/>
      <c r="F503" s="7"/>
      <c r="G503" s="7"/>
      <c r="H503" s="7"/>
    </row>
    <row r="504" ht="15.75" customHeight="1">
      <c r="D504" s="7"/>
      <c r="E504" s="7"/>
      <c r="F504" s="7"/>
      <c r="G504" s="7"/>
      <c r="H504" s="7"/>
    </row>
    <row r="505" ht="15.75" customHeight="1">
      <c r="D505" s="7"/>
      <c r="E505" s="7"/>
      <c r="F505" s="7"/>
      <c r="G505" s="7"/>
      <c r="H505" s="7"/>
    </row>
    <row r="506" ht="15.75" customHeight="1">
      <c r="D506" s="7"/>
      <c r="E506" s="7"/>
      <c r="F506" s="7"/>
      <c r="G506" s="7"/>
      <c r="H506" s="7"/>
    </row>
    <row r="507" ht="15.75" customHeight="1">
      <c r="D507" s="7"/>
      <c r="E507" s="7"/>
      <c r="F507" s="7"/>
      <c r="G507" s="7"/>
      <c r="H507" s="7"/>
    </row>
    <row r="508" ht="15.75" customHeight="1">
      <c r="D508" s="7"/>
      <c r="E508" s="7"/>
      <c r="F508" s="7"/>
      <c r="G508" s="7"/>
      <c r="H508" s="7"/>
    </row>
    <row r="509" ht="15.75" customHeight="1">
      <c r="D509" s="7"/>
      <c r="E509" s="7"/>
      <c r="F509" s="7"/>
      <c r="G509" s="7"/>
      <c r="H509" s="7"/>
    </row>
    <row r="510" ht="15.75" customHeight="1">
      <c r="D510" s="7"/>
      <c r="E510" s="7"/>
      <c r="F510" s="7"/>
      <c r="G510" s="7"/>
      <c r="H510" s="7"/>
    </row>
    <row r="511" ht="15.75" customHeight="1">
      <c r="D511" s="7"/>
      <c r="E511" s="7"/>
      <c r="F511" s="7"/>
      <c r="G511" s="7"/>
      <c r="H511" s="7"/>
    </row>
    <row r="512" ht="15.75" customHeight="1">
      <c r="D512" s="7"/>
      <c r="E512" s="7"/>
      <c r="F512" s="7"/>
      <c r="G512" s="7"/>
      <c r="H512" s="7"/>
    </row>
    <row r="513" ht="15.75" customHeight="1">
      <c r="D513" s="7"/>
      <c r="E513" s="7"/>
      <c r="F513" s="7"/>
      <c r="G513" s="7"/>
      <c r="H513" s="7"/>
    </row>
    <row r="514" ht="15.75" customHeight="1">
      <c r="D514" s="7"/>
      <c r="E514" s="7"/>
      <c r="F514" s="7"/>
      <c r="G514" s="7"/>
      <c r="H514" s="7"/>
    </row>
    <row r="515" ht="15.75" customHeight="1">
      <c r="D515" s="7"/>
      <c r="E515" s="7"/>
      <c r="F515" s="7"/>
      <c r="G515" s="7"/>
      <c r="H515" s="7"/>
    </row>
    <row r="516" ht="15.75" customHeight="1">
      <c r="D516" s="7"/>
      <c r="E516" s="7"/>
      <c r="F516" s="7"/>
      <c r="G516" s="7"/>
      <c r="H516" s="7"/>
    </row>
    <row r="517" ht="15.75" customHeight="1">
      <c r="D517" s="7"/>
      <c r="E517" s="7"/>
      <c r="F517" s="7"/>
      <c r="G517" s="7"/>
      <c r="H517" s="7"/>
    </row>
    <row r="518" ht="15.75" customHeight="1">
      <c r="D518" s="7"/>
      <c r="E518" s="7"/>
      <c r="F518" s="7"/>
      <c r="G518" s="7"/>
      <c r="H518" s="7"/>
    </row>
    <row r="519" ht="15.75" customHeight="1">
      <c r="D519" s="7"/>
      <c r="E519" s="7"/>
      <c r="F519" s="7"/>
      <c r="G519" s="7"/>
      <c r="H519" s="7"/>
    </row>
    <row r="520" ht="15.75" customHeight="1">
      <c r="D520" s="7"/>
      <c r="E520" s="7"/>
      <c r="F520" s="7"/>
      <c r="G520" s="7"/>
      <c r="H520" s="7"/>
    </row>
    <row r="521" ht="15.75" customHeight="1">
      <c r="D521" s="7"/>
      <c r="E521" s="7"/>
      <c r="F521" s="7"/>
      <c r="G521" s="7"/>
      <c r="H521" s="7"/>
    </row>
    <row r="522" ht="15.75" customHeight="1">
      <c r="D522" s="7"/>
      <c r="E522" s="7"/>
      <c r="F522" s="7"/>
      <c r="G522" s="7"/>
      <c r="H522" s="7"/>
    </row>
    <row r="523" ht="15.75" customHeight="1">
      <c r="D523" s="7"/>
      <c r="E523" s="7"/>
      <c r="F523" s="7"/>
      <c r="G523" s="7"/>
      <c r="H523" s="7"/>
    </row>
    <row r="524" ht="15.75" customHeight="1">
      <c r="D524" s="7"/>
      <c r="E524" s="7"/>
      <c r="F524" s="7"/>
      <c r="G524" s="7"/>
      <c r="H524" s="7"/>
    </row>
    <row r="525" ht="15.75" customHeight="1">
      <c r="D525" s="7"/>
      <c r="E525" s="7"/>
      <c r="F525" s="7"/>
      <c r="G525" s="7"/>
      <c r="H525" s="7"/>
    </row>
    <row r="526" ht="15.75" customHeight="1">
      <c r="D526" s="7"/>
      <c r="E526" s="7"/>
      <c r="F526" s="7"/>
      <c r="G526" s="7"/>
      <c r="H526" s="7"/>
    </row>
    <row r="527" ht="15.75" customHeight="1">
      <c r="D527" s="7"/>
      <c r="E527" s="7"/>
      <c r="F527" s="7"/>
      <c r="G527" s="7"/>
      <c r="H527" s="7"/>
    </row>
    <row r="528" ht="15.75" customHeight="1">
      <c r="D528" s="7"/>
      <c r="E528" s="7"/>
      <c r="F528" s="7"/>
      <c r="G528" s="7"/>
      <c r="H528" s="7"/>
    </row>
    <row r="529" ht="15.75" customHeight="1">
      <c r="D529" s="7"/>
      <c r="E529" s="7"/>
      <c r="F529" s="7"/>
      <c r="G529" s="7"/>
      <c r="H529" s="7"/>
    </row>
    <row r="530" ht="15.75" customHeight="1">
      <c r="D530" s="7"/>
      <c r="E530" s="7"/>
      <c r="F530" s="7"/>
      <c r="G530" s="7"/>
      <c r="H530" s="7"/>
    </row>
    <row r="531" ht="15.75" customHeight="1">
      <c r="D531" s="7"/>
      <c r="E531" s="7"/>
      <c r="F531" s="7"/>
      <c r="G531" s="7"/>
      <c r="H531" s="7"/>
    </row>
    <row r="532" ht="15.75" customHeight="1">
      <c r="D532" s="7"/>
      <c r="E532" s="7"/>
      <c r="F532" s="7"/>
      <c r="G532" s="7"/>
      <c r="H532" s="7"/>
    </row>
    <row r="533" ht="15.75" customHeight="1">
      <c r="D533" s="7"/>
      <c r="E533" s="7"/>
      <c r="F533" s="7"/>
      <c r="G533" s="7"/>
      <c r="H533" s="7"/>
    </row>
    <row r="534" ht="15.75" customHeight="1">
      <c r="D534" s="7"/>
      <c r="E534" s="7"/>
      <c r="F534" s="7"/>
      <c r="G534" s="7"/>
      <c r="H534" s="7"/>
    </row>
    <row r="535" ht="15.75" customHeight="1">
      <c r="D535" s="7"/>
      <c r="E535" s="7"/>
      <c r="F535" s="7"/>
      <c r="G535" s="7"/>
      <c r="H535" s="7"/>
    </row>
    <row r="536" ht="15.75" customHeight="1">
      <c r="D536" s="7"/>
      <c r="E536" s="7"/>
      <c r="F536" s="7"/>
      <c r="G536" s="7"/>
      <c r="H536" s="7"/>
    </row>
    <row r="537" ht="15.75" customHeight="1">
      <c r="D537" s="7"/>
      <c r="E537" s="7"/>
      <c r="F537" s="7"/>
      <c r="G537" s="7"/>
      <c r="H537" s="7"/>
    </row>
    <row r="538" ht="15.75" customHeight="1">
      <c r="D538" s="7"/>
      <c r="E538" s="7"/>
      <c r="F538" s="7"/>
      <c r="G538" s="7"/>
      <c r="H538" s="7"/>
    </row>
    <row r="539" ht="15.75" customHeight="1">
      <c r="D539" s="7"/>
      <c r="E539" s="7"/>
      <c r="F539" s="7"/>
      <c r="G539" s="7"/>
      <c r="H539" s="7"/>
    </row>
    <row r="540" ht="15.75" customHeight="1">
      <c r="D540" s="7"/>
      <c r="E540" s="7"/>
      <c r="F540" s="7"/>
      <c r="G540" s="7"/>
      <c r="H540" s="7"/>
    </row>
    <row r="541" ht="15.75" customHeight="1">
      <c r="D541" s="7"/>
      <c r="E541" s="7"/>
      <c r="F541" s="7"/>
      <c r="G541" s="7"/>
      <c r="H541" s="7"/>
    </row>
    <row r="542" ht="15.75" customHeight="1">
      <c r="D542" s="7"/>
      <c r="E542" s="7"/>
      <c r="F542" s="7"/>
      <c r="G542" s="7"/>
      <c r="H542" s="7"/>
    </row>
    <row r="543" ht="15.75" customHeight="1">
      <c r="D543" s="7"/>
      <c r="E543" s="7"/>
      <c r="F543" s="7"/>
      <c r="G543" s="7"/>
      <c r="H543" s="7"/>
    </row>
    <row r="544" ht="15.75" customHeight="1">
      <c r="D544" s="7"/>
      <c r="E544" s="7"/>
      <c r="F544" s="7"/>
      <c r="G544" s="7"/>
      <c r="H544" s="7"/>
    </row>
    <row r="545" ht="15.75" customHeight="1">
      <c r="D545" s="7"/>
      <c r="E545" s="7"/>
      <c r="F545" s="7"/>
      <c r="G545" s="7"/>
      <c r="H545" s="7"/>
    </row>
    <row r="546" ht="15.75" customHeight="1">
      <c r="D546" s="7"/>
      <c r="E546" s="7"/>
      <c r="F546" s="7"/>
      <c r="G546" s="7"/>
      <c r="H546" s="7"/>
    </row>
    <row r="547" ht="15.75" customHeight="1">
      <c r="D547" s="7"/>
      <c r="E547" s="7"/>
      <c r="F547" s="7"/>
      <c r="G547" s="7"/>
      <c r="H547" s="7"/>
    </row>
    <row r="548" ht="15.75" customHeight="1">
      <c r="D548" s="7"/>
      <c r="E548" s="7"/>
      <c r="F548" s="7"/>
      <c r="G548" s="7"/>
      <c r="H548" s="7"/>
    </row>
    <row r="549" ht="15.75" customHeight="1">
      <c r="D549" s="7"/>
      <c r="E549" s="7"/>
      <c r="F549" s="7"/>
      <c r="G549" s="7"/>
      <c r="H549" s="7"/>
    </row>
    <row r="550" ht="15.75" customHeight="1">
      <c r="D550" s="7"/>
      <c r="E550" s="7"/>
      <c r="F550" s="7"/>
      <c r="G550" s="7"/>
      <c r="H550" s="7"/>
    </row>
    <row r="551" ht="15.75" customHeight="1">
      <c r="D551" s="7"/>
      <c r="E551" s="7"/>
      <c r="F551" s="7"/>
      <c r="G551" s="7"/>
      <c r="H551" s="7"/>
    </row>
    <row r="552" ht="15.75" customHeight="1">
      <c r="D552" s="7"/>
      <c r="E552" s="7"/>
      <c r="F552" s="7"/>
      <c r="G552" s="7"/>
      <c r="H552" s="7"/>
    </row>
    <row r="553" ht="15.75" customHeight="1">
      <c r="D553" s="7"/>
      <c r="E553" s="7"/>
      <c r="F553" s="7"/>
      <c r="G553" s="7"/>
      <c r="H553" s="7"/>
    </row>
    <row r="554" ht="15.75" customHeight="1">
      <c r="D554" s="7"/>
      <c r="E554" s="7"/>
      <c r="F554" s="7"/>
      <c r="G554" s="7"/>
      <c r="H554" s="7"/>
    </row>
    <row r="555" ht="15.75" customHeight="1">
      <c r="D555" s="7"/>
      <c r="E555" s="7"/>
      <c r="F555" s="7"/>
      <c r="G555" s="7"/>
      <c r="H555" s="7"/>
    </row>
    <row r="556" ht="15.75" customHeight="1">
      <c r="D556" s="7"/>
      <c r="E556" s="7"/>
      <c r="F556" s="7"/>
      <c r="G556" s="7"/>
      <c r="H556" s="7"/>
    </row>
    <row r="557" ht="15.75" customHeight="1">
      <c r="D557" s="7"/>
      <c r="E557" s="7"/>
      <c r="F557" s="7"/>
      <c r="G557" s="7"/>
      <c r="H557" s="7"/>
    </row>
    <row r="558" ht="15.75" customHeight="1">
      <c r="D558" s="7"/>
      <c r="E558" s="7"/>
      <c r="F558" s="7"/>
      <c r="G558" s="7"/>
      <c r="H558" s="7"/>
    </row>
    <row r="559" ht="15.75" customHeight="1">
      <c r="D559" s="7"/>
      <c r="E559" s="7"/>
      <c r="F559" s="7"/>
      <c r="G559" s="7"/>
      <c r="H559" s="7"/>
    </row>
    <row r="560" ht="15.75" customHeight="1">
      <c r="D560" s="7"/>
      <c r="E560" s="7"/>
      <c r="F560" s="7"/>
      <c r="G560" s="7"/>
      <c r="H560" s="7"/>
    </row>
    <row r="561" ht="15.75" customHeight="1">
      <c r="D561" s="7"/>
      <c r="E561" s="7"/>
      <c r="F561" s="7"/>
      <c r="G561" s="7"/>
      <c r="H561" s="7"/>
    </row>
    <row r="562" ht="15.75" customHeight="1">
      <c r="D562" s="7"/>
      <c r="E562" s="7"/>
      <c r="F562" s="7"/>
      <c r="G562" s="7"/>
      <c r="H562" s="7"/>
    </row>
    <row r="563" ht="15.75" customHeight="1">
      <c r="D563" s="7"/>
      <c r="E563" s="7"/>
      <c r="F563" s="7"/>
      <c r="G563" s="7"/>
      <c r="H563" s="7"/>
    </row>
    <row r="564" ht="15.75" customHeight="1">
      <c r="D564" s="7"/>
      <c r="E564" s="7"/>
      <c r="F564" s="7"/>
      <c r="G564" s="7"/>
      <c r="H564" s="7"/>
    </row>
    <row r="565" ht="15.75" customHeight="1">
      <c r="D565" s="7"/>
      <c r="E565" s="7"/>
      <c r="F565" s="7"/>
      <c r="G565" s="7"/>
      <c r="H565" s="7"/>
    </row>
    <row r="566" ht="15.75" customHeight="1">
      <c r="D566" s="7"/>
      <c r="E566" s="7"/>
      <c r="F566" s="7"/>
      <c r="G566" s="7"/>
      <c r="H566" s="7"/>
    </row>
    <row r="567" ht="15.75" customHeight="1">
      <c r="D567" s="7"/>
      <c r="E567" s="7"/>
      <c r="F567" s="7"/>
      <c r="G567" s="7"/>
      <c r="H567" s="7"/>
    </row>
    <row r="568" ht="15.75" customHeight="1">
      <c r="D568" s="7"/>
      <c r="E568" s="7"/>
      <c r="F568" s="7"/>
      <c r="G568" s="7"/>
      <c r="H568" s="7"/>
    </row>
    <row r="569" ht="15.75" customHeight="1">
      <c r="D569" s="7"/>
      <c r="E569" s="7"/>
      <c r="F569" s="7"/>
      <c r="G569" s="7"/>
      <c r="H569" s="7"/>
    </row>
    <row r="570" ht="15.75" customHeight="1">
      <c r="D570" s="7"/>
      <c r="E570" s="7"/>
      <c r="F570" s="7"/>
      <c r="G570" s="7"/>
      <c r="H570" s="7"/>
    </row>
    <row r="571" ht="15.75" customHeight="1">
      <c r="D571" s="7"/>
      <c r="E571" s="7"/>
      <c r="F571" s="7"/>
      <c r="G571" s="7"/>
      <c r="H571" s="7"/>
    </row>
    <row r="572" ht="15.75" customHeight="1">
      <c r="D572" s="7"/>
      <c r="E572" s="7"/>
      <c r="F572" s="7"/>
      <c r="G572" s="7"/>
      <c r="H572" s="7"/>
    </row>
    <row r="573" ht="15.75" customHeight="1">
      <c r="D573" s="7"/>
      <c r="E573" s="7"/>
      <c r="F573" s="7"/>
      <c r="G573" s="7"/>
      <c r="H573" s="7"/>
    </row>
    <row r="574" ht="15.75" customHeight="1">
      <c r="D574" s="7"/>
      <c r="E574" s="7"/>
      <c r="F574" s="7"/>
      <c r="G574" s="7"/>
      <c r="H574" s="7"/>
    </row>
    <row r="575" ht="15.75" customHeight="1">
      <c r="D575" s="7"/>
      <c r="E575" s="7"/>
      <c r="F575" s="7"/>
      <c r="G575" s="7"/>
      <c r="H575" s="7"/>
    </row>
    <row r="576" ht="15.75" customHeight="1">
      <c r="D576" s="7"/>
      <c r="E576" s="7"/>
      <c r="F576" s="7"/>
      <c r="G576" s="7"/>
      <c r="H576" s="7"/>
    </row>
    <row r="577" ht="15.75" customHeight="1">
      <c r="D577" s="7"/>
      <c r="E577" s="7"/>
      <c r="F577" s="7"/>
      <c r="G577" s="7"/>
      <c r="H577" s="7"/>
    </row>
    <row r="578" ht="15.75" customHeight="1">
      <c r="D578" s="7"/>
      <c r="E578" s="7"/>
      <c r="F578" s="7"/>
      <c r="G578" s="7"/>
      <c r="H578" s="7"/>
    </row>
    <row r="579" ht="15.75" customHeight="1">
      <c r="D579" s="7"/>
      <c r="E579" s="7"/>
      <c r="F579" s="7"/>
      <c r="G579" s="7"/>
      <c r="H579" s="7"/>
    </row>
    <row r="580" ht="15.75" customHeight="1">
      <c r="D580" s="7"/>
      <c r="E580" s="7"/>
      <c r="F580" s="7"/>
      <c r="G580" s="7"/>
      <c r="H580" s="7"/>
    </row>
    <row r="581" ht="15.75" customHeight="1">
      <c r="D581" s="7"/>
      <c r="E581" s="7"/>
      <c r="F581" s="7"/>
      <c r="G581" s="7"/>
      <c r="H581" s="7"/>
    </row>
    <row r="582" ht="15.75" customHeight="1">
      <c r="D582" s="7"/>
      <c r="E582" s="7"/>
      <c r="F582" s="7"/>
      <c r="G582" s="7"/>
      <c r="H582" s="7"/>
    </row>
    <row r="583" ht="15.75" customHeight="1">
      <c r="D583" s="7"/>
      <c r="E583" s="7"/>
      <c r="F583" s="7"/>
      <c r="G583" s="7"/>
      <c r="H583" s="7"/>
    </row>
    <row r="584" ht="15.75" customHeight="1">
      <c r="D584" s="7"/>
      <c r="E584" s="7"/>
      <c r="F584" s="7"/>
      <c r="G584" s="7"/>
      <c r="H584" s="7"/>
    </row>
    <row r="585" ht="15.75" customHeight="1">
      <c r="D585" s="7"/>
      <c r="E585" s="7"/>
      <c r="F585" s="7"/>
      <c r="G585" s="7"/>
      <c r="H585" s="7"/>
    </row>
    <row r="586" ht="15.75" customHeight="1">
      <c r="D586" s="7"/>
      <c r="E586" s="7"/>
      <c r="F586" s="7"/>
      <c r="G586" s="7"/>
      <c r="H586" s="7"/>
    </row>
    <row r="587" ht="15.75" customHeight="1">
      <c r="D587" s="7"/>
      <c r="E587" s="7"/>
      <c r="F587" s="7"/>
      <c r="G587" s="7"/>
      <c r="H587" s="7"/>
    </row>
    <row r="588" ht="15.75" customHeight="1">
      <c r="D588" s="7"/>
      <c r="E588" s="7"/>
      <c r="F588" s="7"/>
      <c r="G588" s="7"/>
      <c r="H588" s="7"/>
    </row>
    <row r="589" ht="15.75" customHeight="1">
      <c r="D589" s="7"/>
      <c r="E589" s="7"/>
      <c r="F589" s="7"/>
      <c r="G589" s="7"/>
      <c r="H589" s="7"/>
    </row>
    <row r="590" ht="15.75" customHeight="1">
      <c r="D590" s="7"/>
      <c r="E590" s="7"/>
      <c r="F590" s="7"/>
      <c r="G590" s="7"/>
      <c r="H590" s="7"/>
    </row>
    <row r="591" ht="15.75" customHeight="1">
      <c r="D591" s="7"/>
      <c r="E591" s="7"/>
      <c r="F591" s="7"/>
      <c r="G591" s="7"/>
      <c r="H591" s="7"/>
    </row>
    <row r="592" ht="15.75" customHeight="1">
      <c r="D592" s="7"/>
      <c r="E592" s="7"/>
      <c r="F592" s="7"/>
      <c r="G592" s="7"/>
      <c r="H592" s="7"/>
    </row>
    <row r="593" ht="15.75" customHeight="1">
      <c r="D593" s="7"/>
      <c r="E593" s="7"/>
      <c r="F593" s="7"/>
      <c r="G593" s="7"/>
      <c r="H593" s="7"/>
    </row>
    <row r="594" ht="15.75" customHeight="1">
      <c r="D594" s="7"/>
      <c r="E594" s="7"/>
      <c r="F594" s="7"/>
      <c r="G594" s="7"/>
      <c r="H594" s="7"/>
    </row>
    <row r="595" ht="15.75" customHeight="1">
      <c r="D595" s="7"/>
      <c r="E595" s="7"/>
      <c r="F595" s="7"/>
      <c r="G595" s="7"/>
      <c r="H595" s="7"/>
    </row>
    <row r="596" ht="15.75" customHeight="1">
      <c r="D596" s="7"/>
      <c r="E596" s="7"/>
      <c r="F596" s="7"/>
      <c r="G596" s="7"/>
      <c r="H596" s="7"/>
    </row>
    <row r="597" ht="15.75" customHeight="1">
      <c r="D597" s="7"/>
      <c r="E597" s="7"/>
      <c r="F597" s="7"/>
      <c r="G597" s="7"/>
      <c r="H597" s="7"/>
    </row>
    <row r="598" ht="15.75" customHeight="1">
      <c r="D598" s="7"/>
      <c r="E598" s="7"/>
      <c r="F598" s="7"/>
      <c r="G598" s="7"/>
      <c r="H598" s="7"/>
    </row>
    <row r="599" ht="15.75" customHeight="1">
      <c r="D599" s="7"/>
      <c r="E599" s="7"/>
      <c r="F599" s="7"/>
      <c r="G599" s="7"/>
      <c r="H599" s="7"/>
    </row>
    <row r="600" ht="15.75" customHeight="1">
      <c r="D600" s="7"/>
      <c r="E600" s="7"/>
      <c r="F600" s="7"/>
      <c r="G600" s="7"/>
      <c r="H600" s="7"/>
    </row>
    <row r="601" ht="15.75" customHeight="1">
      <c r="D601" s="7"/>
      <c r="E601" s="7"/>
      <c r="F601" s="7"/>
      <c r="G601" s="7"/>
      <c r="H601" s="7"/>
    </row>
    <row r="602" ht="15.75" customHeight="1">
      <c r="D602" s="7"/>
      <c r="E602" s="7"/>
      <c r="F602" s="7"/>
      <c r="G602" s="7"/>
      <c r="H602" s="7"/>
    </row>
    <row r="603" ht="15.75" customHeight="1">
      <c r="D603" s="7"/>
      <c r="E603" s="7"/>
      <c r="F603" s="7"/>
      <c r="G603" s="7"/>
      <c r="H603" s="7"/>
    </row>
    <row r="604" ht="15.75" customHeight="1">
      <c r="D604" s="7"/>
      <c r="E604" s="7"/>
      <c r="F604" s="7"/>
      <c r="G604" s="7"/>
      <c r="H604" s="7"/>
    </row>
    <row r="605" ht="15.75" customHeight="1">
      <c r="D605" s="7"/>
      <c r="E605" s="7"/>
      <c r="F605" s="7"/>
      <c r="G605" s="7"/>
      <c r="H605" s="7"/>
    </row>
    <row r="606" ht="15.75" customHeight="1">
      <c r="D606" s="7"/>
      <c r="E606" s="7"/>
      <c r="F606" s="7"/>
      <c r="G606" s="7"/>
      <c r="H606" s="7"/>
    </row>
    <row r="607" ht="15.75" customHeight="1">
      <c r="D607" s="7"/>
      <c r="E607" s="7"/>
      <c r="F607" s="7"/>
      <c r="G607" s="7"/>
      <c r="H607" s="7"/>
    </row>
    <row r="608" ht="15.75" customHeight="1">
      <c r="D608" s="7"/>
      <c r="E608" s="7"/>
      <c r="F608" s="7"/>
      <c r="G608" s="7"/>
      <c r="H608" s="7"/>
    </row>
    <row r="609" ht="15.75" customHeight="1">
      <c r="D609" s="7"/>
      <c r="E609" s="7"/>
      <c r="F609" s="7"/>
      <c r="G609" s="7"/>
      <c r="H609" s="7"/>
    </row>
    <row r="610" ht="15.75" customHeight="1">
      <c r="D610" s="7"/>
      <c r="E610" s="7"/>
      <c r="F610" s="7"/>
      <c r="G610" s="7"/>
      <c r="H610" s="7"/>
    </row>
    <row r="611" ht="15.75" customHeight="1">
      <c r="D611" s="7"/>
      <c r="E611" s="7"/>
      <c r="F611" s="7"/>
      <c r="G611" s="7"/>
      <c r="H611" s="7"/>
    </row>
    <row r="612" ht="15.75" customHeight="1">
      <c r="D612" s="7"/>
      <c r="E612" s="7"/>
      <c r="F612" s="7"/>
      <c r="G612" s="7"/>
      <c r="H612" s="7"/>
    </row>
    <row r="613" ht="15.75" customHeight="1">
      <c r="D613" s="7"/>
      <c r="E613" s="7"/>
      <c r="F613" s="7"/>
      <c r="G613" s="7"/>
      <c r="H613" s="7"/>
    </row>
    <row r="614" ht="15.75" customHeight="1">
      <c r="D614" s="7"/>
      <c r="E614" s="7"/>
      <c r="F614" s="7"/>
      <c r="G614" s="7"/>
      <c r="H614" s="7"/>
    </row>
    <row r="615" ht="15.75" customHeight="1">
      <c r="D615" s="7"/>
      <c r="E615" s="7"/>
      <c r="F615" s="7"/>
      <c r="G615" s="7"/>
      <c r="H615" s="7"/>
    </row>
    <row r="616" ht="15.75" customHeight="1">
      <c r="D616" s="7"/>
      <c r="E616" s="7"/>
      <c r="F616" s="7"/>
      <c r="G616" s="7"/>
      <c r="H616" s="7"/>
    </row>
    <row r="617" ht="15.75" customHeight="1">
      <c r="D617" s="7"/>
      <c r="E617" s="7"/>
      <c r="F617" s="7"/>
      <c r="G617" s="7"/>
      <c r="H617" s="7"/>
    </row>
    <row r="618" ht="15.75" customHeight="1">
      <c r="D618" s="7"/>
      <c r="E618" s="7"/>
      <c r="F618" s="7"/>
      <c r="G618" s="7"/>
      <c r="H618" s="7"/>
    </row>
    <row r="619" ht="15.75" customHeight="1">
      <c r="D619" s="7"/>
      <c r="E619" s="7"/>
      <c r="F619" s="7"/>
      <c r="G619" s="7"/>
      <c r="H619" s="7"/>
    </row>
    <row r="620" ht="15.75" customHeight="1">
      <c r="D620" s="7"/>
      <c r="E620" s="7"/>
      <c r="F620" s="7"/>
      <c r="G620" s="7"/>
      <c r="H620" s="7"/>
    </row>
    <row r="621" ht="15.75" customHeight="1">
      <c r="D621" s="7"/>
      <c r="E621" s="7"/>
      <c r="F621" s="7"/>
      <c r="G621" s="7"/>
      <c r="H621" s="7"/>
    </row>
    <row r="622" ht="15.75" customHeight="1">
      <c r="D622" s="7"/>
      <c r="E622" s="7"/>
      <c r="F622" s="7"/>
      <c r="G622" s="7"/>
      <c r="H622" s="7"/>
    </row>
    <row r="623" ht="15.75" customHeight="1">
      <c r="D623" s="7"/>
      <c r="E623" s="7"/>
      <c r="F623" s="7"/>
      <c r="G623" s="7"/>
      <c r="H623" s="7"/>
    </row>
    <row r="624" ht="15.75" customHeight="1">
      <c r="D624" s="7"/>
      <c r="E624" s="7"/>
      <c r="F624" s="7"/>
      <c r="G624" s="7"/>
      <c r="H624" s="7"/>
    </row>
    <row r="625" ht="15.75" customHeight="1">
      <c r="D625" s="7"/>
      <c r="E625" s="7"/>
      <c r="F625" s="7"/>
      <c r="G625" s="7"/>
      <c r="H625" s="7"/>
    </row>
    <row r="626" ht="15.75" customHeight="1">
      <c r="D626" s="7"/>
      <c r="E626" s="7"/>
      <c r="F626" s="7"/>
      <c r="G626" s="7"/>
      <c r="H626" s="7"/>
    </row>
    <row r="627" ht="15.75" customHeight="1">
      <c r="D627" s="7"/>
      <c r="E627" s="7"/>
      <c r="F627" s="7"/>
      <c r="G627" s="7"/>
      <c r="H627" s="7"/>
    </row>
    <row r="628" ht="15.75" customHeight="1">
      <c r="D628" s="7"/>
      <c r="E628" s="7"/>
      <c r="F628" s="7"/>
      <c r="G628" s="7"/>
      <c r="H628" s="7"/>
    </row>
    <row r="629" ht="15.75" customHeight="1">
      <c r="D629" s="7"/>
      <c r="E629" s="7"/>
      <c r="F629" s="7"/>
      <c r="G629" s="7"/>
      <c r="H629" s="7"/>
    </row>
    <row r="630" ht="15.75" customHeight="1">
      <c r="D630" s="7"/>
      <c r="E630" s="7"/>
      <c r="F630" s="7"/>
      <c r="G630" s="7"/>
      <c r="H630" s="7"/>
    </row>
    <row r="631" ht="15.75" customHeight="1">
      <c r="D631" s="7"/>
      <c r="E631" s="7"/>
      <c r="F631" s="7"/>
      <c r="G631" s="7"/>
      <c r="H631" s="7"/>
    </row>
    <row r="632" ht="15.75" customHeight="1">
      <c r="D632" s="7"/>
      <c r="E632" s="7"/>
      <c r="F632" s="7"/>
      <c r="G632" s="7"/>
      <c r="H632" s="7"/>
    </row>
    <row r="633" ht="15.75" customHeight="1">
      <c r="D633" s="7"/>
      <c r="E633" s="7"/>
      <c r="F633" s="7"/>
      <c r="G633" s="7"/>
      <c r="H633" s="7"/>
    </row>
    <row r="634" ht="15.75" customHeight="1">
      <c r="D634" s="7"/>
      <c r="E634" s="7"/>
      <c r="F634" s="7"/>
      <c r="G634" s="7"/>
      <c r="H634" s="7"/>
    </row>
    <row r="635" ht="15.75" customHeight="1">
      <c r="D635" s="7"/>
      <c r="E635" s="7"/>
      <c r="F635" s="7"/>
      <c r="G635" s="7"/>
      <c r="H635" s="7"/>
    </row>
    <row r="636" ht="15.75" customHeight="1">
      <c r="D636" s="7"/>
      <c r="E636" s="7"/>
      <c r="F636" s="7"/>
      <c r="G636" s="7"/>
      <c r="H636" s="7"/>
    </row>
    <row r="637" ht="15.75" customHeight="1">
      <c r="D637" s="7"/>
      <c r="E637" s="7"/>
      <c r="F637" s="7"/>
      <c r="G637" s="7"/>
      <c r="H637" s="7"/>
    </row>
    <row r="638" ht="15.75" customHeight="1">
      <c r="D638" s="7"/>
      <c r="E638" s="7"/>
      <c r="F638" s="7"/>
      <c r="G638" s="7"/>
      <c r="H638" s="7"/>
    </row>
    <row r="639" ht="15.75" customHeight="1">
      <c r="D639" s="7"/>
      <c r="E639" s="7"/>
      <c r="F639" s="7"/>
      <c r="G639" s="7"/>
      <c r="H639" s="7"/>
    </row>
    <row r="640" ht="15.75" customHeight="1">
      <c r="D640" s="7"/>
      <c r="E640" s="7"/>
      <c r="F640" s="7"/>
      <c r="G640" s="7"/>
      <c r="H640" s="7"/>
    </row>
    <row r="641" ht="15.75" customHeight="1">
      <c r="D641" s="7"/>
      <c r="E641" s="7"/>
      <c r="F641" s="7"/>
      <c r="G641" s="7"/>
      <c r="H641" s="7"/>
    </row>
    <row r="642" ht="15.75" customHeight="1">
      <c r="D642" s="7"/>
      <c r="E642" s="7"/>
      <c r="F642" s="7"/>
      <c r="G642" s="7"/>
      <c r="H642" s="7"/>
    </row>
    <row r="643" ht="15.75" customHeight="1">
      <c r="D643" s="7"/>
      <c r="E643" s="7"/>
      <c r="F643" s="7"/>
      <c r="G643" s="7"/>
      <c r="H643" s="7"/>
    </row>
    <row r="644" ht="15.75" customHeight="1">
      <c r="D644" s="7"/>
      <c r="E644" s="7"/>
      <c r="F644" s="7"/>
      <c r="G644" s="7"/>
      <c r="H644" s="7"/>
    </row>
    <row r="645" ht="15.75" customHeight="1">
      <c r="D645" s="7"/>
      <c r="E645" s="7"/>
      <c r="F645" s="7"/>
      <c r="G645" s="7"/>
      <c r="H645" s="7"/>
    </row>
    <row r="646" ht="15.75" customHeight="1">
      <c r="D646" s="7"/>
      <c r="E646" s="7"/>
      <c r="F646" s="7"/>
      <c r="G646" s="7"/>
      <c r="H646" s="7"/>
    </row>
    <row r="647" ht="15.75" customHeight="1">
      <c r="D647" s="7"/>
      <c r="E647" s="7"/>
      <c r="F647" s="7"/>
      <c r="G647" s="7"/>
      <c r="H647" s="7"/>
    </row>
    <row r="648" ht="15.75" customHeight="1">
      <c r="D648" s="7"/>
      <c r="E648" s="7"/>
      <c r="F648" s="7"/>
      <c r="G648" s="7"/>
      <c r="H648" s="7"/>
    </row>
    <row r="649" ht="15.75" customHeight="1">
      <c r="D649" s="7"/>
      <c r="E649" s="7"/>
      <c r="F649" s="7"/>
      <c r="G649" s="7"/>
      <c r="H649" s="7"/>
    </row>
    <row r="650" ht="15.75" customHeight="1">
      <c r="D650" s="7"/>
      <c r="E650" s="7"/>
      <c r="F650" s="7"/>
      <c r="G650" s="7"/>
      <c r="H650" s="7"/>
    </row>
    <row r="651" ht="15.75" customHeight="1">
      <c r="D651" s="7"/>
      <c r="E651" s="7"/>
      <c r="F651" s="7"/>
      <c r="G651" s="7"/>
      <c r="H651" s="7"/>
    </row>
    <row r="652" ht="15.75" customHeight="1">
      <c r="D652" s="7"/>
      <c r="E652" s="7"/>
      <c r="F652" s="7"/>
      <c r="G652" s="7"/>
      <c r="H652" s="7"/>
    </row>
    <row r="653" ht="15.75" customHeight="1">
      <c r="D653" s="7"/>
      <c r="E653" s="7"/>
      <c r="F653" s="7"/>
      <c r="G653" s="7"/>
      <c r="H653" s="7"/>
    </row>
    <row r="654" ht="15.75" customHeight="1">
      <c r="D654" s="7"/>
      <c r="E654" s="7"/>
      <c r="F654" s="7"/>
      <c r="G654" s="7"/>
      <c r="H654" s="7"/>
    </row>
    <row r="655" ht="15.75" customHeight="1">
      <c r="D655" s="7"/>
      <c r="E655" s="7"/>
      <c r="F655" s="7"/>
      <c r="G655" s="7"/>
      <c r="H655" s="7"/>
    </row>
    <row r="656" ht="15.75" customHeight="1">
      <c r="D656" s="7"/>
      <c r="E656" s="7"/>
      <c r="F656" s="7"/>
      <c r="G656" s="7"/>
      <c r="H656" s="7"/>
    </row>
    <row r="657" ht="15.75" customHeight="1">
      <c r="D657" s="7"/>
      <c r="E657" s="7"/>
      <c r="F657" s="7"/>
      <c r="G657" s="7"/>
      <c r="H657" s="7"/>
    </row>
    <row r="658" ht="15.75" customHeight="1">
      <c r="D658" s="7"/>
      <c r="E658" s="7"/>
      <c r="F658" s="7"/>
      <c r="G658" s="7"/>
      <c r="H658" s="7"/>
    </row>
    <row r="659" ht="15.75" customHeight="1">
      <c r="D659" s="7"/>
      <c r="E659" s="7"/>
      <c r="F659" s="7"/>
      <c r="G659" s="7"/>
      <c r="H659" s="7"/>
    </row>
    <row r="660" ht="15.75" customHeight="1">
      <c r="D660" s="7"/>
      <c r="E660" s="7"/>
      <c r="F660" s="7"/>
      <c r="G660" s="7"/>
      <c r="H660" s="7"/>
    </row>
    <row r="661" ht="15.75" customHeight="1">
      <c r="D661" s="7"/>
      <c r="E661" s="7"/>
      <c r="F661" s="7"/>
      <c r="G661" s="7"/>
      <c r="H661" s="7"/>
    </row>
    <row r="662" ht="15.75" customHeight="1">
      <c r="D662" s="7"/>
      <c r="E662" s="7"/>
      <c r="F662" s="7"/>
      <c r="G662" s="7"/>
      <c r="H662" s="7"/>
    </row>
    <row r="663" ht="15.75" customHeight="1">
      <c r="D663" s="7"/>
      <c r="E663" s="7"/>
      <c r="F663" s="7"/>
      <c r="G663" s="7"/>
      <c r="H663" s="7"/>
    </row>
    <row r="664" ht="15.75" customHeight="1">
      <c r="D664" s="7"/>
      <c r="E664" s="7"/>
      <c r="F664" s="7"/>
      <c r="G664" s="7"/>
      <c r="H664" s="7"/>
    </row>
    <row r="665" ht="15.75" customHeight="1">
      <c r="D665" s="7"/>
      <c r="E665" s="7"/>
      <c r="F665" s="7"/>
      <c r="G665" s="7"/>
      <c r="H665" s="7"/>
    </row>
    <row r="666" ht="15.75" customHeight="1">
      <c r="D666" s="7"/>
      <c r="E666" s="7"/>
      <c r="F666" s="7"/>
      <c r="G666" s="7"/>
      <c r="H666" s="7"/>
    </row>
    <row r="667" ht="15.75" customHeight="1">
      <c r="D667" s="7"/>
      <c r="E667" s="7"/>
      <c r="F667" s="7"/>
      <c r="G667" s="7"/>
      <c r="H667" s="7"/>
    </row>
    <row r="668" ht="15.75" customHeight="1">
      <c r="D668" s="7"/>
      <c r="E668" s="7"/>
      <c r="F668" s="7"/>
      <c r="G668" s="7"/>
      <c r="H668" s="7"/>
    </row>
    <row r="669" ht="15.75" customHeight="1">
      <c r="D669" s="7"/>
      <c r="E669" s="7"/>
      <c r="F669" s="7"/>
      <c r="G669" s="7"/>
      <c r="H669" s="7"/>
    </row>
    <row r="670" ht="15.75" customHeight="1">
      <c r="D670" s="7"/>
      <c r="E670" s="7"/>
      <c r="F670" s="7"/>
      <c r="G670" s="7"/>
      <c r="H670" s="7"/>
    </row>
    <row r="671" ht="15.75" customHeight="1">
      <c r="D671" s="7"/>
      <c r="E671" s="7"/>
      <c r="F671" s="7"/>
      <c r="G671" s="7"/>
      <c r="H671" s="7"/>
    </row>
    <row r="672" ht="15.75" customHeight="1">
      <c r="D672" s="7"/>
      <c r="E672" s="7"/>
      <c r="F672" s="7"/>
      <c r="G672" s="7"/>
      <c r="H672" s="7"/>
    </row>
    <row r="673" ht="15.75" customHeight="1">
      <c r="D673" s="7"/>
      <c r="E673" s="7"/>
      <c r="F673" s="7"/>
      <c r="G673" s="7"/>
      <c r="H673" s="7"/>
    </row>
    <row r="674" ht="15.75" customHeight="1">
      <c r="D674" s="7"/>
      <c r="E674" s="7"/>
      <c r="F674" s="7"/>
      <c r="G674" s="7"/>
      <c r="H674" s="7"/>
    </row>
    <row r="675" ht="15.75" customHeight="1">
      <c r="D675" s="7"/>
      <c r="E675" s="7"/>
      <c r="F675" s="7"/>
      <c r="G675" s="7"/>
      <c r="H675" s="7"/>
    </row>
    <row r="676" ht="15.75" customHeight="1">
      <c r="D676" s="7"/>
      <c r="E676" s="7"/>
      <c r="F676" s="7"/>
      <c r="G676" s="7"/>
      <c r="H676" s="7"/>
    </row>
    <row r="677" ht="15.75" customHeight="1">
      <c r="D677" s="7"/>
      <c r="E677" s="7"/>
      <c r="F677" s="7"/>
      <c r="G677" s="7"/>
      <c r="H677" s="7"/>
    </row>
    <row r="678" ht="15.75" customHeight="1">
      <c r="D678" s="7"/>
      <c r="E678" s="7"/>
      <c r="F678" s="7"/>
      <c r="G678" s="7"/>
      <c r="H678" s="7"/>
    </row>
    <row r="679" ht="15.75" customHeight="1">
      <c r="D679" s="7"/>
      <c r="E679" s="7"/>
      <c r="F679" s="7"/>
      <c r="G679" s="7"/>
      <c r="H679" s="7"/>
    </row>
    <row r="680" ht="15.75" customHeight="1">
      <c r="D680" s="7"/>
      <c r="E680" s="7"/>
      <c r="F680" s="7"/>
      <c r="G680" s="7"/>
      <c r="H680" s="7"/>
    </row>
    <row r="681" ht="15.75" customHeight="1">
      <c r="D681" s="7"/>
      <c r="E681" s="7"/>
      <c r="F681" s="7"/>
      <c r="G681" s="7"/>
      <c r="H681" s="7"/>
    </row>
    <row r="682" ht="15.75" customHeight="1">
      <c r="D682" s="7"/>
      <c r="E682" s="7"/>
      <c r="F682" s="7"/>
      <c r="G682" s="7"/>
      <c r="H682" s="7"/>
    </row>
    <row r="683" ht="15.75" customHeight="1">
      <c r="D683" s="7"/>
      <c r="E683" s="7"/>
      <c r="F683" s="7"/>
      <c r="G683" s="7"/>
      <c r="H683" s="7"/>
    </row>
    <row r="684" ht="15.75" customHeight="1">
      <c r="D684" s="7"/>
      <c r="E684" s="7"/>
      <c r="F684" s="7"/>
      <c r="G684" s="7"/>
      <c r="H684" s="7"/>
    </row>
    <row r="685" ht="15.75" customHeight="1">
      <c r="D685" s="7"/>
      <c r="E685" s="7"/>
      <c r="F685" s="7"/>
      <c r="G685" s="7"/>
      <c r="H685" s="7"/>
    </row>
    <row r="686" ht="15.75" customHeight="1">
      <c r="D686" s="7"/>
      <c r="E686" s="7"/>
      <c r="F686" s="7"/>
      <c r="G686" s="7"/>
      <c r="H686" s="7"/>
    </row>
    <row r="687" ht="15.75" customHeight="1">
      <c r="D687" s="7"/>
      <c r="E687" s="7"/>
      <c r="F687" s="7"/>
      <c r="G687" s="7"/>
      <c r="H687" s="7"/>
    </row>
    <row r="688" ht="15.75" customHeight="1">
      <c r="D688" s="7"/>
      <c r="E688" s="7"/>
      <c r="F688" s="7"/>
      <c r="G688" s="7"/>
      <c r="H688" s="7"/>
    </row>
    <row r="689" ht="15.75" customHeight="1">
      <c r="D689" s="7"/>
      <c r="E689" s="7"/>
      <c r="F689" s="7"/>
      <c r="G689" s="7"/>
      <c r="H689" s="7"/>
    </row>
    <row r="690" ht="15.75" customHeight="1">
      <c r="D690" s="7"/>
      <c r="E690" s="7"/>
      <c r="F690" s="7"/>
      <c r="G690" s="7"/>
      <c r="H690" s="7"/>
    </row>
    <row r="691" ht="15.75" customHeight="1">
      <c r="D691" s="7"/>
      <c r="E691" s="7"/>
      <c r="F691" s="7"/>
      <c r="G691" s="7"/>
      <c r="H691" s="7"/>
    </row>
    <row r="692" ht="15.75" customHeight="1">
      <c r="D692" s="7"/>
      <c r="E692" s="7"/>
      <c r="F692" s="7"/>
      <c r="G692" s="7"/>
      <c r="H692" s="7"/>
    </row>
    <row r="693" ht="15.75" customHeight="1">
      <c r="D693" s="7"/>
      <c r="E693" s="7"/>
      <c r="F693" s="7"/>
      <c r="G693" s="7"/>
      <c r="H693" s="7"/>
    </row>
    <row r="694" ht="15.75" customHeight="1">
      <c r="D694" s="7"/>
      <c r="E694" s="7"/>
      <c r="F694" s="7"/>
      <c r="G694" s="7"/>
      <c r="H694" s="7"/>
    </row>
    <row r="695" ht="15.75" customHeight="1">
      <c r="D695" s="7"/>
      <c r="E695" s="7"/>
      <c r="F695" s="7"/>
      <c r="G695" s="7"/>
      <c r="H695" s="7"/>
    </row>
    <row r="696" ht="15.75" customHeight="1">
      <c r="D696" s="7"/>
      <c r="E696" s="7"/>
      <c r="F696" s="7"/>
      <c r="G696" s="7"/>
      <c r="H696" s="7"/>
    </row>
    <row r="697" ht="15.75" customHeight="1">
      <c r="D697" s="7"/>
      <c r="E697" s="7"/>
      <c r="F697" s="7"/>
      <c r="G697" s="7"/>
      <c r="H697" s="7"/>
    </row>
    <row r="698" ht="15.75" customHeight="1">
      <c r="D698" s="7"/>
      <c r="E698" s="7"/>
      <c r="F698" s="7"/>
      <c r="G698" s="7"/>
      <c r="H698" s="7"/>
    </row>
    <row r="699" ht="15.75" customHeight="1">
      <c r="D699" s="7"/>
      <c r="E699" s="7"/>
      <c r="F699" s="7"/>
      <c r="G699" s="7"/>
      <c r="H699" s="7"/>
    </row>
    <row r="700" ht="15.75" customHeight="1">
      <c r="D700" s="7"/>
      <c r="E700" s="7"/>
      <c r="F700" s="7"/>
      <c r="G700" s="7"/>
      <c r="H700" s="7"/>
    </row>
    <row r="701" ht="15.75" customHeight="1">
      <c r="D701" s="7"/>
      <c r="E701" s="7"/>
      <c r="F701" s="7"/>
      <c r="G701" s="7"/>
      <c r="H701" s="7"/>
    </row>
    <row r="702" ht="15.75" customHeight="1">
      <c r="D702" s="7"/>
      <c r="E702" s="7"/>
      <c r="F702" s="7"/>
      <c r="G702" s="7"/>
      <c r="H702" s="7"/>
    </row>
    <row r="703" ht="15.75" customHeight="1">
      <c r="D703" s="7"/>
      <c r="E703" s="7"/>
      <c r="F703" s="7"/>
      <c r="G703" s="7"/>
      <c r="H703" s="7"/>
    </row>
    <row r="704" ht="15.75" customHeight="1">
      <c r="D704" s="7"/>
      <c r="E704" s="7"/>
      <c r="F704" s="7"/>
      <c r="G704" s="7"/>
      <c r="H704" s="7"/>
    </row>
    <row r="705" ht="15.75" customHeight="1">
      <c r="D705" s="7"/>
      <c r="E705" s="7"/>
      <c r="F705" s="7"/>
      <c r="G705" s="7"/>
      <c r="H705" s="7"/>
    </row>
    <row r="706" ht="15.75" customHeight="1">
      <c r="D706" s="7"/>
      <c r="E706" s="7"/>
      <c r="F706" s="7"/>
      <c r="G706" s="7"/>
      <c r="H706" s="7"/>
    </row>
    <row r="707" ht="15.75" customHeight="1">
      <c r="D707" s="7"/>
      <c r="E707" s="7"/>
      <c r="F707" s="7"/>
      <c r="G707" s="7"/>
      <c r="H707" s="7"/>
    </row>
    <row r="708" ht="15.75" customHeight="1">
      <c r="D708" s="7"/>
      <c r="E708" s="7"/>
      <c r="F708" s="7"/>
      <c r="G708" s="7"/>
      <c r="H708" s="7"/>
    </row>
    <row r="709" ht="15.75" customHeight="1">
      <c r="D709" s="7"/>
      <c r="E709" s="7"/>
      <c r="F709" s="7"/>
      <c r="G709" s="7"/>
      <c r="H709" s="7"/>
    </row>
    <row r="710" ht="15.75" customHeight="1">
      <c r="D710" s="7"/>
      <c r="E710" s="7"/>
      <c r="F710" s="7"/>
      <c r="G710" s="7"/>
      <c r="H710" s="7"/>
    </row>
    <row r="711" ht="15.75" customHeight="1">
      <c r="D711" s="7"/>
      <c r="E711" s="7"/>
      <c r="F711" s="7"/>
      <c r="G711" s="7"/>
      <c r="H711" s="7"/>
    </row>
    <row r="712" ht="15.75" customHeight="1">
      <c r="D712" s="7"/>
      <c r="E712" s="7"/>
      <c r="F712" s="7"/>
      <c r="G712" s="7"/>
      <c r="H712" s="7"/>
    </row>
    <row r="713" ht="15.75" customHeight="1">
      <c r="D713" s="7"/>
      <c r="E713" s="7"/>
      <c r="F713" s="7"/>
      <c r="G713" s="7"/>
      <c r="H713" s="7"/>
    </row>
    <row r="714" ht="15.75" customHeight="1">
      <c r="D714" s="7"/>
      <c r="E714" s="7"/>
      <c r="F714" s="7"/>
      <c r="G714" s="7"/>
      <c r="H714" s="7"/>
    </row>
    <row r="715" ht="15.75" customHeight="1">
      <c r="D715" s="7"/>
      <c r="E715" s="7"/>
      <c r="F715" s="7"/>
      <c r="G715" s="7"/>
      <c r="H715" s="7"/>
    </row>
    <row r="716" ht="15.75" customHeight="1">
      <c r="D716" s="7"/>
      <c r="E716" s="7"/>
      <c r="F716" s="7"/>
      <c r="G716" s="7"/>
      <c r="H716" s="7"/>
    </row>
    <row r="717" ht="15.75" customHeight="1">
      <c r="D717" s="7"/>
      <c r="E717" s="7"/>
      <c r="F717" s="7"/>
      <c r="G717" s="7"/>
      <c r="H717" s="7"/>
    </row>
    <row r="718" ht="15.75" customHeight="1">
      <c r="D718" s="7"/>
      <c r="E718" s="7"/>
      <c r="F718" s="7"/>
      <c r="G718" s="7"/>
      <c r="H718" s="7"/>
    </row>
    <row r="719" ht="15.75" customHeight="1">
      <c r="D719" s="7"/>
      <c r="E719" s="7"/>
      <c r="F719" s="7"/>
      <c r="G719" s="7"/>
      <c r="H719" s="7"/>
    </row>
    <row r="720" ht="15.75" customHeight="1">
      <c r="D720" s="7"/>
      <c r="E720" s="7"/>
      <c r="F720" s="7"/>
      <c r="G720" s="7"/>
      <c r="H720" s="7"/>
    </row>
    <row r="721" ht="15.75" customHeight="1">
      <c r="D721" s="7"/>
      <c r="E721" s="7"/>
      <c r="F721" s="7"/>
      <c r="G721" s="7"/>
      <c r="H721" s="7"/>
    </row>
    <row r="722" ht="15.75" customHeight="1">
      <c r="D722" s="7"/>
      <c r="E722" s="7"/>
      <c r="F722" s="7"/>
      <c r="G722" s="7"/>
      <c r="H722" s="7"/>
    </row>
    <row r="723" ht="15.75" customHeight="1">
      <c r="D723" s="7"/>
      <c r="E723" s="7"/>
      <c r="F723" s="7"/>
      <c r="G723" s="7"/>
      <c r="H723" s="7"/>
    </row>
    <row r="724" ht="15.75" customHeight="1">
      <c r="D724" s="7"/>
      <c r="E724" s="7"/>
      <c r="F724" s="7"/>
      <c r="G724" s="7"/>
      <c r="H724" s="7"/>
    </row>
    <row r="725" ht="15.75" customHeight="1">
      <c r="D725" s="7"/>
      <c r="E725" s="7"/>
      <c r="F725" s="7"/>
      <c r="G725" s="7"/>
      <c r="H725" s="7"/>
    </row>
    <row r="726" ht="15.75" customHeight="1">
      <c r="D726" s="7"/>
      <c r="E726" s="7"/>
      <c r="F726" s="7"/>
      <c r="G726" s="7"/>
      <c r="H726" s="7"/>
    </row>
    <row r="727" ht="15.75" customHeight="1">
      <c r="D727" s="7"/>
      <c r="E727" s="7"/>
      <c r="F727" s="7"/>
      <c r="G727" s="7"/>
      <c r="H727" s="7"/>
    </row>
    <row r="728" ht="15.75" customHeight="1">
      <c r="D728" s="7"/>
      <c r="E728" s="7"/>
      <c r="F728" s="7"/>
      <c r="G728" s="7"/>
      <c r="H728" s="7"/>
    </row>
    <row r="729" ht="15.75" customHeight="1">
      <c r="D729" s="7"/>
      <c r="E729" s="7"/>
      <c r="F729" s="7"/>
      <c r="G729" s="7"/>
      <c r="H729" s="7"/>
    </row>
    <row r="730" ht="15.75" customHeight="1">
      <c r="D730" s="7"/>
      <c r="E730" s="7"/>
      <c r="F730" s="7"/>
      <c r="G730" s="7"/>
      <c r="H730" s="7"/>
    </row>
    <row r="731" ht="15.75" customHeight="1">
      <c r="D731" s="7"/>
      <c r="E731" s="7"/>
      <c r="F731" s="7"/>
      <c r="G731" s="7"/>
      <c r="H731" s="7"/>
    </row>
    <row r="732" ht="15.75" customHeight="1">
      <c r="D732" s="7"/>
      <c r="E732" s="7"/>
      <c r="F732" s="7"/>
      <c r="G732" s="7"/>
      <c r="H732" s="7"/>
    </row>
    <row r="733" ht="15.75" customHeight="1">
      <c r="D733" s="7"/>
      <c r="E733" s="7"/>
      <c r="F733" s="7"/>
      <c r="G733" s="7"/>
      <c r="H733" s="7"/>
    </row>
    <row r="734" ht="15.75" customHeight="1">
      <c r="D734" s="7"/>
      <c r="E734" s="7"/>
      <c r="F734" s="7"/>
      <c r="G734" s="7"/>
      <c r="H734" s="7"/>
    </row>
    <row r="735" ht="15.75" customHeight="1">
      <c r="D735" s="7"/>
      <c r="E735" s="7"/>
      <c r="F735" s="7"/>
      <c r="G735" s="7"/>
      <c r="H735" s="7"/>
    </row>
    <row r="736" ht="15.75" customHeight="1">
      <c r="D736" s="7"/>
      <c r="E736" s="7"/>
      <c r="F736" s="7"/>
      <c r="G736" s="7"/>
      <c r="H736" s="7"/>
    </row>
    <row r="737" ht="15.75" customHeight="1">
      <c r="D737" s="7"/>
      <c r="E737" s="7"/>
      <c r="F737" s="7"/>
      <c r="G737" s="7"/>
      <c r="H737" s="7"/>
    </row>
    <row r="738" ht="15.75" customHeight="1">
      <c r="D738" s="7"/>
      <c r="E738" s="7"/>
      <c r="F738" s="7"/>
      <c r="G738" s="7"/>
      <c r="H738" s="7"/>
    </row>
    <row r="739" ht="15.75" customHeight="1">
      <c r="D739" s="7"/>
      <c r="E739" s="7"/>
      <c r="F739" s="7"/>
      <c r="G739" s="7"/>
      <c r="H739" s="7"/>
    </row>
    <row r="740" ht="15.75" customHeight="1">
      <c r="D740" s="7"/>
      <c r="E740" s="7"/>
      <c r="F740" s="7"/>
      <c r="G740" s="7"/>
      <c r="H740" s="7"/>
    </row>
    <row r="741" ht="15.75" customHeight="1">
      <c r="D741" s="7"/>
      <c r="E741" s="7"/>
      <c r="F741" s="7"/>
      <c r="G741" s="7"/>
      <c r="H741" s="7"/>
    </row>
    <row r="742" ht="15.75" customHeight="1">
      <c r="D742" s="7"/>
      <c r="E742" s="7"/>
      <c r="F742" s="7"/>
      <c r="G742" s="7"/>
      <c r="H742" s="7"/>
    </row>
    <row r="743" ht="15.75" customHeight="1">
      <c r="D743" s="7"/>
      <c r="E743" s="7"/>
      <c r="F743" s="7"/>
      <c r="G743" s="7"/>
      <c r="H743" s="7"/>
    </row>
    <row r="744" ht="15.75" customHeight="1">
      <c r="D744" s="7"/>
      <c r="E744" s="7"/>
      <c r="F744" s="7"/>
      <c r="G744" s="7"/>
      <c r="H744" s="7"/>
    </row>
    <row r="745" ht="15.75" customHeight="1">
      <c r="D745" s="7"/>
      <c r="E745" s="7"/>
      <c r="F745" s="7"/>
      <c r="G745" s="7"/>
      <c r="H745" s="7"/>
    </row>
    <row r="746" ht="15.75" customHeight="1">
      <c r="D746" s="7"/>
      <c r="E746" s="7"/>
      <c r="F746" s="7"/>
      <c r="G746" s="7"/>
      <c r="H746" s="7"/>
    </row>
    <row r="747" ht="15.75" customHeight="1">
      <c r="D747" s="7"/>
      <c r="E747" s="7"/>
      <c r="F747" s="7"/>
      <c r="G747" s="7"/>
      <c r="H747" s="7"/>
    </row>
    <row r="748" ht="15.75" customHeight="1">
      <c r="D748" s="7"/>
      <c r="E748" s="7"/>
      <c r="F748" s="7"/>
      <c r="G748" s="7"/>
      <c r="H748" s="7"/>
    </row>
    <row r="749" ht="15.75" customHeight="1">
      <c r="D749" s="7"/>
      <c r="E749" s="7"/>
      <c r="F749" s="7"/>
      <c r="G749" s="7"/>
      <c r="H749" s="7"/>
    </row>
    <row r="750" ht="15.75" customHeight="1">
      <c r="D750" s="7"/>
      <c r="E750" s="7"/>
      <c r="F750" s="7"/>
      <c r="G750" s="7"/>
      <c r="H750" s="7"/>
    </row>
    <row r="751" ht="15.75" customHeight="1">
      <c r="D751" s="7"/>
      <c r="E751" s="7"/>
      <c r="F751" s="7"/>
      <c r="G751" s="7"/>
      <c r="H751" s="7"/>
    </row>
    <row r="752" ht="15.75" customHeight="1">
      <c r="D752" s="7"/>
      <c r="E752" s="7"/>
      <c r="F752" s="7"/>
      <c r="G752" s="7"/>
      <c r="H752" s="7"/>
    </row>
    <row r="753" ht="15.75" customHeight="1">
      <c r="D753" s="7"/>
      <c r="E753" s="7"/>
      <c r="F753" s="7"/>
      <c r="G753" s="7"/>
      <c r="H753" s="7"/>
    </row>
    <row r="754" ht="15.75" customHeight="1">
      <c r="D754" s="7"/>
      <c r="E754" s="7"/>
      <c r="F754" s="7"/>
      <c r="G754" s="7"/>
      <c r="H754" s="7"/>
    </row>
    <row r="755" ht="15.75" customHeight="1">
      <c r="D755" s="7"/>
      <c r="E755" s="7"/>
      <c r="F755" s="7"/>
      <c r="G755" s="7"/>
      <c r="H755" s="7"/>
    </row>
    <row r="756" ht="15.75" customHeight="1">
      <c r="D756" s="7"/>
      <c r="E756" s="7"/>
      <c r="F756" s="7"/>
      <c r="G756" s="7"/>
      <c r="H756" s="7"/>
    </row>
    <row r="757" ht="15.75" customHeight="1">
      <c r="D757" s="7"/>
      <c r="E757" s="7"/>
      <c r="F757" s="7"/>
      <c r="G757" s="7"/>
      <c r="H757" s="7"/>
    </row>
    <row r="758" ht="15.75" customHeight="1">
      <c r="D758" s="7"/>
      <c r="E758" s="7"/>
      <c r="F758" s="7"/>
      <c r="G758" s="7"/>
      <c r="H758" s="7"/>
    </row>
    <row r="759" ht="15.75" customHeight="1">
      <c r="D759" s="7"/>
      <c r="E759" s="7"/>
      <c r="F759" s="7"/>
      <c r="G759" s="7"/>
      <c r="H759" s="7"/>
    </row>
    <row r="760" ht="15.75" customHeight="1">
      <c r="D760" s="7"/>
      <c r="E760" s="7"/>
      <c r="F760" s="7"/>
      <c r="G760" s="7"/>
      <c r="H760" s="7"/>
    </row>
    <row r="761" ht="15.75" customHeight="1">
      <c r="D761" s="7"/>
      <c r="E761" s="7"/>
      <c r="F761" s="7"/>
      <c r="G761" s="7"/>
      <c r="H761" s="7"/>
    </row>
    <row r="762" ht="15.75" customHeight="1">
      <c r="D762" s="7"/>
      <c r="E762" s="7"/>
      <c r="F762" s="7"/>
      <c r="G762" s="7"/>
      <c r="H762" s="7"/>
    </row>
    <row r="763" ht="15.75" customHeight="1">
      <c r="D763" s="7"/>
      <c r="E763" s="7"/>
      <c r="F763" s="7"/>
      <c r="G763" s="7"/>
      <c r="H763" s="7"/>
    </row>
    <row r="764" ht="15.75" customHeight="1">
      <c r="D764" s="7"/>
      <c r="E764" s="7"/>
      <c r="F764" s="7"/>
      <c r="G764" s="7"/>
      <c r="H764" s="7"/>
    </row>
    <row r="765" ht="15.75" customHeight="1">
      <c r="D765" s="7"/>
      <c r="E765" s="7"/>
      <c r="F765" s="7"/>
      <c r="G765" s="7"/>
      <c r="H765" s="7"/>
    </row>
    <row r="766" ht="15.75" customHeight="1">
      <c r="D766" s="7"/>
      <c r="E766" s="7"/>
      <c r="F766" s="7"/>
      <c r="G766" s="7"/>
      <c r="H766" s="7"/>
    </row>
    <row r="767" ht="15.75" customHeight="1">
      <c r="D767" s="7"/>
      <c r="E767" s="7"/>
      <c r="F767" s="7"/>
      <c r="G767" s="7"/>
      <c r="H767" s="7"/>
    </row>
    <row r="768" ht="15.75" customHeight="1">
      <c r="D768" s="7"/>
      <c r="E768" s="7"/>
      <c r="F768" s="7"/>
      <c r="G768" s="7"/>
      <c r="H768" s="7"/>
    </row>
    <row r="769" ht="15.75" customHeight="1">
      <c r="D769" s="7"/>
      <c r="E769" s="7"/>
      <c r="F769" s="7"/>
      <c r="G769" s="7"/>
      <c r="H769" s="7"/>
    </row>
    <row r="770" ht="15.75" customHeight="1">
      <c r="D770" s="7"/>
      <c r="E770" s="7"/>
      <c r="F770" s="7"/>
      <c r="G770" s="7"/>
      <c r="H770" s="7"/>
    </row>
    <row r="771" ht="15.75" customHeight="1">
      <c r="D771" s="7"/>
      <c r="E771" s="7"/>
      <c r="F771" s="7"/>
      <c r="G771" s="7"/>
      <c r="H771" s="7"/>
    </row>
    <row r="772" ht="15.75" customHeight="1">
      <c r="D772" s="7"/>
      <c r="E772" s="7"/>
      <c r="F772" s="7"/>
      <c r="G772" s="7"/>
      <c r="H772" s="7"/>
    </row>
    <row r="773" ht="15.75" customHeight="1">
      <c r="D773" s="7"/>
      <c r="E773" s="7"/>
      <c r="F773" s="7"/>
      <c r="G773" s="7"/>
      <c r="H773" s="7"/>
    </row>
    <row r="774" ht="15.75" customHeight="1">
      <c r="D774" s="7"/>
      <c r="E774" s="7"/>
      <c r="F774" s="7"/>
      <c r="G774" s="7"/>
      <c r="H774" s="7"/>
    </row>
    <row r="775" ht="15.75" customHeight="1">
      <c r="D775" s="7"/>
      <c r="E775" s="7"/>
      <c r="F775" s="7"/>
      <c r="G775" s="7"/>
      <c r="H775" s="7"/>
    </row>
    <row r="776" ht="15.75" customHeight="1">
      <c r="D776" s="7"/>
      <c r="E776" s="7"/>
      <c r="F776" s="7"/>
      <c r="G776" s="7"/>
      <c r="H776" s="7"/>
    </row>
    <row r="777" ht="15.75" customHeight="1">
      <c r="D777" s="7"/>
      <c r="E777" s="7"/>
      <c r="F777" s="7"/>
      <c r="G777" s="7"/>
      <c r="H777" s="7"/>
    </row>
    <row r="778" ht="15.75" customHeight="1">
      <c r="D778" s="7"/>
      <c r="E778" s="7"/>
      <c r="F778" s="7"/>
      <c r="G778" s="7"/>
      <c r="H778" s="7"/>
    </row>
    <row r="779" ht="15.75" customHeight="1">
      <c r="D779" s="7"/>
      <c r="E779" s="7"/>
      <c r="F779" s="7"/>
      <c r="G779" s="7"/>
      <c r="H779" s="7"/>
    </row>
    <row r="780" ht="15.75" customHeight="1">
      <c r="D780" s="7"/>
      <c r="E780" s="7"/>
      <c r="F780" s="7"/>
      <c r="G780" s="7"/>
      <c r="H780" s="7"/>
    </row>
    <row r="781" ht="15.75" customHeight="1">
      <c r="D781" s="7"/>
      <c r="E781" s="7"/>
      <c r="F781" s="7"/>
      <c r="G781" s="7"/>
      <c r="H781" s="7"/>
    </row>
    <row r="782" ht="15.75" customHeight="1">
      <c r="D782" s="7"/>
      <c r="E782" s="7"/>
      <c r="F782" s="7"/>
      <c r="G782" s="7"/>
      <c r="H782" s="7"/>
    </row>
    <row r="783" ht="15.75" customHeight="1">
      <c r="D783" s="7"/>
      <c r="E783" s="7"/>
      <c r="F783" s="7"/>
      <c r="G783" s="7"/>
      <c r="H783" s="7"/>
    </row>
    <row r="784" ht="15.75" customHeight="1">
      <c r="D784" s="7"/>
      <c r="E784" s="7"/>
      <c r="F784" s="7"/>
      <c r="G784" s="7"/>
      <c r="H784" s="7"/>
    </row>
    <row r="785" ht="15.75" customHeight="1">
      <c r="D785" s="7"/>
      <c r="E785" s="7"/>
      <c r="F785" s="7"/>
      <c r="G785" s="7"/>
      <c r="H785" s="7"/>
    </row>
    <row r="786" ht="15.75" customHeight="1">
      <c r="D786" s="7"/>
      <c r="E786" s="7"/>
      <c r="F786" s="7"/>
      <c r="G786" s="7"/>
      <c r="H786" s="7"/>
    </row>
    <row r="787" ht="15.75" customHeight="1">
      <c r="D787" s="7"/>
      <c r="E787" s="7"/>
      <c r="F787" s="7"/>
      <c r="G787" s="7"/>
      <c r="H787" s="7"/>
    </row>
    <row r="788" ht="15.75" customHeight="1">
      <c r="D788" s="7"/>
      <c r="E788" s="7"/>
      <c r="F788" s="7"/>
      <c r="G788" s="7"/>
      <c r="H788" s="7"/>
    </row>
    <row r="789" ht="15.75" customHeight="1">
      <c r="D789" s="7"/>
      <c r="E789" s="7"/>
      <c r="F789" s="7"/>
      <c r="G789" s="7"/>
      <c r="H789" s="7"/>
    </row>
    <row r="790" ht="15.75" customHeight="1">
      <c r="D790" s="7"/>
      <c r="E790" s="7"/>
      <c r="F790" s="7"/>
      <c r="G790" s="7"/>
      <c r="H790" s="7"/>
    </row>
    <row r="791" ht="15.75" customHeight="1">
      <c r="D791" s="7"/>
      <c r="E791" s="7"/>
      <c r="F791" s="7"/>
      <c r="G791" s="7"/>
      <c r="H791" s="7"/>
    </row>
    <row r="792" ht="15.75" customHeight="1">
      <c r="D792" s="7"/>
      <c r="E792" s="7"/>
      <c r="F792" s="7"/>
      <c r="G792" s="7"/>
      <c r="H792" s="7"/>
    </row>
    <row r="793" ht="15.75" customHeight="1">
      <c r="D793" s="7"/>
      <c r="E793" s="7"/>
      <c r="F793" s="7"/>
      <c r="G793" s="7"/>
      <c r="H793" s="7"/>
    </row>
    <row r="794" ht="15.75" customHeight="1">
      <c r="D794" s="7"/>
      <c r="E794" s="7"/>
      <c r="F794" s="7"/>
      <c r="G794" s="7"/>
      <c r="H794" s="7"/>
    </row>
    <row r="795" ht="15.75" customHeight="1">
      <c r="D795" s="7"/>
      <c r="E795" s="7"/>
      <c r="F795" s="7"/>
      <c r="G795" s="7"/>
      <c r="H795" s="7"/>
    </row>
    <row r="796" ht="15.75" customHeight="1">
      <c r="D796" s="7"/>
      <c r="E796" s="7"/>
      <c r="F796" s="7"/>
      <c r="G796" s="7"/>
      <c r="H796" s="7"/>
    </row>
    <row r="797" ht="15.75" customHeight="1">
      <c r="D797" s="7"/>
      <c r="E797" s="7"/>
      <c r="F797" s="7"/>
      <c r="G797" s="7"/>
      <c r="H797" s="7"/>
    </row>
    <row r="798" ht="15.75" customHeight="1">
      <c r="D798" s="7"/>
      <c r="E798" s="7"/>
      <c r="F798" s="7"/>
      <c r="G798" s="7"/>
      <c r="H798" s="7"/>
    </row>
    <row r="799" ht="15.75" customHeight="1">
      <c r="D799" s="7"/>
      <c r="E799" s="7"/>
      <c r="F799" s="7"/>
      <c r="G799" s="7"/>
      <c r="H799" s="7"/>
    </row>
    <row r="800" ht="15.75" customHeight="1">
      <c r="D800" s="7"/>
      <c r="E800" s="7"/>
      <c r="F800" s="7"/>
      <c r="G800" s="7"/>
      <c r="H800" s="7"/>
    </row>
    <row r="801" ht="15.75" customHeight="1">
      <c r="D801" s="7"/>
      <c r="E801" s="7"/>
      <c r="F801" s="7"/>
      <c r="G801" s="7"/>
      <c r="H801" s="7"/>
    </row>
    <row r="802" ht="15.75" customHeight="1">
      <c r="D802" s="7"/>
      <c r="E802" s="7"/>
      <c r="F802" s="7"/>
      <c r="G802" s="7"/>
      <c r="H802" s="7"/>
    </row>
    <row r="803" ht="15.75" customHeight="1">
      <c r="D803" s="7"/>
      <c r="E803" s="7"/>
      <c r="F803" s="7"/>
      <c r="G803" s="7"/>
      <c r="H803" s="7"/>
    </row>
    <row r="804" ht="15.75" customHeight="1">
      <c r="D804" s="7"/>
      <c r="E804" s="7"/>
      <c r="F804" s="7"/>
      <c r="G804" s="7"/>
      <c r="H804" s="7"/>
    </row>
    <row r="805" ht="15.75" customHeight="1">
      <c r="D805" s="7"/>
      <c r="E805" s="7"/>
      <c r="F805" s="7"/>
      <c r="G805" s="7"/>
      <c r="H805" s="7"/>
    </row>
    <row r="806" ht="15.75" customHeight="1">
      <c r="D806" s="7"/>
      <c r="E806" s="7"/>
      <c r="F806" s="7"/>
      <c r="G806" s="7"/>
      <c r="H806" s="7"/>
    </row>
    <row r="807" ht="15.75" customHeight="1">
      <c r="D807" s="7"/>
      <c r="E807" s="7"/>
      <c r="F807" s="7"/>
      <c r="G807" s="7"/>
      <c r="H807" s="7"/>
    </row>
    <row r="808" ht="15.75" customHeight="1">
      <c r="D808" s="7"/>
      <c r="E808" s="7"/>
      <c r="F808" s="7"/>
      <c r="G808" s="7"/>
      <c r="H808" s="7"/>
    </row>
    <row r="809" ht="15.75" customHeight="1">
      <c r="D809" s="7"/>
      <c r="E809" s="7"/>
      <c r="F809" s="7"/>
      <c r="G809" s="7"/>
      <c r="H809" s="7"/>
    </row>
    <row r="810" ht="15.75" customHeight="1">
      <c r="D810" s="7"/>
      <c r="E810" s="7"/>
      <c r="F810" s="7"/>
      <c r="G810" s="7"/>
      <c r="H810" s="7"/>
    </row>
    <row r="811" ht="15.75" customHeight="1">
      <c r="D811" s="7"/>
      <c r="E811" s="7"/>
      <c r="F811" s="7"/>
      <c r="G811" s="7"/>
      <c r="H811" s="7"/>
    </row>
    <row r="812" ht="15.75" customHeight="1">
      <c r="D812" s="7"/>
      <c r="E812" s="7"/>
      <c r="F812" s="7"/>
      <c r="G812" s="7"/>
      <c r="H812" s="7"/>
    </row>
    <row r="813" ht="15.75" customHeight="1">
      <c r="D813" s="7"/>
      <c r="E813" s="7"/>
      <c r="F813" s="7"/>
      <c r="G813" s="7"/>
      <c r="H813" s="7"/>
    </row>
    <row r="814" ht="15.75" customHeight="1">
      <c r="D814" s="7"/>
      <c r="E814" s="7"/>
      <c r="F814" s="7"/>
      <c r="G814" s="7"/>
      <c r="H814" s="7"/>
    </row>
    <row r="815" ht="15.75" customHeight="1">
      <c r="D815" s="7"/>
      <c r="E815" s="7"/>
      <c r="F815" s="7"/>
      <c r="G815" s="7"/>
      <c r="H815" s="7"/>
    </row>
    <row r="816" ht="15.75" customHeight="1">
      <c r="D816" s="7"/>
      <c r="E816" s="7"/>
      <c r="F816" s="7"/>
      <c r="G816" s="7"/>
      <c r="H816" s="7"/>
    </row>
    <row r="817" ht="15.75" customHeight="1">
      <c r="D817" s="7"/>
      <c r="E817" s="7"/>
      <c r="F817" s="7"/>
      <c r="G817" s="7"/>
      <c r="H817" s="7"/>
    </row>
    <row r="818" ht="15.75" customHeight="1">
      <c r="D818" s="7"/>
      <c r="E818" s="7"/>
      <c r="F818" s="7"/>
      <c r="G818" s="7"/>
      <c r="H818" s="7"/>
    </row>
    <row r="819" ht="15.75" customHeight="1">
      <c r="D819" s="7"/>
      <c r="E819" s="7"/>
      <c r="F819" s="7"/>
      <c r="G819" s="7"/>
      <c r="H819" s="7"/>
    </row>
    <row r="820" ht="15.75" customHeight="1">
      <c r="D820" s="7"/>
      <c r="E820" s="7"/>
      <c r="F820" s="7"/>
      <c r="G820" s="7"/>
      <c r="H820" s="7"/>
    </row>
    <row r="821" ht="15.75" customHeight="1">
      <c r="D821" s="7"/>
      <c r="E821" s="7"/>
      <c r="F821" s="7"/>
      <c r="G821" s="7"/>
      <c r="H821" s="7"/>
    </row>
    <row r="822" ht="15.75" customHeight="1">
      <c r="D822" s="7"/>
      <c r="E822" s="7"/>
      <c r="F822" s="7"/>
      <c r="G822" s="7"/>
      <c r="H822" s="7"/>
    </row>
    <row r="823" ht="15.75" customHeight="1">
      <c r="D823" s="7"/>
      <c r="E823" s="7"/>
      <c r="F823" s="7"/>
      <c r="G823" s="7"/>
      <c r="H823" s="7"/>
    </row>
    <row r="824" ht="15.75" customHeight="1">
      <c r="D824" s="7"/>
      <c r="E824" s="7"/>
      <c r="F824" s="7"/>
      <c r="G824" s="7"/>
      <c r="H824" s="7"/>
    </row>
    <row r="825" ht="15.75" customHeight="1">
      <c r="D825" s="7"/>
      <c r="E825" s="7"/>
      <c r="F825" s="7"/>
      <c r="G825" s="7"/>
      <c r="H825" s="7"/>
    </row>
    <row r="826" ht="15.75" customHeight="1">
      <c r="D826" s="7"/>
      <c r="E826" s="7"/>
      <c r="F826" s="7"/>
      <c r="G826" s="7"/>
      <c r="H826" s="7"/>
    </row>
    <row r="827" ht="15.75" customHeight="1">
      <c r="D827" s="7"/>
      <c r="E827" s="7"/>
      <c r="F827" s="7"/>
      <c r="G827" s="7"/>
      <c r="H827" s="7"/>
    </row>
    <row r="828" ht="15.75" customHeight="1">
      <c r="D828" s="7"/>
      <c r="E828" s="7"/>
      <c r="F828" s="7"/>
      <c r="G828" s="7"/>
      <c r="H828" s="7"/>
    </row>
    <row r="829" ht="15.75" customHeight="1">
      <c r="D829" s="7"/>
      <c r="E829" s="7"/>
      <c r="F829" s="7"/>
      <c r="G829" s="7"/>
      <c r="H829" s="7"/>
    </row>
    <row r="830" ht="15.75" customHeight="1">
      <c r="D830" s="7"/>
      <c r="E830" s="7"/>
      <c r="F830" s="7"/>
      <c r="G830" s="7"/>
      <c r="H830" s="7"/>
    </row>
    <row r="831" ht="15.75" customHeight="1">
      <c r="D831" s="7"/>
      <c r="E831" s="7"/>
      <c r="F831" s="7"/>
      <c r="G831" s="7"/>
      <c r="H831" s="7"/>
    </row>
    <row r="832" ht="15.75" customHeight="1">
      <c r="D832" s="7"/>
      <c r="E832" s="7"/>
      <c r="F832" s="7"/>
      <c r="G832" s="7"/>
      <c r="H832" s="7"/>
    </row>
    <row r="833" ht="15.75" customHeight="1">
      <c r="D833" s="7"/>
      <c r="E833" s="7"/>
      <c r="F833" s="7"/>
      <c r="G833" s="7"/>
      <c r="H833" s="7"/>
    </row>
    <row r="834" ht="15.75" customHeight="1">
      <c r="D834" s="7"/>
      <c r="E834" s="7"/>
      <c r="F834" s="7"/>
      <c r="G834" s="7"/>
      <c r="H834" s="7"/>
    </row>
    <row r="835" ht="15.75" customHeight="1">
      <c r="D835" s="7"/>
      <c r="E835" s="7"/>
      <c r="F835" s="7"/>
      <c r="G835" s="7"/>
      <c r="H835" s="7"/>
    </row>
    <row r="836" ht="15.75" customHeight="1">
      <c r="D836" s="7"/>
      <c r="E836" s="7"/>
      <c r="F836" s="7"/>
      <c r="G836" s="7"/>
      <c r="H836" s="7"/>
    </row>
    <row r="837" ht="15.75" customHeight="1">
      <c r="D837" s="7"/>
      <c r="E837" s="7"/>
      <c r="F837" s="7"/>
      <c r="G837" s="7"/>
      <c r="H837" s="7"/>
    </row>
    <row r="838" ht="15.75" customHeight="1">
      <c r="D838" s="7"/>
      <c r="E838" s="7"/>
      <c r="F838" s="7"/>
      <c r="G838" s="7"/>
      <c r="H838" s="7"/>
    </row>
    <row r="839" ht="15.75" customHeight="1">
      <c r="D839" s="7"/>
      <c r="E839" s="7"/>
      <c r="F839" s="7"/>
      <c r="G839" s="7"/>
      <c r="H839" s="7"/>
    </row>
    <row r="840" ht="15.75" customHeight="1">
      <c r="D840" s="7"/>
      <c r="E840" s="7"/>
      <c r="F840" s="7"/>
      <c r="G840" s="7"/>
      <c r="H840" s="7"/>
    </row>
    <row r="841" ht="15.75" customHeight="1">
      <c r="D841" s="7"/>
      <c r="E841" s="7"/>
      <c r="F841" s="7"/>
      <c r="G841" s="7"/>
      <c r="H841" s="7"/>
    </row>
    <row r="842" ht="15.75" customHeight="1">
      <c r="D842" s="7"/>
      <c r="E842" s="7"/>
      <c r="F842" s="7"/>
      <c r="G842" s="7"/>
      <c r="H842" s="7"/>
    </row>
    <row r="843" ht="15.75" customHeight="1">
      <c r="D843" s="7"/>
      <c r="E843" s="7"/>
      <c r="F843" s="7"/>
      <c r="G843" s="7"/>
      <c r="H843" s="7"/>
    </row>
    <row r="844" ht="15.75" customHeight="1">
      <c r="D844" s="7"/>
      <c r="E844" s="7"/>
      <c r="F844" s="7"/>
      <c r="G844" s="7"/>
      <c r="H844" s="7"/>
    </row>
    <row r="845" ht="15.75" customHeight="1">
      <c r="D845" s="7"/>
      <c r="E845" s="7"/>
      <c r="F845" s="7"/>
      <c r="G845" s="7"/>
      <c r="H845" s="7"/>
    </row>
    <row r="846" ht="15.75" customHeight="1">
      <c r="D846" s="7"/>
      <c r="E846" s="7"/>
      <c r="F846" s="7"/>
      <c r="G846" s="7"/>
      <c r="H846" s="7"/>
    </row>
    <row r="847" ht="15.75" customHeight="1">
      <c r="D847" s="7"/>
      <c r="E847" s="7"/>
      <c r="F847" s="7"/>
      <c r="G847" s="7"/>
      <c r="H847" s="7"/>
    </row>
    <row r="848" ht="15.75" customHeight="1">
      <c r="D848" s="7"/>
      <c r="E848" s="7"/>
      <c r="F848" s="7"/>
      <c r="G848" s="7"/>
      <c r="H848" s="7"/>
    </row>
    <row r="849" ht="15.75" customHeight="1">
      <c r="D849" s="7"/>
      <c r="E849" s="7"/>
      <c r="F849" s="7"/>
      <c r="G849" s="7"/>
      <c r="H849" s="7"/>
    </row>
    <row r="850" ht="15.75" customHeight="1">
      <c r="D850" s="7"/>
      <c r="E850" s="7"/>
      <c r="F850" s="7"/>
      <c r="G850" s="7"/>
      <c r="H850" s="7"/>
    </row>
    <row r="851" ht="15.75" customHeight="1">
      <c r="D851" s="7"/>
      <c r="E851" s="7"/>
      <c r="F851" s="7"/>
      <c r="G851" s="7"/>
      <c r="H851" s="7"/>
    </row>
    <row r="852" ht="15.75" customHeight="1">
      <c r="D852" s="7"/>
      <c r="E852" s="7"/>
      <c r="F852" s="7"/>
      <c r="G852" s="7"/>
      <c r="H852" s="7"/>
    </row>
    <row r="853" ht="15.75" customHeight="1">
      <c r="D853" s="7"/>
      <c r="E853" s="7"/>
      <c r="F853" s="7"/>
      <c r="G853" s="7"/>
      <c r="H853" s="7"/>
    </row>
    <row r="854" ht="15.75" customHeight="1">
      <c r="D854" s="7"/>
      <c r="E854" s="7"/>
      <c r="F854" s="7"/>
      <c r="G854" s="7"/>
      <c r="H854" s="7"/>
    </row>
    <row r="855" ht="15.75" customHeight="1">
      <c r="D855" s="7"/>
      <c r="E855" s="7"/>
      <c r="F855" s="7"/>
      <c r="G855" s="7"/>
      <c r="H855" s="7"/>
    </row>
    <row r="856" ht="15.75" customHeight="1">
      <c r="D856" s="7"/>
      <c r="E856" s="7"/>
      <c r="F856" s="7"/>
      <c r="G856" s="7"/>
      <c r="H856" s="7"/>
    </row>
    <row r="857" ht="15.75" customHeight="1">
      <c r="D857" s="7"/>
      <c r="E857" s="7"/>
      <c r="F857" s="7"/>
      <c r="G857" s="7"/>
      <c r="H857" s="7"/>
    </row>
    <row r="858" ht="15.75" customHeight="1">
      <c r="D858" s="7"/>
      <c r="E858" s="7"/>
      <c r="F858" s="7"/>
      <c r="G858" s="7"/>
      <c r="H858" s="7"/>
    </row>
    <row r="859" ht="15.75" customHeight="1">
      <c r="D859" s="7"/>
      <c r="E859" s="7"/>
      <c r="F859" s="7"/>
      <c r="G859" s="7"/>
      <c r="H859" s="7"/>
    </row>
    <row r="860" ht="15.75" customHeight="1">
      <c r="D860" s="7"/>
      <c r="E860" s="7"/>
      <c r="F860" s="7"/>
      <c r="G860" s="7"/>
      <c r="H860" s="7"/>
    </row>
    <row r="861" ht="15.75" customHeight="1">
      <c r="D861" s="7"/>
      <c r="E861" s="7"/>
      <c r="F861" s="7"/>
      <c r="G861" s="7"/>
      <c r="H861" s="7"/>
    </row>
    <row r="862" ht="15.75" customHeight="1">
      <c r="D862" s="7"/>
      <c r="E862" s="7"/>
      <c r="F862" s="7"/>
      <c r="G862" s="7"/>
      <c r="H862" s="7"/>
    </row>
    <row r="863" ht="15.75" customHeight="1">
      <c r="D863" s="7"/>
      <c r="E863" s="7"/>
      <c r="F863" s="7"/>
      <c r="G863" s="7"/>
      <c r="H863" s="7"/>
    </row>
    <row r="864" ht="15.75" customHeight="1">
      <c r="D864" s="7"/>
      <c r="E864" s="7"/>
      <c r="F864" s="7"/>
      <c r="G864" s="7"/>
      <c r="H864" s="7"/>
    </row>
    <row r="865" ht="15.75" customHeight="1">
      <c r="D865" s="7"/>
      <c r="E865" s="7"/>
      <c r="F865" s="7"/>
      <c r="G865" s="7"/>
      <c r="H865" s="7"/>
    </row>
    <row r="866" ht="15.75" customHeight="1">
      <c r="D866" s="7"/>
      <c r="E866" s="7"/>
      <c r="F866" s="7"/>
      <c r="G866" s="7"/>
      <c r="H866" s="7"/>
    </row>
    <row r="867" ht="15.75" customHeight="1">
      <c r="D867" s="7"/>
      <c r="E867" s="7"/>
      <c r="F867" s="7"/>
      <c r="G867" s="7"/>
      <c r="H867" s="7"/>
    </row>
    <row r="868" ht="15.75" customHeight="1">
      <c r="D868" s="7"/>
      <c r="E868" s="7"/>
      <c r="F868" s="7"/>
      <c r="G868" s="7"/>
      <c r="H868" s="7"/>
    </row>
    <row r="869" ht="15.75" customHeight="1">
      <c r="D869" s="7"/>
      <c r="E869" s="7"/>
      <c r="F869" s="7"/>
      <c r="G869" s="7"/>
      <c r="H869" s="7"/>
    </row>
    <row r="870" ht="15.75" customHeight="1">
      <c r="D870" s="7"/>
      <c r="E870" s="7"/>
      <c r="F870" s="7"/>
      <c r="G870" s="7"/>
      <c r="H870" s="7"/>
    </row>
    <row r="871" ht="15.75" customHeight="1">
      <c r="D871" s="7"/>
      <c r="E871" s="7"/>
      <c r="F871" s="7"/>
      <c r="G871" s="7"/>
      <c r="H871" s="7"/>
    </row>
    <row r="872" ht="15.75" customHeight="1">
      <c r="D872" s="7"/>
      <c r="E872" s="7"/>
      <c r="F872" s="7"/>
      <c r="G872" s="7"/>
      <c r="H872" s="7"/>
    </row>
    <row r="873" ht="15.75" customHeight="1">
      <c r="D873" s="7"/>
      <c r="E873" s="7"/>
      <c r="F873" s="7"/>
      <c r="G873" s="7"/>
      <c r="H873" s="7"/>
    </row>
    <row r="874" ht="15.75" customHeight="1">
      <c r="D874" s="7"/>
      <c r="E874" s="7"/>
      <c r="F874" s="7"/>
      <c r="G874" s="7"/>
      <c r="H874" s="7"/>
    </row>
    <row r="875" ht="15.75" customHeight="1">
      <c r="D875" s="7"/>
      <c r="E875" s="7"/>
      <c r="F875" s="7"/>
      <c r="G875" s="7"/>
      <c r="H875" s="7"/>
    </row>
    <row r="876" ht="15.75" customHeight="1">
      <c r="D876" s="7"/>
      <c r="E876" s="7"/>
      <c r="F876" s="7"/>
      <c r="G876" s="7"/>
      <c r="H876" s="7"/>
    </row>
    <row r="877" ht="15.75" customHeight="1">
      <c r="D877" s="7"/>
      <c r="E877" s="7"/>
      <c r="F877" s="7"/>
      <c r="G877" s="7"/>
      <c r="H877" s="7"/>
    </row>
    <row r="878" ht="15.75" customHeight="1">
      <c r="D878" s="7"/>
      <c r="E878" s="7"/>
      <c r="F878" s="7"/>
      <c r="G878" s="7"/>
      <c r="H878" s="7"/>
    </row>
    <row r="879" ht="15.75" customHeight="1">
      <c r="D879" s="7"/>
      <c r="E879" s="7"/>
      <c r="F879" s="7"/>
      <c r="G879" s="7"/>
      <c r="H879" s="7"/>
    </row>
    <row r="880" ht="15.75" customHeight="1">
      <c r="D880" s="7"/>
      <c r="E880" s="7"/>
      <c r="F880" s="7"/>
      <c r="G880" s="7"/>
      <c r="H880" s="7"/>
    </row>
    <row r="881" ht="15.75" customHeight="1">
      <c r="D881" s="7"/>
      <c r="E881" s="7"/>
      <c r="F881" s="7"/>
      <c r="G881" s="7"/>
      <c r="H881" s="7"/>
    </row>
    <row r="882" ht="15.75" customHeight="1">
      <c r="D882" s="7"/>
      <c r="E882" s="7"/>
      <c r="F882" s="7"/>
      <c r="G882" s="7"/>
      <c r="H882" s="7"/>
    </row>
    <row r="883" ht="15.75" customHeight="1">
      <c r="D883" s="7"/>
      <c r="E883" s="7"/>
      <c r="F883" s="7"/>
      <c r="G883" s="7"/>
      <c r="H883" s="7"/>
    </row>
    <row r="884" ht="15.75" customHeight="1">
      <c r="D884" s="7"/>
      <c r="E884" s="7"/>
      <c r="F884" s="7"/>
      <c r="G884" s="7"/>
      <c r="H884" s="7"/>
    </row>
    <row r="885" ht="15.75" customHeight="1">
      <c r="D885" s="7"/>
      <c r="E885" s="7"/>
      <c r="F885" s="7"/>
      <c r="G885" s="7"/>
      <c r="H885" s="7"/>
    </row>
    <row r="886" ht="15.75" customHeight="1">
      <c r="D886" s="7"/>
      <c r="E886" s="7"/>
      <c r="F886" s="7"/>
      <c r="G886" s="7"/>
      <c r="H886" s="7"/>
    </row>
    <row r="887" ht="15.75" customHeight="1">
      <c r="D887" s="7"/>
      <c r="E887" s="7"/>
      <c r="F887" s="7"/>
      <c r="G887" s="7"/>
      <c r="H887" s="7"/>
    </row>
    <row r="888" ht="15.75" customHeight="1">
      <c r="D888" s="7"/>
      <c r="E888" s="7"/>
      <c r="F888" s="7"/>
      <c r="G888" s="7"/>
      <c r="H888" s="7"/>
    </row>
    <row r="889" ht="15.75" customHeight="1">
      <c r="D889" s="7"/>
      <c r="E889" s="7"/>
      <c r="F889" s="7"/>
      <c r="G889" s="7"/>
      <c r="H889" s="7"/>
    </row>
    <row r="890" ht="15.75" customHeight="1">
      <c r="D890" s="7"/>
      <c r="E890" s="7"/>
      <c r="F890" s="7"/>
      <c r="G890" s="7"/>
      <c r="H890" s="7"/>
    </row>
    <row r="891" ht="15.75" customHeight="1">
      <c r="D891" s="7"/>
      <c r="E891" s="7"/>
      <c r="F891" s="7"/>
      <c r="G891" s="7"/>
      <c r="H891" s="7"/>
    </row>
    <row r="892" ht="15.75" customHeight="1">
      <c r="D892" s="7"/>
      <c r="E892" s="7"/>
      <c r="F892" s="7"/>
      <c r="G892" s="7"/>
      <c r="H892" s="7"/>
    </row>
    <row r="893" ht="15.75" customHeight="1">
      <c r="D893" s="7"/>
      <c r="E893" s="7"/>
      <c r="F893" s="7"/>
      <c r="G893" s="7"/>
      <c r="H893" s="7"/>
    </row>
    <row r="894" ht="15.75" customHeight="1">
      <c r="D894" s="7"/>
      <c r="E894" s="7"/>
      <c r="F894" s="7"/>
      <c r="G894" s="7"/>
      <c r="H894" s="7"/>
    </row>
    <row r="895" ht="15.75" customHeight="1">
      <c r="D895" s="7"/>
      <c r="E895" s="7"/>
      <c r="F895" s="7"/>
      <c r="G895" s="7"/>
      <c r="H895" s="7"/>
    </row>
    <row r="896" ht="15.75" customHeight="1">
      <c r="D896" s="7"/>
      <c r="E896" s="7"/>
      <c r="F896" s="7"/>
      <c r="G896" s="7"/>
      <c r="H896" s="7"/>
    </row>
    <row r="897" ht="15.75" customHeight="1">
      <c r="D897" s="7"/>
      <c r="E897" s="7"/>
      <c r="F897" s="7"/>
      <c r="G897" s="7"/>
      <c r="H897" s="7"/>
    </row>
    <row r="898" ht="15.75" customHeight="1">
      <c r="D898" s="7"/>
      <c r="E898" s="7"/>
      <c r="F898" s="7"/>
      <c r="G898" s="7"/>
      <c r="H898" s="7"/>
    </row>
    <row r="899" ht="15.75" customHeight="1">
      <c r="D899" s="7"/>
      <c r="E899" s="7"/>
      <c r="F899" s="7"/>
      <c r="G899" s="7"/>
      <c r="H899" s="7"/>
    </row>
    <row r="900" ht="15.75" customHeight="1">
      <c r="D900" s="7"/>
      <c r="E900" s="7"/>
      <c r="F900" s="7"/>
      <c r="G900" s="7"/>
      <c r="H900" s="7"/>
    </row>
    <row r="901" ht="15.75" customHeight="1">
      <c r="D901" s="7"/>
      <c r="E901" s="7"/>
      <c r="F901" s="7"/>
      <c r="G901" s="7"/>
      <c r="H901" s="7"/>
    </row>
    <row r="902" ht="15.75" customHeight="1">
      <c r="D902" s="7"/>
      <c r="E902" s="7"/>
      <c r="F902" s="7"/>
      <c r="G902" s="7"/>
      <c r="H902" s="7"/>
    </row>
    <row r="903" ht="15.75" customHeight="1">
      <c r="D903" s="7"/>
      <c r="E903" s="7"/>
      <c r="F903" s="7"/>
      <c r="G903" s="7"/>
      <c r="H903" s="7"/>
    </row>
    <row r="904" ht="15.75" customHeight="1">
      <c r="D904" s="7"/>
      <c r="E904" s="7"/>
      <c r="F904" s="7"/>
      <c r="G904" s="7"/>
      <c r="H904" s="7"/>
    </row>
    <row r="905" ht="15.75" customHeight="1">
      <c r="D905" s="7"/>
      <c r="E905" s="7"/>
      <c r="F905" s="7"/>
      <c r="G905" s="7"/>
      <c r="H905" s="7"/>
    </row>
    <row r="906" ht="15.75" customHeight="1">
      <c r="D906" s="7"/>
      <c r="E906" s="7"/>
      <c r="F906" s="7"/>
      <c r="G906" s="7"/>
      <c r="H906" s="7"/>
    </row>
    <row r="907" ht="15.75" customHeight="1">
      <c r="D907" s="7"/>
      <c r="E907" s="7"/>
      <c r="F907" s="7"/>
      <c r="G907" s="7"/>
      <c r="H907" s="7"/>
    </row>
    <row r="908" ht="15.75" customHeight="1">
      <c r="D908" s="7"/>
      <c r="E908" s="7"/>
      <c r="F908" s="7"/>
      <c r="G908" s="7"/>
      <c r="H908" s="7"/>
    </row>
    <row r="909" ht="15.75" customHeight="1">
      <c r="D909" s="7"/>
      <c r="E909" s="7"/>
      <c r="F909" s="7"/>
      <c r="G909" s="7"/>
      <c r="H909" s="7"/>
    </row>
    <row r="910" ht="15.75" customHeight="1">
      <c r="D910" s="7"/>
      <c r="E910" s="7"/>
      <c r="F910" s="7"/>
      <c r="G910" s="7"/>
      <c r="H910" s="7"/>
    </row>
    <row r="911" ht="15.75" customHeight="1">
      <c r="D911" s="7"/>
      <c r="E911" s="7"/>
      <c r="F911" s="7"/>
      <c r="G911" s="7"/>
      <c r="H911" s="7"/>
    </row>
    <row r="912" ht="15.75" customHeight="1">
      <c r="D912" s="7"/>
      <c r="E912" s="7"/>
      <c r="F912" s="7"/>
      <c r="G912" s="7"/>
      <c r="H912" s="7"/>
    </row>
    <row r="913" ht="15.75" customHeight="1">
      <c r="D913" s="7"/>
      <c r="E913" s="7"/>
      <c r="F913" s="7"/>
      <c r="G913" s="7"/>
      <c r="H913" s="7"/>
    </row>
    <row r="914" ht="15.75" customHeight="1">
      <c r="D914" s="7"/>
      <c r="E914" s="7"/>
      <c r="F914" s="7"/>
      <c r="G914" s="7"/>
      <c r="H914" s="7"/>
    </row>
    <row r="915" ht="15.75" customHeight="1">
      <c r="D915" s="7"/>
      <c r="E915" s="7"/>
      <c r="F915" s="7"/>
      <c r="G915" s="7"/>
      <c r="H915" s="7"/>
    </row>
    <row r="916" ht="15.75" customHeight="1">
      <c r="D916" s="7"/>
      <c r="E916" s="7"/>
      <c r="F916" s="7"/>
      <c r="G916" s="7"/>
      <c r="H916" s="7"/>
    </row>
    <row r="917" ht="15.75" customHeight="1">
      <c r="D917" s="7"/>
      <c r="E917" s="7"/>
      <c r="F917" s="7"/>
      <c r="G917" s="7"/>
      <c r="H917" s="7"/>
    </row>
    <row r="918" ht="15.75" customHeight="1">
      <c r="D918" s="7"/>
      <c r="E918" s="7"/>
      <c r="F918" s="7"/>
      <c r="G918" s="7"/>
      <c r="H918" s="7"/>
    </row>
    <row r="919" ht="15.75" customHeight="1">
      <c r="D919" s="7"/>
      <c r="E919" s="7"/>
      <c r="F919" s="7"/>
      <c r="G919" s="7"/>
      <c r="H919" s="7"/>
    </row>
    <row r="920" ht="15.75" customHeight="1">
      <c r="D920" s="7"/>
      <c r="E920" s="7"/>
      <c r="F920" s="7"/>
      <c r="G920" s="7"/>
      <c r="H920" s="7"/>
    </row>
    <row r="921" ht="15.75" customHeight="1">
      <c r="D921" s="7"/>
      <c r="E921" s="7"/>
      <c r="F921" s="7"/>
      <c r="G921" s="7"/>
      <c r="H921" s="7"/>
    </row>
    <row r="922" ht="15.75" customHeight="1">
      <c r="D922" s="7"/>
      <c r="E922" s="7"/>
      <c r="F922" s="7"/>
      <c r="G922" s="7"/>
      <c r="H922" s="7"/>
    </row>
    <row r="923" ht="15.75" customHeight="1">
      <c r="D923" s="7"/>
      <c r="E923" s="7"/>
      <c r="F923" s="7"/>
      <c r="G923" s="7"/>
      <c r="H923" s="7"/>
    </row>
    <row r="924" ht="15.75" customHeight="1">
      <c r="D924" s="7"/>
      <c r="E924" s="7"/>
      <c r="F924" s="7"/>
      <c r="G924" s="7"/>
      <c r="H924" s="7"/>
    </row>
    <row r="925" ht="15.75" customHeight="1">
      <c r="D925" s="7"/>
      <c r="E925" s="7"/>
      <c r="F925" s="7"/>
      <c r="G925" s="7"/>
      <c r="H925" s="7"/>
    </row>
    <row r="926" ht="15.75" customHeight="1">
      <c r="D926" s="7"/>
      <c r="E926" s="7"/>
      <c r="F926" s="7"/>
      <c r="G926" s="7"/>
      <c r="H926" s="7"/>
    </row>
    <row r="927" ht="15.75" customHeight="1">
      <c r="D927" s="7"/>
      <c r="E927" s="7"/>
      <c r="F927" s="7"/>
      <c r="G927" s="7"/>
      <c r="H927" s="7"/>
    </row>
    <row r="928" ht="15.75" customHeight="1">
      <c r="D928" s="7"/>
      <c r="E928" s="7"/>
      <c r="F928" s="7"/>
      <c r="G928" s="7"/>
      <c r="H928" s="7"/>
    </row>
    <row r="929" ht="15.75" customHeight="1">
      <c r="D929" s="7"/>
      <c r="E929" s="7"/>
      <c r="F929" s="7"/>
      <c r="G929" s="7"/>
      <c r="H929" s="7"/>
    </row>
    <row r="930" ht="15.75" customHeight="1">
      <c r="D930" s="7"/>
      <c r="E930" s="7"/>
      <c r="F930" s="7"/>
      <c r="G930" s="7"/>
      <c r="H930" s="7"/>
    </row>
    <row r="931" ht="15.75" customHeight="1">
      <c r="D931" s="7"/>
      <c r="E931" s="7"/>
      <c r="F931" s="7"/>
      <c r="G931" s="7"/>
      <c r="H931" s="7"/>
    </row>
    <row r="932" ht="15.75" customHeight="1">
      <c r="D932" s="7"/>
      <c r="E932" s="7"/>
      <c r="F932" s="7"/>
      <c r="G932" s="7"/>
      <c r="H932" s="7"/>
    </row>
    <row r="933" ht="15.75" customHeight="1">
      <c r="D933" s="7"/>
      <c r="E933" s="7"/>
      <c r="F933" s="7"/>
      <c r="G933" s="7"/>
      <c r="H933" s="7"/>
    </row>
    <row r="934" ht="15.75" customHeight="1">
      <c r="D934" s="7"/>
      <c r="E934" s="7"/>
      <c r="F934" s="7"/>
      <c r="G934" s="7"/>
      <c r="H934" s="7"/>
    </row>
    <row r="935" ht="15.75" customHeight="1">
      <c r="D935" s="7"/>
      <c r="E935" s="7"/>
      <c r="F935" s="7"/>
      <c r="G935" s="7"/>
      <c r="H935" s="7"/>
    </row>
    <row r="936" ht="15.75" customHeight="1">
      <c r="D936" s="7"/>
      <c r="E936" s="7"/>
      <c r="F936" s="7"/>
      <c r="G936" s="7"/>
      <c r="H936" s="7"/>
    </row>
    <row r="937" ht="15.75" customHeight="1">
      <c r="D937" s="7"/>
      <c r="E937" s="7"/>
      <c r="F937" s="7"/>
      <c r="G937" s="7"/>
      <c r="H937" s="7"/>
    </row>
    <row r="938" ht="15.75" customHeight="1">
      <c r="D938" s="7"/>
      <c r="E938" s="7"/>
      <c r="F938" s="7"/>
      <c r="G938" s="7"/>
      <c r="H938" s="7"/>
    </row>
    <row r="939" ht="15.75" customHeight="1">
      <c r="D939" s="7"/>
      <c r="E939" s="7"/>
      <c r="F939" s="7"/>
      <c r="G939" s="7"/>
      <c r="H939" s="7"/>
    </row>
    <row r="940" ht="15.75" customHeight="1">
      <c r="D940" s="7"/>
      <c r="E940" s="7"/>
      <c r="F940" s="7"/>
      <c r="G940" s="7"/>
      <c r="H940" s="7"/>
    </row>
    <row r="941" ht="15.75" customHeight="1">
      <c r="D941" s="7"/>
      <c r="E941" s="7"/>
      <c r="F941" s="7"/>
      <c r="G941" s="7"/>
      <c r="H941" s="7"/>
    </row>
    <row r="942" ht="15.75" customHeight="1">
      <c r="D942" s="7"/>
      <c r="E942" s="7"/>
      <c r="F942" s="7"/>
      <c r="G942" s="7"/>
      <c r="H942" s="7"/>
    </row>
    <row r="943" ht="15.75" customHeight="1">
      <c r="D943" s="7"/>
      <c r="E943" s="7"/>
      <c r="F943" s="7"/>
      <c r="G943" s="7"/>
      <c r="H943" s="7"/>
    </row>
    <row r="944" ht="15.75" customHeight="1">
      <c r="D944" s="7"/>
      <c r="E944" s="7"/>
      <c r="F944" s="7"/>
      <c r="G944" s="7"/>
      <c r="H944" s="7"/>
    </row>
    <row r="945" ht="15.75" customHeight="1">
      <c r="D945" s="7"/>
      <c r="E945" s="7"/>
      <c r="F945" s="7"/>
      <c r="G945" s="7"/>
      <c r="H945" s="7"/>
    </row>
    <row r="946" ht="15.75" customHeight="1">
      <c r="D946" s="7"/>
      <c r="E946" s="7"/>
      <c r="F946" s="7"/>
      <c r="G946" s="7"/>
      <c r="H946" s="7"/>
    </row>
    <row r="947" ht="15.75" customHeight="1">
      <c r="D947" s="7"/>
      <c r="E947" s="7"/>
      <c r="F947" s="7"/>
      <c r="G947" s="7"/>
      <c r="H947" s="7"/>
    </row>
    <row r="948" ht="15.75" customHeight="1">
      <c r="D948" s="7"/>
      <c r="E948" s="7"/>
      <c r="F948" s="7"/>
      <c r="G948" s="7"/>
      <c r="H948" s="7"/>
    </row>
    <row r="949" ht="15.75" customHeight="1">
      <c r="D949" s="7"/>
      <c r="E949" s="7"/>
      <c r="F949" s="7"/>
      <c r="G949" s="7"/>
      <c r="H949" s="7"/>
    </row>
    <row r="950" ht="15.75" customHeight="1">
      <c r="D950" s="7"/>
      <c r="E950" s="7"/>
      <c r="F950" s="7"/>
      <c r="G950" s="7"/>
      <c r="H950" s="7"/>
    </row>
    <row r="951" ht="15.75" customHeight="1">
      <c r="D951" s="7"/>
      <c r="E951" s="7"/>
      <c r="F951" s="7"/>
      <c r="G951" s="7"/>
      <c r="H951" s="7"/>
    </row>
    <row r="952" ht="15.75" customHeight="1">
      <c r="D952" s="7"/>
      <c r="E952" s="7"/>
      <c r="F952" s="7"/>
      <c r="G952" s="7"/>
      <c r="H952" s="7"/>
    </row>
    <row r="953" ht="15.75" customHeight="1">
      <c r="D953" s="7"/>
      <c r="E953" s="7"/>
      <c r="F953" s="7"/>
      <c r="G953" s="7"/>
      <c r="H953" s="7"/>
    </row>
    <row r="954" ht="15.75" customHeight="1">
      <c r="D954" s="7"/>
      <c r="E954" s="7"/>
      <c r="F954" s="7"/>
      <c r="G954" s="7"/>
      <c r="H954" s="7"/>
    </row>
    <row r="955" ht="15.75" customHeight="1">
      <c r="D955" s="7"/>
      <c r="E955" s="7"/>
      <c r="F955" s="7"/>
      <c r="G955" s="7"/>
      <c r="H955" s="7"/>
    </row>
    <row r="956" ht="15.75" customHeight="1">
      <c r="D956" s="7"/>
      <c r="E956" s="7"/>
      <c r="F956" s="7"/>
      <c r="G956" s="7"/>
      <c r="H956" s="7"/>
    </row>
    <row r="957" ht="15.75" customHeight="1">
      <c r="D957" s="7"/>
      <c r="E957" s="7"/>
      <c r="F957" s="7"/>
      <c r="G957" s="7"/>
      <c r="H957" s="7"/>
    </row>
    <row r="958" ht="15.75" customHeight="1">
      <c r="D958" s="7"/>
      <c r="E958" s="7"/>
      <c r="F958" s="7"/>
      <c r="G958" s="7"/>
      <c r="H958" s="7"/>
    </row>
    <row r="959" ht="15.75" customHeight="1">
      <c r="D959" s="7"/>
      <c r="E959" s="7"/>
      <c r="F959" s="7"/>
      <c r="G959" s="7"/>
      <c r="H959" s="7"/>
    </row>
    <row r="960" ht="15.75" customHeight="1">
      <c r="D960" s="7"/>
      <c r="E960" s="7"/>
      <c r="F960" s="7"/>
      <c r="G960" s="7"/>
      <c r="H960" s="7"/>
    </row>
    <row r="961" ht="15.75" customHeight="1">
      <c r="D961" s="7"/>
      <c r="E961" s="7"/>
      <c r="F961" s="7"/>
      <c r="G961" s="7"/>
      <c r="H961" s="7"/>
    </row>
    <row r="962" ht="15.75" customHeight="1">
      <c r="D962" s="7"/>
      <c r="E962" s="7"/>
      <c r="F962" s="7"/>
      <c r="G962" s="7"/>
      <c r="H962" s="7"/>
    </row>
    <row r="963" ht="15.75" customHeight="1">
      <c r="D963" s="7"/>
      <c r="E963" s="7"/>
      <c r="F963" s="7"/>
      <c r="G963" s="7"/>
      <c r="H963" s="7"/>
    </row>
    <row r="964" ht="15.75" customHeight="1">
      <c r="D964" s="7"/>
      <c r="E964" s="7"/>
      <c r="F964" s="7"/>
      <c r="G964" s="7"/>
      <c r="H964" s="7"/>
    </row>
    <row r="965" ht="15.75" customHeight="1">
      <c r="D965" s="7"/>
      <c r="E965" s="7"/>
      <c r="F965" s="7"/>
      <c r="G965" s="7"/>
      <c r="H965" s="7"/>
    </row>
    <row r="966" ht="15.75" customHeight="1">
      <c r="D966" s="7"/>
      <c r="E966" s="7"/>
      <c r="F966" s="7"/>
      <c r="G966" s="7"/>
      <c r="H966" s="7"/>
    </row>
    <row r="967" ht="15.75" customHeight="1">
      <c r="D967" s="7"/>
      <c r="E967" s="7"/>
      <c r="F967" s="7"/>
      <c r="G967" s="7"/>
      <c r="H967" s="7"/>
    </row>
    <row r="968" ht="15.75" customHeight="1">
      <c r="D968" s="7"/>
      <c r="E968" s="7"/>
      <c r="F968" s="7"/>
      <c r="G968" s="7"/>
      <c r="H968" s="7"/>
    </row>
    <row r="969" ht="15.75" customHeight="1">
      <c r="D969" s="7"/>
      <c r="E969" s="7"/>
      <c r="F969" s="7"/>
      <c r="G969" s="7"/>
      <c r="H969" s="7"/>
    </row>
    <row r="970" ht="15.75" customHeight="1">
      <c r="D970" s="7"/>
      <c r="E970" s="7"/>
      <c r="F970" s="7"/>
      <c r="G970" s="7"/>
      <c r="H970" s="7"/>
    </row>
    <row r="971" ht="15.75" customHeight="1">
      <c r="D971" s="7"/>
      <c r="E971" s="7"/>
      <c r="F971" s="7"/>
      <c r="G971" s="7"/>
      <c r="H971" s="7"/>
    </row>
    <row r="972" ht="15.75" customHeight="1">
      <c r="D972" s="7"/>
      <c r="E972" s="7"/>
      <c r="F972" s="7"/>
      <c r="G972" s="7"/>
      <c r="H972" s="7"/>
    </row>
    <row r="973" ht="15.75" customHeight="1">
      <c r="D973" s="7"/>
      <c r="E973" s="7"/>
      <c r="F973" s="7"/>
      <c r="G973" s="7"/>
      <c r="H973" s="7"/>
    </row>
    <row r="974" ht="15.75" customHeight="1">
      <c r="D974" s="7"/>
      <c r="E974" s="7"/>
      <c r="F974" s="7"/>
      <c r="G974" s="7"/>
      <c r="H974" s="7"/>
    </row>
    <row r="975" ht="15.75" customHeight="1">
      <c r="D975" s="7"/>
      <c r="E975" s="7"/>
      <c r="F975" s="7"/>
      <c r="G975" s="7"/>
      <c r="H975" s="7"/>
    </row>
    <row r="976" ht="15.75" customHeight="1">
      <c r="D976" s="7"/>
      <c r="E976" s="7"/>
      <c r="F976" s="7"/>
      <c r="G976" s="7"/>
      <c r="H976" s="7"/>
    </row>
    <row r="977" ht="15.75" customHeight="1">
      <c r="D977" s="7"/>
      <c r="E977" s="7"/>
      <c r="F977" s="7"/>
      <c r="G977" s="7"/>
      <c r="H977" s="7"/>
    </row>
    <row r="978" ht="15.75" customHeight="1">
      <c r="D978" s="7"/>
      <c r="E978" s="7"/>
      <c r="F978" s="7"/>
      <c r="G978" s="7"/>
      <c r="H978" s="7"/>
    </row>
    <row r="979" ht="15.75" customHeight="1">
      <c r="D979" s="7"/>
      <c r="E979" s="7"/>
      <c r="F979" s="7"/>
      <c r="G979" s="7"/>
      <c r="H979" s="7"/>
    </row>
    <row r="980" ht="15.75" customHeight="1">
      <c r="D980" s="7"/>
      <c r="E980" s="7"/>
      <c r="F980" s="7"/>
      <c r="G980" s="7"/>
      <c r="H980" s="7"/>
    </row>
    <row r="981" ht="15.75" customHeight="1">
      <c r="D981" s="7"/>
      <c r="E981" s="7"/>
      <c r="F981" s="7"/>
      <c r="G981" s="7"/>
      <c r="H981" s="7"/>
    </row>
    <row r="982" ht="15.75" customHeight="1">
      <c r="D982" s="7"/>
      <c r="E982" s="7"/>
      <c r="F982" s="7"/>
      <c r="G982" s="7"/>
      <c r="H982" s="7"/>
    </row>
    <row r="983" ht="15.75" customHeight="1">
      <c r="D983" s="7"/>
      <c r="E983" s="7"/>
      <c r="F983" s="7"/>
      <c r="G983" s="7"/>
      <c r="H983" s="7"/>
    </row>
    <row r="984" ht="15.75" customHeight="1">
      <c r="D984" s="7"/>
      <c r="E984" s="7"/>
      <c r="F984" s="7"/>
      <c r="G984" s="7"/>
      <c r="H984" s="7"/>
    </row>
    <row r="985" ht="15.75" customHeight="1">
      <c r="D985" s="7"/>
      <c r="E985" s="7"/>
      <c r="F985" s="7"/>
      <c r="G985" s="7"/>
      <c r="H985" s="7"/>
    </row>
    <row r="986" ht="15.75" customHeight="1">
      <c r="D986" s="7"/>
      <c r="E986" s="7"/>
      <c r="F986" s="7"/>
      <c r="G986" s="7"/>
      <c r="H986" s="7"/>
    </row>
    <row r="987" ht="15.75" customHeight="1">
      <c r="D987" s="7"/>
      <c r="E987" s="7"/>
      <c r="F987" s="7"/>
      <c r="G987" s="7"/>
      <c r="H987" s="7"/>
    </row>
    <row r="988" ht="15.75" customHeight="1">
      <c r="D988" s="7"/>
      <c r="E988" s="7"/>
      <c r="F988" s="7"/>
      <c r="G988" s="7"/>
      <c r="H988" s="7"/>
    </row>
    <row r="989" ht="15.75" customHeight="1">
      <c r="D989" s="7"/>
      <c r="E989" s="7"/>
      <c r="F989" s="7"/>
      <c r="G989" s="7"/>
      <c r="H989" s="7"/>
    </row>
    <row r="990" ht="15.75" customHeight="1">
      <c r="D990" s="7"/>
      <c r="E990" s="7"/>
      <c r="F990" s="7"/>
      <c r="G990" s="7"/>
      <c r="H990" s="7"/>
    </row>
    <row r="991" ht="15.75" customHeight="1">
      <c r="D991" s="7"/>
      <c r="E991" s="7"/>
      <c r="F991" s="7"/>
      <c r="G991" s="7"/>
      <c r="H991" s="7"/>
    </row>
    <row r="992" ht="15.75" customHeight="1">
      <c r="D992" s="7"/>
      <c r="E992" s="7"/>
      <c r="F992" s="7"/>
      <c r="G992" s="7"/>
      <c r="H992" s="7"/>
    </row>
    <row r="993" ht="15.75" customHeight="1">
      <c r="D993" s="7"/>
      <c r="E993" s="7"/>
      <c r="F993" s="7"/>
      <c r="G993" s="7"/>
      <c r="H993" s="7"/>
    </row>
    <row r="994" ht="15.75" customHeight="1">
      <c r="D994" s="7"/>
      <c r="E994" s="7"/>
      <c r="F994" s="7"/>
      <c r="G994" s="7"/>
      <c r="H994" s="7"/>
    </row>
    <row r="995" ht="15.75" customHeight="1">
      <c r="D995" s="7"/>
      <c r="E995" s="7"/>
      <c r="F995" s="7"/>
      <c r="G995" s="7"/>
      <c r="H995" s="7"/>
    </row>
    <row r="996" ht="15.75" customHeight="1">
      <c r="D996" s="7"/>
      <c r="E996" s="7"/>
      <c r="F996" s="7"/>
      <c r="G996" s="7"/>
      <c r="H996" s="7"/>
    </row>
    <row r="997" ht="15.75" customHeight="1">
      <c r="D997" s="7"/>
      <c r="E997" s="7"/>
      <c r="F997" s="7"/>
      <c r="G997" s="7"/>
      <c r="H997" s="7"/>
    </row>
    <row r="998" ht="15.75" customHeight="1">
      <c r="D998" s="7"/>
      <c r="E998" s="7"/>
      <c r="F998" s="7"/>
      <c r="G998" s="7"/>
      <c r="H998" s="7"/>
    </row>
    <row r="999" ht="15.75" customHeight="1">
      <c r="D999" s="7"/>
      <c r="E999" s="7"/>
      <c r="F999" s="7"/>
      <c r="G999" s="7"/>
      <c r="H999" s="7"/>
    </row>
    <row r="1000" ht="15.75" customHeight="1">
      <c r="D1000" s="7"/>
      <c r="E1000" s="7"/>
      <c r="F1000" s="7"/>
      <c r="G1000" s="7"/>
      <c r="H1000" s="7"/>
    </row>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7.63"/>
    <col customWidth="1" min="3" max="3" width="23.13"/>
    <col customWidth="1" min="4" max="4" width="24.0"/>
    <col customWidth="1" min="5" max="5" width="34.0"/>
    <col customWidth="1" min="6" max="6" width="34.75"/>
    <col customWidth="1" min="7" max="7" width="30.38"/>
    <col customWidth="1" min="8" max="8" width="36.13"/>
    <col customWidth="1" min="9" max="9" width="51.0"/>
    <col customWidth="1" min="10" max="11" width="38.13"/>
    <col customWidth="1" min="12" max="20" width="7.63"/>
  </cols>
  <sheetData>
    <row r="1">
      <c r="A1" s="55" t="s">
        <v>42</v>
      </c>
      <c r="B1" s="55" t="s">
        <v>43</v>
      </c>
      <c r="C1" s="55" t="s">
        <v>44</v>
      </c>
      <c r="D1" s="55" t="s">
        <v>3</v>
      </c>
      <c r="E1" s="55" t="s">
        <v>4</v>
      </c>
      <c r="F1" s="55" t="s">
        <v>5</v>
      </c>
      <c r="G1" s="55" t="s">
        <v>6</v>
      </c>
      <c r="H1" s="55" t="s">
        <v>1406</v>
      </c>
      <c r="I1" s="55" t="s">
        <v>1407</v>
      </c>
      <c r="J1" s="56" t="s">
        <v>1408</v>
      </c>
    </row>
    <row r="2">
      <c r="A2" s="44" t="s">
        <v>52</v>
      </c>
      <c r="B2" s="44" t="s">
        <v>452</v>
      </c>
      <c r="C2" s="44" t="s">
        <v>453</v>
      </c>
      <c r="D2" s="44">
        <v>0.667</v>
      </c>
      <c r="E2" s="44">
        <v>0.827</v>
      </c>
      <c r="F2" s="44">
        <v>1.0</v>
      </c>
      <c r="G2" s="44">
        <v>1.0</v>
      </c>
      <c r="H2" s="44" t="s">
        <v>14</v>
      </c>
      <c r="I2" s="44" t="s">
        <v>1560</v>
      </c>
      <c r="J2" s="44" t="s">
        <v>40</v>
      </c>
    </row>
    <row r="3">
      <c r="A3" s="44" t="s">
        <v>55</v>
      </c>
      <c r="B3" s="44" t="s">
        <v>454</v>
      </c>
      <c r="C3" s="44" t="s">
        <v>455</v>
      </c>
      <c r="D3" s="44">
        <v>0.0</v>
      </c>
      <c r="E3" s="44">
        <v>1.0</v>
      </c>
      <c r="F3" s="44">
        <v>1.0</v>
      </c>
      <c r="G3" s="44">
        <v>1.0</v>
      </c>
      <c r="H3" s="44" t="s">
        <v>14</v>
      </c>
      <c r="I3" s="44" t="s">
        <v>1561</v>
      </c>
      <c r="J3" s="44" t="s">
        <v>40</v>
      </c>
    </row>
    <row r="4">
      <c r="A4" s="44" t="s">
        <v>58</v>
      </c>
      <c r="B4" s="44" t="s">
        <v>456</v>
      </c>
      <c r="C4" s="44" t="s">
        <v>457</v>
      </c>
      <c r="D4" s="44">
        <v>0.619</v>
      </c>
      <c r="E4" s="44">
        <v>0.913</v>
      </c>
      <c r="F4" s="44">
        <v>0.833</v>
      </c>
      <c r="G4" s="44">
        <v>1.0</v>
      </c>
      <c r="H4" s="44" t="s">
        <v>14</v>
      </c>
      <c r="I4" s="44" t="s">
        <v>1562</v>
      </c>
      <c r="J4" s="44" t="s">
        <v>40</v>
      </c>
    </row>
    <row r="5">
      <c r="A5" s="44" t="s">
        <v>64</v>
      </c>
      <c r="B5" s="44" t="s">
        <v>460</v>
      </c>
      <c r="C5" s="44" t="s">
        <v>461</v>
      </c>
      <c r="D5" s="44">
        <v>0.692</v>
      </c>
      <c r="E5" s="44">
        <v>0.894</v>
      </c>
      <c r="F5" s="44">
        <v>0.833</v>
      </c>
      <c r="G5" s="44">
        <v>1.0</v>
      </c>
      <c r="H5" s="44" t="s">
        <v>14</v>
      </c>
      <c r="I5" s="44" t="s">
        <v>1563</v>
      </c>
      <c r="J5" s="44" t="s">
        <v>40</v>
      </c>
    </row>
    <row r="6">
      <c r="A6" s="44" t="s">
        <v>67</v>
      </c>
      <c r="B6" s="44" t="s">
        <v>462</v>
      </c>
      <c r="C6" s="44" t="s">
        <v>463</v>
      </c>
      <c r="D6" s="44">
        <v>0.643</v>
      </c>
      <c r="E6" s="44">
        <v>0.883</v>
      </c>
      <c r="F6" s="44">
        <v>0.583</v>
      </c>
      <c r="G6" s="44">
        <v>1.0</v>
      </c>
      <c r="H6" s="44" t="s">
        <v>14</v>
      </c>
      <c r="I6" s="44" t="s">
        <v>1564</v>
      </c>
      <c r="J6" s="44" t="s">
        <v>40</v>
      </c>
    </row>
    <row r="7">
      <c r="A7" s="44" t="s">
        <v>70</v>
      </c>
      <c r="B7" s="44" t="s">
        <v>464</v>
      </c>
      <c r="C7" s="44" t="s">
        <v>465</v>
      </c>
      <c r="D7" s="44">
        <v>1.0</v>
      </c>
      <c r="E7" s="44">
        <v>0.771</v>
      </c>
      <c r="F7" s="44">
        <v>0.333</v>
      </c>
      <c r="G7" s="44">
        <v>1.0</v>
      </c>
      <c r="H7" s="44" t="s">
        <v>14</v>
      </c>
      <c r="I7" s="44" t="s">
        <v>1565</v>
      </c>
      <c r="J7" s="44" t="s">
        <v>40</v>
      </c>
    </row>
    <row r="8">
      <c r="A8" s="44" t="s">
        <v>79</v>
      </c>
      <c r="B8" s="44" t="s">
        <v>470</v>
      </c>
      <c r="C8" s="44" t="s">
        <v>471</v>
      </c>
      <c r="D8" s="44">
        <v>0.778</v>
      </c>
      <c r="E8" s="44">
        <v>1.0</v>
      </c>
      <c r="F8" s="44">
        <v>0.583</v>
      </c>
      <c r="G8" s="44">
        <v>0.0</v>
      </c>
      <c r="H8" s="44" t="s">
        <v>14</v>
      </c>
      <c r="I8" s="44" t="s">
        <v>1566</v>
      </c>
      <c r="J8" s="44" t="s">
        <v>40</v>
      </c>
    </row>
    <row r="9">
      <c r="A9" s="44" t="s">
        <v>91</v>
      </c>
      <c r="B9" s="44" t="s">
        <v>478</v>
      </c>
      <c r="C9" s="44" t="s">
        <v>479</v>
      </c>
      <c r="D9" s="44">
        <v>1.0</v>
      </c>
      <c r="E9" s="44">
        <v>0.99</v>
      </c>
      <c r="F9" s="44">
        <v>1.0</v>
      </c>
      <c r="G9" s="44">
        <v>0.8</v>
      </c>
      <c r="H9" s="44" t="s">
        <v>14</v>
      </c>
      <c r="I9" s="44" t="s">
        <v>1567</v>
      </c>
      <c r="J9" s="44" t="s">
        <v>40</v>
      </c>
    </row>
    <row r="10">
      <c r="A10" s="44" t="s">
        <v>100</v>
      </c>
      <c r="B10" s="44" t="s">
        <v>484</v>
      </c>
      <c r="C10" s="44" t="s">
        <v>485</v>
      </c>
      <c r="D10" s="44">
        <v>0.706</v>
      </c>
      <c r="E10" s="44">
        <v>0.788</v>
      </c>
      <c r="F10" s="44">
        <v>0.0</v>
      </c>
      <c r="G10" s="44">
        <v>0.0</v>
      </c>
      <c r="H10" s="44" t="s">
        <v>14</v>
      </c>
      <c r="I10" s="44" t="s">
        <v>1568</v>
      </c>
      <c r="J10" s="44" t="s">
        <v>40</v>
      </c>
    </row>
    <row r="11">
      <c r="A11" s="44" t="s">
        <v>115</v>
      </c>
      <c r="B11" s="44" t="s">
        <v>486</v>
      </c>
      <c r="C11" s="44" t="s">
        <v>487</v>
      </c>
      <c r="D11" s="44">
        <v>0.5</v>
      </c>
      <c r="E11" s="44">
        <v>0.994</v>
      </c>
      <c r="F11" s="44">
        <v>0.833</v>
      </c>
      <c r="G11" s="44">
        <v>1.0</v>
      </c>
      <c r="H11" s="44" t="s">
        <v>14</v>
      </c>
      <c r="I11" s="44" t="s">
        <v>1569</v>
      </c>
      <c r="J11" s="44" t="s">
        <v>40</v>
      </c>
    </row>
    <row r="12">
      <c r="A12" s="44" t="s">
        <v>103</v>
      </c>
      <c r="B12" s="44" t="s">
        <v>488</v>
      </c>
      <c r="C12" s="44" t="s">
        <v>489</v>
      </c>
      <c r="D12" s="44">
        <v>0.833</v>
      </c>
      <c r="E12" s="44">
        <v>0.987</v>
      </c>
      <c r="F12" s="44">
        <v>1.0</v>
      </c>
      <c r="G12" s="44">
        <v>1.0</v>
      </c>
      <c r="H12" s="44" t="s">
        <v>15</v>
      </c>
      <c r="I12" s="44" t="s">
        <v>1570</v>
      </c>
      <c r="J12" s="44" t="s">
        <v>40</v>
      </c>
    </row>
    <row r="13">
      <c r="A13" s="44" t="s">
        <v>118</v>
      </c>
      <c r="B13" s="44" t="s">
        <v>496</v>
      </c>
      <c r="C13" s="44" t="s">
        <v>497</v>
      </c>
      <c r="D13" s="44">
        <v>0.333</v>
      </c>
      <c r="E13" s="44">
        <v>0.744</v>
      </c>
      <c r="F13" s="44">
        <v>0.833</v>
      </c>
      <c r="G13" s="44">
        <v>0.75</v>
      </c>
      <c r="H13" s="44" t="s">
        <v>15</v>
      </c>
      <c r="I13" s="44" t="s">
        <v>1571</v>
      </c>
      <c r="J13" s="44" t="s">
        <v>40</v>
      </c>
    </row>
    <row r="14">
      <c r="A14" s="44" t="s">
        <v>127</v>
      </c>
      <c r="B14" s="44" t="s">
        <v>502</v>
      </c>
      <c r="C14" s="44" t="s">
        <v>503</v>
      </c>
      <c r="D14" s="44">
        <v>0.692</v>
      </c>
      <c r="E14" s="44">
        <v>0.979</v>
      </c>
      <c r="F14" s="44">
        <v>0.833</v>
      </c>
      <c r="G14" s="44">
        <v>0.75</v>
      </c>
      <c r="H14" s="44" t="s">
        <v>15</v>
      </c>
      <c r="I14" s="44" t="s">
        <v>1572</v>
      </c>
      <c r="J14" s="44" t="s">
        <v>40</v>
      </c>
    </row>
    <row r="15">
      <c r="A15" s="44" t="s">
        <v>136</v>
      </c>
      <c r="B15" s="44" t="s">
        <v>508</v>
      </c>
      <c r="C15" s="44" t="s">
        <v>509</v>
      </c>
      <c r="D15" s="44">
        <v>1.0</v>
      </c>
      <c r="E15" s="44">
        <v>0.976</v>
      </c>
      <c r="F15" s="44">
        <v>1.0</v>
      </c>
      <c r="G15" s="44">
        <v>1.0</v>
      </c>
      <c r="H15" s="44" t="s">
        <v>15</v>
      </c>
      <c r="I15" s="44" t="s">
        <v>1573</v>
      </c>
      <c r="J15" s="44" t="s">
        <v>40</v>
      </c>
    </row>
    <row r="16">
      <c r="A16" s="44" t="s">
        <v>142</v>
      </c>
      <c r="B16" s="44" t="s">
        <v>512</v>
      </c>
      <c r="C16" s="44" t="s">
        <v>513</v>
      </c>
      <c r="D16" s="44">
        <v>0.6</v>
      </c>
      <c r="E16" s="44">
        <v>0.0</v>
      </c>
      <c r="F16" s="44">
        <v>0.0</v>
      </c>
      <c r="G16" s="44">
        <v>0.0</v>
      </c>
      <c r="H16" s="44" t="s">
        <v>15</v>
      </c>
      <c r="I16" s="44" t="s">
        <v>1574</v>
      </c>
      <c r="J16" s="44" t="s">
        <v>40</v>
      </c>
    </row>
    <row r="17">
      <c r="A17" s="44" t="s">
        <v>151</v>
      </c>
      <c r="B17" s="44" t="s">
        <v>518</v>
      </c>
      <c r="C17" s="44" t="s">
        <v>519</v>
      </c>
      <c r="D17" s="44">
        <v>0.857</v>
      </c>
      <c r="E17" s="44">
        <v>0.888</v>
      </c>
      <c r="F17" s="44">
        <v>1.0</v>
      </c>
      <c r="G17" s="44">
        <v>0.857</v>
      </c>
      <c r="H17" s="44" t="s">
        <v>15</v>
      </c>
      <c r="I17" s="44" t="s">
        <v>1575</v>
      </c>
      <c r="J17" s="44" t="s">
        <v>40</v>
      </c>
    </row>
    <row r="18">
      <c r="A18" s="44" t="s">
        <v>160</v>
      </c>
      <c r="B18" s="44" t="s">
        <v>524</v>
      </c>
      <c r="C18" s="44" t="s">
        <v>525</v>
      </c>
      <c r="D18" s="44">
        <v>0.636</v>
      </c>
      <c r="E18" s="44">
        <v>0.727</v>
      </c>
      <c r="F18" s="44">
        <v>1.0</v>
      </c>
      <c r="G18" s="44">
        <v>1.0</v>
      </c>
      <c r="H18" s="44" t="s">
        <v>15</v>
      </c>
      <c r="I18" s="44" t="s">
        <v>1576</v>
      </c>
      <c r="J18" s="44" t="s">
        <v>40</v>
      </c>
    </row>
    <row r="19">
      <c r="A19" s="44" t="s">
        <v>169</v>
      </c>
      <c r="B19" s="44" t="s">
        <v>530</v>
      </c>
      <c r="C19" s="44" t="s">
        <v>531</v>
      </c>
      <c r="D19" s="44">
        <v>0.667</v>
      </c>
      <c r="E19" s="44">
        <v>0.693</v>
      </c>
      <c r="F19" s="44">
        <v>0.583</v>
      </c>
      <c r="G19" s="44">
        <v>1.0</v>
      </c>
      <c r="H19" s="44" t="s">
        <v>16</v>
      </c>
      <c r="I19" s="44" t="s">
        <v>1577</v>
      </c>
      <c r="J19" s="44" t="s">
        <v>40</v>
      </c>
    </row>
    <row r="20">
      <c r="A20" s="44" t="s">
        <v>172</v>
      </c>
      <c r="B20" s="44" t="s">
        <v>532</v>
      </c>
      <c r="C20" s="44" t="s">
        <v>533</v>
      </c>
      <c r="D20" s="44">
        <v>0.909</v>
      </c>
      <c r="E20" s="44">
        <v>0.911</v>
      </c>
      <c r="F20" s="44">
        <v>0.0</v>
      </c>
      <c r="G20" s="44">
        <v>0.125</v>
      </c>
      <c r="H20" s="44" t="s">
        <v>16</v>
      </c>
      <c r="I20" s="44" t="s">
        <v>1578</v>
      </c>
      <c r="J20" s="44" t="s">
        <v>40</v>
      </c>
    </row>
    <row r="21" ht="15.75" customHeight="1">
      <c r="A21" s="44" t="s">
        <v>181</v>
      </c>
      <c r="B21" s="44" t="s">
        <v>538</v>
      </c>
      <c r="C21" s="44" t="s">
        <v>539</v>
      </c>
      <c r="D21" s="44">
        <v>0.533</v>
      </c>
      <c r="E21" s="44">
        <v>0.859</v>
      </c>
      <c r="F21" s="44">
        <v>1.0</v>
      </c>
      <c r="G21" s="44">
        <v>0.571</v>
      </c>
      <c r="H21" s="44" t="s">
        <v>16</v>
      </c>
      <c r="I21" s="44" t="s">
        <v>1579</v>
      </c>
      <c r="J21" s="44" t="s">
        <v>40</v>
      </c>
    </row>
    <row r="22" ht="15.75" customHeight="1">
      <c r="A22" s="44" t="s">
        <v>190</v>
      </c>
      <c r="B22" s="44" t="s">
        <v>544</v>
      </c>
      <c r="C22" s="44" t="s">
        <v>545</v>
      </c>
      <c r="D22" s="44">
        <v>0.571</v>
      </c>
      <c r="E22" s="44">
        <v>0.801</v>
      </c>
      <c r="F22" s="44">
        <v>1.0</v>
      </c>
      <c r="G22" s="44">
        <v>0.667</v>
      </c>
      <c r="H22" s="44" t="s">
        <v>16</v>
      </c>
      <c r="I22" s="44" t="s">
        <v>1580</v>
      </c>
      <c r="J22" s="44" t="s">
        <v>40</v>
      </c>
    </row>
    <row r="23" ht="15.75" customHeight="1">
      <c r="A23" s="44" t="s">
        <v>202</v>
      </c>
      <c r="B23" s="44" t="s">
        <v>552</v>
      </c>
      <c r="C23" s="44" t="s">
        <v>553</v>
      </c>
      <c r="D23" s="44">
        <v>0.889</v>
      </c>
      <c r="E23" s="44">
        <v>0.708</v>
      </c>
      <c r="F23" s="44">
        <v>0.5</v>
      </c>
      <c r="G23" s="44">
        <v>1.0</v>
      </c>
      <c r="H23" s="44" t="s">
        <v>16</v>
      </c>
      <c r="I23" s="44" t="s">
        <v>1581</v>
      </c>
      <c r="J23" s="44" t="s">
        <v>40</v>
      </c>
    </row>
    <row r="24" ht="15.75" customHeight="1">
      <c r="A24" s="44" t="s">
        <v>205</v>
      </c>
      <c r="B24" s="44" t="s">
        <v>554</v>
      </c>
      <c r="C24" s="44" t="s">
        <v>555</v>
      </c>
      <c r="D24" s="44">
        <v>1.0</v>
      </c>
      <c r="E24" s="44">
        <v>1.0</v>
      </c>
      <c r="F24" s="44">
        <v>1.0</v>
      </c>
      <c r="G24" s="44">
        <v>1.0</v>
      </c>
      <c r="H24" s="44" t="s">
        <v>16</v>
      </c>
      <c r="I24" s="44" t="s">
        <v>1582</v>
      </c>
      <c r="J24" s="44" t="s">
        <v>40</v>
      </c>
    </row>
    <row r="25" ht="15.75" customHeight="1">
      <c r="A25" s="44" t="s">
        <v>208</v>
      </c>
      <c r="B25" s="44" t="s">
        <v>556</v>
      </c>
      <c r="C25" s="44" t="s">
        <v>557</v>
      </c>
      <c r="D25" s="44">
        <v>0.923</v>
      </c>
      <c r="E25" s="44">
        <v>0.681</v>
      </c>
      <c r="F25" s="44">
        <v>0.583</v>
      </c>
      <c r="G25" s="44">
        <v>1.0</v>
      </c>
      <c r="H25" s="44" t="s">
        <v>16</v>
      </c>
      <c r="I25" s="44" t="s">
        <v>1583</v>
      </c>
      <c r="J25" s="44" t="s">
        <v>40</v>
      </c>
    </row>
    <row r="26" ht="15.75" customHeight="1">
      <c r="A26" s="44" t="s">
        <v>211</v>
      </c>
      <c r="B26" s="44" t="s">
        <v>558</v>
      </c>
      <c r="C26" s="44" t="s">
        <v>559</v>
      </c>
      <c r="D26" s="44">
        <v>0.625</v>
      </c>
      <c r="E26" s="44">
        <v>0.796</v>
      </c>
      <c r="F26" s="44">
        <v>0.5</v>
      </c>
      <c r="G26" s="44">
        <v>1.0</v>
      </c>
      <c r="H26" s="44" t="s">
        <v>16</v>
      </c>
      <c r="I26" s="44" t="s">
        <v>1584</v>
      </c>
      <c r="J26" s="44" t="s">
        <v>40</v>
      </c>
    </row>
    <row r="27" ht="15.75" customHeight="1">
      <c r="A27" s="44" t="s">
        <v>214</v>
      </c>
      <c r="B27" s="44" t="s">
        <v>560</v>
      </c>
      <c r="C27" s="44" t="s">
        <v>561</v>
      </c>
      <c r="D27" s="44">
        <v>0.462</v>
      </c>
      <c r="E27" s="44">
        <v>0.759</v>
      </c>
      <c r="F27" s="44">
        <v>0.333</v>
      </c>
      <c r="G27" s="44">
        <v>1.0</v>
      </c>
      <c r="H27" s="44" t="s">
        <v>16</v>
      </c>
      <c r="I27" s="44" t="s">
        <v>1585</v>
      </c>
      <c r="J27" s="44" t="s">
        <v>40</v>
      </c>
    </row>
    <row r="28" ht="15.75" customHeight="1">
      <c r="A28" s="44" t="s">
        <v>217</v>
      </c>
      <c r="B28" s="44" t="s">
        <v>562</v>
      </c>
      <c r="C28" s="44" t="s">
        <v>563</v>
      </c>
      <c r="D28" s="44">
        <v>0.6</v>
      </c>
      <c r="E28" s="44">
        <v>0.803</v>
      </c>
      <c r="F28" s="44">
        <v>0.0</v>
      </c>
      <c r="G28" s="44">
        <v>0.0</v>
      </c>
      <c r="H28" s="44" t="s">
        <v>16</v>
      </c>
      <c r="I28" s="44" t="s">
        <v>1586</v>
      </c>
      <c r="J28" s="44" t="s">
        <v>40</v>
      </c>
    </row>
    <row r="29" ht="15.75" customHeight="1">
      <c r="A29" s="44" t="s">
        <v>223</v>
      </c>
      <c r="B29" s="44" t="s">
        <v>566</v>
      </c>
      <c r="C29" s="44" t="s">
        <v>567</v>
      </c>
      <c r="D29" s="44">
        <v>0.909</v>
      </c>
      <c r="E29" s="44">
        <v>0.687</v>
      </c>
      <c r="F29" s="44">
        <v>1.0</v>
      </c>
      <c r="G29" s="44">
        <v>1.0</v>
      </c>
      <c r="H29" s="44" t="s">
        <v>16</v>
      </c>
      <c r="I29" s="44" t="s">
        <v>1587</v>
      </c>
      <c r="J29" s="44" t="s">
        <v>40</v>
      </c>
    </row>
    <row r="30" ht="15.75" customHeight="1">
      <c r="A30" s="44" t="s">
        <v>235</v>
      </c>
      <c r="B30" s="44" t="s">
        <v>574</v>
      </c>
      <c r="C30" s="44" t="s">
        <v>575</v>
      </c>
      <c r="D30" s="44">
        <v>1.0</v>
      </c>
      <c r="E30" s="44">
        <v>1.0</v>
      </c>
      <c r="F30" s="44">
        <v>1.0</v>
      </c>
      <c r="G30" s="44">
        <v>0.833</v>
      </c>
      <c r="H30" s="44" t="s">
        <v>17</v>
      </c>
      <c r="I30" s="44" t="s">
        <v>1588</v>
      </c>
      <c r="J30" s="44" t="s">
        <v>40</v>
      </c>
    </row>
    <row r="31" ht="15.75" customHeight="1">
      <c r="A31" s="44" t="s">
        <v>244</v>
      </c>
      <c r="B31" s="44" t="s">
        <v>580</v>
      </c>
      <c r="C31" s="44" t="s">
        <v>581</v>
      </c>
      <c r="D31" s="44">
        <v>0.615</v>
      </c>
      <c r="E31" s="44">
        <v>0.998</v>
      </c>
      <c r="F31" s="44">
        <v>1.0</v>
      </c>
      <c r="G31" s="44">
        <v>0.8</v>
      </c>
      <c r="H31" s="44" t="s">
        <v>17</v>
      </c>
      <c r="I31" s="44" t="s">
        <v>1589</v>
      </c>
      <c r="J31" s="44" t="s">
        <v>40</v>
      </c>
    </row>
    <row r="32" ht="15.75" customHeight="1">
      <c r="A32" s="44" t="s">
        <v>259</v>
      </c>
      <c r="B32" s="44" t="s">
        <v>590</v>
      </c>
      <c r="C32" s="44" t="s">
        <v>591</v>
      </c>
      <c r="D32" s="44">
        <v>0.667</v>
      </c>
      <c r="E32" s="44">
        <v>0.588</v>
      </c>
      <c r="F32" s="44">
        <v>0.333</v>
      </c>
      <c r="G32" s="44">
        <v>1.0</v>
      </c>
      <c r="H32" s="44" t="s">
        <v>17</v>
      </c>
      <c r="I32" s="44" t="s">
        <v>1590</v>
      </c>
      <c r="J32" s="44" t="s">
        <v>40</v>
      </c>
    </row>
    <row r="33" ht="15.75" customHeight="1">
      <c r="A33" s="44" t="s">
        <v>262</v>
      </c>
      <c r="B33" s="44" t="s">
        <v>592</v>
      </c>
      <c r="C33" s="44" t="s">
        <v>593</v>
      </c>
      <c r="D33" s="44">
        <v>0.5</v>
      </c>
      <c r="E33" s="44">
        <v>1.0</v>
      </c>
      <c r="F33" s="44">
        <v>1.0</v>
      </c>
      <c r="G33" s="44">
        <v>1.0</v>
      </c>
      <c r="H33" s="44" t="s">
        <v>17</v>
      </c>
      <c r="I33" s="44" t="s">
        <v>1591</v>
      </c>
      <c r="J33" s="44" t="s">
        <v>40</v>
      </c>
    </row>
    <row r="34" ht="15.75" customHeight="1">
      <c r="A34" s="44" t="s">
        <v>283</v>
      </c>
      <c r="B34" s="44" t="s">
        <v>606</v>
      </c>
      <c r="C34" s="44" t="s">
        <v>607</v>
      </c>
      <c r="D34" s="44">
        <v>0.778</v>
      </c>
      <c r="E34" s="44">
        <v>0.902</v>
      </c>
      <c r="F34" s="44">
        <v>1.0</v>
      </c>
      <c r="G34" s="44">
        <v>0.75</v>
      </c>
      <c r="H34" s="44" t="s">
        <v>17</v>
      </c>
      <c r="I34" s="44" t="s">
        <v>1592</v>
      </c>
      <c r="J34" s="44" t="s">
        <v>40</v>
      </c>
    </row>
    <row r="35" ht="15.75" customHeight="1">
      <c r="A35" s="44" t="s">
        <v>46</v>
      </c>
      <c r="B35" s="44" t="s">
        <v>286</v>
      </c>
      <c r="C35" s="44" t="s">
        <v>287</v>
      </c>
      <c r="D35" s="44">
        <v>1.0</v>
      </c>
      <c r="E35" s="44">
        <v>0.954</v>
      </c>
      <c r="F35" s="44">
        <v>0.867</v>
      </c>
      <c r="G35" s="44">
        <v>0.8</v>
      </c>
      <c r="H35" s="44" t="s">
        <v>14</v>
      </c>
      <c r="I35" s="44" t="s">
        <v>1593</v>
      </c>
      <c r="J35" s="44" t="s">
        <v>40</v>
      </c>
    </row>
    <row r="36" ht="15.75" customHeight="1">
      <c r="A36" s="44" t="s">
        <v>61</v>
      </c>
      <c r="B36" s="44" t="s">
        <v>296</v>
      </c>
      <c r="C36" s="44" t="s">
        <v>297</v>
      </c>
      <c r="D36" s="44">
        <v>1.0</v>
      </c>
      <c r="E36" s="44">
        <v>0.976</v>
      </c>
      <c r="F36" s="44">
        <v>0.95</v>
      </c>
      <c r="G36" s="44">
        <v>1.0</v>
      </c>
      <c r="H36" s="44" t="s">
        <v>14</v>
      </c>
      <c r="I36" s="44" t="s">
        <v>1594</v>
      </c>
      <c r="J36" s="44" t="s">
        <v>40</v>
      </c>
    </row>
    <row r="37" ht="15.75" customHeight="1">
      <c r="A37" s="44" t="s">
        <v>64</v>
      </c>
      <c r="B37" s="44" t="s">
        <v>298</v>
      </c>
      <c r="C37" s="44" t="s">
        <v>299</v>
      </c>
      <c r="D37" s="44">
        <v>0.5</v>
      </c>
      <c r="E37" s="44">
        <v>0.471</v>
      </c>
      <c r="F37" s="44">
        <v>0.0</v>
      </c>
      <c r="G37" s="44">
        <v>0.833</v>
      </c>
      <c r="H37" s="44" t="s">
        <v>14</v>
      </c>
      <c r="I37" s="44" t="s">
        <v>1595</v>
      </c>
      <c r="J37" s="44" t="s">
        <v>40</v>
      </c>
    </row>
    <row r="38" ht="15.75" customHeight="1">
      <c r="A38" s="44" t="s">
        <v>67</v>
      </c>
      <c r="B38" s="44" t="s">
        <v>300</v>
      </c>
      <c r="C38" s="44" t="s">
        <v>301</v>
      </c>
      <c r="D38" s="44">
        <v>0.533</v>
      </c>
      <c r="E38" s="44">
        <v>0.83</v>
      </c>
      <c r="F38" s="44">
        <v>0.917</v>
      </c>
      <c r="G38" s="44">
        <v>0.667</v>
      </c>
      <c r="H38" s="44" t="s">
        <v>14</v>
      </c>
      <c r="I38" s="44" t="s">
        <v>1596</v>
      </c>
      <c r="J38" s="44" t="s">
        <v>40</v>
      </c>
    </row>
    <row r="39" ht="15.75" customHeight="1">
      <c r="A39" s="44" t="s">
        <v>82</v>
      </c>
      <c r="B39" s="44" t="s">
        <v>310</v>
      </c>
      <c r="C39" s="44" t="s">
        <v>311</v>
      </c>
      <c r="D39" s="44">
        <v>1.0</v>
      </c>
      <c r="E39" s="44">
        <v>0.634</v>
      </c>
      <c r="F39" s="44">
        <v>0.417</v>
      </c>
      <c r="G39" s="44">
        <v>1.0</v>
      </c>
      <c r="H39" s="44" t="s">
        <v>14</v>
      </c>
      <c r="I39" s="44" t="s">
        <v>1597</v>
      </c>
      <c r="J39" s="44" t="s">
        <v>40</v>
      </c>
    </row>
    <row r="40" ht="15.75" customHeight="1">
      <c r="A40" s="44" t="s">
        <v>94</v>
      </c>
      <c r="B40" s="44" t="s">
        <v>316</v>
      </c>
      <c r="C40" s="44" t="s">
        <v>317</v>
      </c>
      <c r="D40" s="44">
        <v>0.875</v>
      </c>
      <c r="E40" s="44">
        <v>0.575</v>
      </c>
      <c r="F40" s="44">
        <v>0.333</v>
      </c>
      <c r="G40" s="44">
        <v>0.3</v>
      </c>
      <c r="H40" s="44" t="s">
        <v>14</v>
      </c>
      <c r="I40" s="44" t="s">
        <v>1598</v>
      </c>
      <c r="J40" s="44" t="s">
        <v>40</v>
      </c>
    </row>
    <row r="41" ht="15.75" customHeight="1">
      <c r="A41" s="44" t="s">
        <v>91</v>
      </c>
      <c r="B41" s="44" t="s">
        <v>322</v>
      </c>
      <c r="C41" s="44" t="s">
        <v>323</v>
      </c>
      <c r="D41" s="44">
        <v>0.5</v>
      </c>
      <c r="E41" s="44">
        <v>0.99</v>
      </c>
      <c r="F41" s="44">
        <v>0.833</v>
      </c>
      <c r="G41" s="44">
        <v>1.0</v>
      </c>
      <c r="H41" s="44" t="s">
        <v>14</v>
      </c>
      <c r="I41" s="44" t="s">
        <v>1599</v>
      </c>
      <c r="J41" s="44" t="s">
        <v>40</v>
      </c>
    </row>
    <row r="42" ht="15.75" customHeight="1">
      <c r="A42" s="44" t="s">
        <v>97</v>
      </c>
      <c r="B42" s="44" t="s">
        <v>324</v>
      </c>
      <c r="C42" s="44" t="s">
        <v>325</v>
      </c>
      <c r="D42" s="44">
        <v>1.0</v>
      </c>
      <c r="E42" s="44">
        <v>0.963</v>
      </c>
      <c r="F42" s="44">
        <v>0.5</v>
      </c>
      <c r="G42" s="44">
        <v>1.0</v>
      </c>
      <c r="H42" s="44" t="s">
        <v>14</v>
      </c>
      <c r="I42" s="44" t="s">
        <v>1600</v>
      </c>
      <c r="J42" s="44" t="s">
        <v>40</v>
      </c>
    </row>
    <row r="43" ht="15.75" customHeight="1">
      <c r="A43" s="44" t="s">
        <v>103</v>
      </c>
      <c r="B43" s="44" t="s">
        <v>326</v>
      </c>
      <c r="C43" s="44" t="s">
        <v>327</v>
      </c>
      <c r="D43" s="44">
        <v>0.429</v>
      </c>
      <c r="E43" s="44">
        <v>0.987</v>
      </c>
      <c r="F43" s="44">
        <v>1.0</v>
      </c>
      <c r="G43" s="44">
        <v>0.8</v>
      </c>
      <c r="H43" s="44" t="s">
        <v>15</v>
      </c>
      <c r="I43" s="44" t="s">
        <v>1601</v>
      </c>
      <c r="J43" s="44" t="s">
        <v>40</v>
      </c>
    </row>
    <row r="44" ht="15.75" customHeight="1">
      <c r="A44" s="44" t="s">
        <v>109</v>
      </c>
      <c r="B44" s="44" t="s">
        <v>330</v>
      </c>
      <c r="C44" s="44" t="s">
        <v>331</v>
      </c>
      <c r="D44" s="44">
        <v>0.733</v>
      </c>
      <c r="E44" s="44">
        <v>0.58</v>
      </c>
      <c r="F44" s="44">
        <v>0.756</v>
      </c>
      <c r="G44" s="44">
        <v>0.833</v>
      </c>
      <c r="H44" s="44" t="s">
        <v>15</v>
      </c>
      <c r="I44" s="44" t="s">
        <v>1602</v>
      </c>
      <c r="J44" s="44" t="s">
        <v>40</v>
      </c>
    </row>
    <row r="45" ht="15.75" customHeight="1">
      <c r="A45" s="44" t="s">
        <v>118</v>
      </c>
      <c r="B45" s="44" t="s">
        <v>334</v>
      </c>
      <c r="C45" s="44" t="s">
        <v>335</v>
      </c>
      <c r="D45" s="44">
        <v>0.444</v>
      </c>
      <c r="E45" s="44">
        <v>0.728</v>
      </c>
      <c r="F45" s="44">
        <v>0.589</v>
      </c>
      <c r="G45" s="44">
        <v>1.0</v>
      </c>
      <c r="H45" s="44" t="s">
        <v>15</v>
      </c>
      <c r="I45" s="44" t="s">
        <v>1603</v>
      </c>
      <c r="J45" s="44" t="s">
        <v>40</v>
      </c>
    </row>
    <row r="46" ht="15.75" customHeight="1">
      <c r="A46" s="44" t="s">
        <v>136</v>
      </c>
      <c r="B46" s="44" t="s">
        <v>346</v>
      </c>
      <c r="C46" s="44" t="s">
        <v>347</v>
      </c>
      <c r="D46" s="44">
        <v>0.909</v>
      </c>
      <c r="E46" s="44">
        <v>0.61</v>
      </c>
      <c r="F46" s="44">
        <v>1.0</v>
      </c>
      <c r="G46" s="44">
        <v>1.0</v>
      </c>
      <c r="H46" s="44" t="s">
        <v>15</v>
      </c>
      <c r="I46" s="44" t="s">
        <v>1604</v>
      </c>
      <c r="J46" s="44" t="s">
        <v>40</v>
      </c>
    </row>
    <row r="47" ht="15.75" customHeight="1">
      <c r="A47" s="44" t="s">
        <v>142</v>
      </c>
      <c r="B47" s="44" t="s">
        <v>350</v>
      </c>
      <c r="C47" s="44" t="s">
        <v>351</v>
      </c>
      <c r="D47" s="44">
        <v>0.722</v>
      </c>
      <c r="E47" s="44">
        <v>0.486</v>
      </c>
      <c r="F47" s="44">
        <v>1.0</v>
      </c>
      <c r="G47" s="44">
        <v>1.0</v>
      </c>
      <c r="H47" s="44" t="s">
        <v>15</v>
      </c>
      <c r="I47" s="44" t="s">
        <v>1605</v>
      </c>
      <c r="J47" s="44" t="s">
        <v>40</v>
      </c>
    </row>
    <row r="48" ht="15.75" customHeight="1">
      <c r="A48" s="44" t="s">
        <v>148</v>
      </c>
      <c r="B48" s="44" t="s">
        <v>354</v>
      </c>
      <c r="C48" s="44" t="s">
        <v>355</v>
      </c>
      <c r="D48" s="44">
        <v>0.778</v>
      </c>
      <c r="E48" s="44">
        <v>0.604</v>
      </c>
      <c r="F48" s="44">
        <v>1.0</v>
      </c>
      <c r="G48" s="44">
        <v>1.0</v>
      </c>
      <c r="H48" s="44" t="s">
        <v>15</v>
      </c>
      <c r="I48" s="44" t="s">
        <v>1606</v>
      </c>
      <c r="J48" s="44" t="s">
        <v>40</v>
      </c>
    </row>
    <row r="49" ht="15.75" customHeight="1">
      <c r="A49" s="44" t="s">
        <v>151</v>
      </c>
      <c r="B49" s="44" t="s">
        <v>356</v>
      </c>
      <c r="C49" s="44" t="s">
        <v>357</v>
      </c>
      <c r="D49" s="44">
        <v>0.818</v>
      </c>
      <c r="E49" s="44">
        <v>0.888</v>
      </c>
      <c r="F49" s="44">
        <v>1.0</v>
      </c>
      <c r="G49" s="44">
        <v>0.286</v>
      </c>
      <c r="H49" s="44" t="s">
        <v>15</v>
      </c>
      <c r="I49" s="44" t="s">
        <v>1607</v>
      </c>
      <c r="J49" s="44" t="s">
        <v>40</v>
      </c>
    </row>
    <row r="50" ht="15.75" customHeight="1">
      <c r="A50" s="44" t="s">
        <v>160</v>
      </c>
      <c r="B50" s="44" t="s">
        <v>362</v>
      </c>
      <c r="C50" s="44" t="s">
        <v>363</v>
      </c>
      <c r="D50" s="44">
        <v>0.857</v>
      </c>
      <c r="E50" s="44">
        <v>0.622</v>
      </c>
      <c r="F50" s="44">
        <v>1.0</v>
      </c>
      <c r="G50" s="44">
        <v>0.833</v>
      </c>
      <c r="H50" s="44" t="s">
        <v>15</v>
      </c>
      <c r="I50" s="44" t="s">
        <v>1608</v>
      </c>
      <c r="J50" s="44" t="s">
        <v>40</v>
      </c>
    </row>
    <row r="51" ht="15.75" customHeight="1">
      <c r="A51" s="44" t="s">
        <v>368</v>
      </c>
      <c r="B51" s="44" t="s">
        <v>369</v>
      </c>
      <c r="C51" s="44" t="s">
        <v>370</v>
      </c>
      <c r="D51" s="44">
        <v>0.63</v>
      </c>
      <c r="E51" s="44">
        <v>0.726</v>
      </c>
      <c r="F51" s="44">
        <v>1.0</v>
      </c>
      <c r="G51" s="44">
        <v>1.0</v>
      </c>
      <c r="H51" s="44" t="s">
        <v>16</v>
      </c>
      <c r="I51" s="44" t="s">
        <v>1609</v>
      </c>
      <c r="J51" s="44" t="s">
        <v>40</v>
      </c>
    </row>
    <row r="52" ht="15.75" customHeight="1">
      <c r="A52" s="44" t="s">
        <v>175</v>
      </c>
      <c r="B52" s="44" t="s">
        <v>373</v>
      </c>
      <c r="C52" s="44" t="s">
        <v>374</v>
      </c>
      <c r="D52" s="44">
        <v>0.636</v>
      </c>
      <c r="E52" s="44">
        <v>0.879</v>
      </c>
      <c r="F52" s="44">
        <v>0.0</v>
      </c>
      <c r="G52" s="44">
        <v>0.167</v>
      </c>
      <c r="H52" s="44" t="s">
        <v>16</v>
      </c>
      <c r="I52" s="44" t="s">
        <v>1610</v>
      </c>
      <c r="J52" s="44" t="s">
        <v>40</v>
      </c>
    </row>
    <row r="53" ht="15.75" customHeight="1">
      <c r="A53" s="44" t="s">
        <v>190</v>
      </c>
      <c r="B53" s="44" t="s">
        <v>383</v>
      </c>
      <c r="C53" s="44" t="s">
        <v>384</v>
      </c>
      <c r="D53" s="44">
        <v>1.0</v>
      </c>
      <c r="E53" s="44">
        <v>0.801</v>
      </c>
      <c r="F53" s="44">
        <v>1.0</v>
      </c>
      <c r="G53" s="44">
        <v>1.0</v>
      </c>
      <c r="H53" s="44" t="s">
        <v>16</v>
      </c>
      <c r="I53" s="44" t="s">
        <v>1611</v>
      </c>
      <c r="J53" s="44" t="s">
        <v>40</v>
      </c>
    </row>
    <row r="54" ht="15.75" customHeight="1">
      <c r="A54" s="44" t="s">
        <v>217</v>
      </c>
      <c r="B54" s="44" t="s">
        <v>401</v>
      </c>
      <c r="C54" s="44" t="s">
        <v>402</v>
      </c>
      <c r="D54" s="44">
        <v>0.6</v>
      </c>
      <c r="E54" s="44">
        <v>0.803</v>
      </c>
      <c r="F54" s="44">
        <v>0.25</v>
      </c>
      <c r="G54" s="44">
        <v>0.0</v>
      </c>
      <c r="H54" s="44" t="s">
        <v>16</v>
      </c>
      <c r="I54" s="44" t="s">
        <v>1612</v>
      </c>
      <c r="J54" s="44" t="s">
        <v>40</v>
      </c>
    </row>
    <row r="55" ht="15.75" customHeight="1">
      <c r="A55" s="44" t="s">
        <v>223</v>
      </c>
      <c r="B55" s="44" t="s">
        <v>405</v>
      </c>
      <c r="C55" s="44" t="s">
        <v>406</v>
      </c>
      <c r="D55" s="44">
        <v>0.929</v>
      </c>
      <c r="E55" s="44">
        <v>0.687</v>
      </c>
      <c r="F55" s="44">
        <v>0.95</v>
      </c>
      <c r="G55" s="44">
        <v>1.0</v>
      </c>
      <c r="H55" s="44" t="s">
        <v>16</v>
      </c>
      <c r="I55" s="44" t="s">
        <v>1613</v>
      </c>
      <c r="J55" s="44" t="s">
        <v>40</v>
      </c>
    </row>
    <row r="56" ht="15.75" customHeight="1">
      <c r="A56" s="44" t="s">
        <v>229</v>
      </c>
      <c r="B56" s="44" t="s">
        <v>409</v>
      </c>
      <c r="C56" s="44" t="s">
        <v>410</v>
      </c>
      <c r="D56" s="44">
        <v>0.429</v>
      </c>
      <c r="E56" s="44">
        <v>0.993</v>
      </c>
      <c r="F56" s="44">
        <v>0.679</v>
      </c>
      <c r="G56" s="44">
        <v>1.0</v>
      </c>
      <c r="H56" s="44" t="s">
        <v>17</v>
      </c>
      <c r="I56" s="44" t="s">
        <v>1614</v>
      </c>
      <c r="J56" s="44" t="s">
        <v>40</v>
      </c>
    </row>
    <row r="57" ht="15.75" customHeight="1">
      <c r="A57" s="44" t="s">
        <v>235</v>
      </c>
      <c r="B57" s="44" t="s">
        <v>413</v>
      </c>
      <c r="C57" s="44" t="s">
        <v>414</v>
      </c>
      <c r="D57" s="44">
        <v>0.455</v>
      </c>
      <c r="E57" s="44">
        <v>0.979</v>
      </c>
      <c r="F57" s="44">
        <v>1.0</v>
      </c>
      <c r="G57" s="44">
        <v>1.0</v>
      </c>
      <c r="H57" s="44" t="s">
        <v>17</v>
      </c>
      <c r="I57" s="44" t="s">
        <v>1615</v>
      </c>
      <c r="J57" s="44" t="s">
        <v>40</v>
      </c>
    </row>
    <row r="58" ht="15.75" customHeight="1">
      <c r="A58" s="44" t="s">
        <v>244</v>
      </c>
      <c r="B58" s="44" t="s">
        <v>419</v>
      </c>
      <c r="C58" s="44" t="s">
        <v>420</v>
      </c>
      <c r="D58" s="44">
        <v>0.769</v>
      </c>
      <c r="E58" s="44">
        <v>0.856</v>
      </c>
      <c r="F58" s="44">
        <v>0.2</v>
      </c>
      <c r="G58" s="44">
        <v>0.8</v>
      </c>
      <c r="H58" s="44" t="s">
        <v>17</v>
      </c>
      <c r="I58" s="44" t="s">
        <v>1616</v>
      </c>
      <c r="J58" s="44" t="s">
        <v>40</v>
      </c>
    </row>
    <row r="59" ht="15.75" customHeight="1">
      <c r="A59" s="44" t="s">
        <v>253</v>
      </c>
      <c r="B59" s="44" t="s">
        <v>425</v>
      </c>
      <c r="C59" s="44" t="s">
        <v>426</v>
      </c>
      <c r="D59" s="44">
        <v>0.7</v>
      </c>
      <c r="E59" s="44">
        <v>0.94</v>
      </c>
      <c r="F59" s="44">
        <v>1.0</v>
      </c>
      <c r="G59" s="44">
        <v>0.75</v>
      </c>
      <c r="H59" s="44" t="s">
        <v>17</v>
      </c>
      <c r="I59" s="44" t="s">
        <v>1617</v>
      </c>
      <c r="J59" s="44" t="s">
        <v>40</v>
      </c>
    </row>
    <row r="60" ht="15.75" customHeight="1">
      <c r="A60" s="44" t="s">
        <v>259</v>
      </c>
      <c r="B60" s="44" t="s">
        <v>429</v>
      </c>
      <c r="C60" s="44" t="s">
        <v>430</v>
      </c>
      <c r="D60" s="44">
        <v>0.857</v>
      </c>
      <c r="E60" s="44">
        <v>0.972</v>
      </c>
      <c r="F60" s="44">
        <v>0.478</v>
      </c>
      <c r="G60" s="44">
        <v>1.0</v>
      </c>
      <c r="H60" s="44" t="s">
        <v>17</v>
      </c>
      <c r="I60" s="44" t="s">
        <v>1618</v>
      </c>
      <c r="J60" s="44" t="s">
        <v>40</v>
      </c>
    </row>
    <row r="61" ht="15.75" customHeight="1">
      <c r="A61" s="44" t="s">
        <v>268</v>
      </c>
      <c r="B61" s="44" t="s">
        <v>435</v>
      </c>
      <c r="C61" s="44" t="s">
        <v>436</v>
      </c>
      <c r="D61" s="44">
        <v>1.0</v>
      </c>
      <c r="E61" s="44">
        <v>0.656</v>
      </c>
      <c r="F61" s="44">
        <v>1.0</v>
      </c>
      <c r="G61" s="44">
        <v>1.0</v>
      </c>
      <c r="H61" s="44" t="s">
        <v>17</v>
      </c>
      <c r="I61" s="44" t="s">
        <v>1619</v>
      </c>
      <c r="J61" s="44" t="s">
        <v>40</v>
      </c>
    </row>
    <row r="62" ht="15.75" customHeight="1">
      <c r="A62" s="44" t="s">
        <v>445</v>
      </c>
      <c r="B62" s="44" t="s">
        <v>446</v>
      </c>
      <c r="C62" s="44" t="s">
        <v>447</v>
      </c>
      <c r="D62" s="44">
        <v>0.556</v>
      </c>
      <c r="E62" s="44">
        <v>0.933</v>
      </c>
      <c r="F62" s="44">
        <v>0.2</v>
      </c>
      <c r="G62" s="44">
        <v>0.75</v>
      </c>
      <c r="H62" s="44" t="s">
        <v>17</v>
      </c>
      <c r="I62" s="44" t="s">
        <v>1620</v>
      </c>
      <c r="J62" s="44" t="s">
        <v>40</v>
      </c>
    </row>
    <row r="63" ht="15.75" customHeight="1">
      <c r="A63" s="44" t="s">
        <v>49</v>
      </c>
      <c r="B63" s="44" t="s">
        <v>770</v>
      </c>
      <c r="C63" s="44" t="s">
        <v>771</v>
      </c>
      <c r="D63" s="44">
        <v>0.6</v>
      </c>
      <c r="E63" s="44">
        <v>0.99</v>
      </c>
      <c r="F63" s="44">
        <v>0.0</v>
      </c>
      <c r="G63" s="44">
        <v>1.0</v>
      </c>
      <c r="H63" s="44" t="s">
        <v>14</v>
      </c>
      <c r="I63" s="44" t="s">
        <v>1621</v>
      </c>
      <c r="J63" s="44" t="s">
        <v>40</v>
      </c>
    </row>
    <row r="64" ht="15.75" customHeight="1">
      <c r="A64" s="44" t="s">
        <v>55</v>
      </c>
      <c r="B64" s="44" t="s">
        <v>774</v>
      </c>
      <c r="C64" s="44" t="s">
        <v>775</v>
      </c>
      <c r="D64" s="44">
        <v>0.692</v>
      </c>
      <c r="E64" s="44">
        <v>1.0</v>
      </c>
      <c r="F64" s="44">
        <v>1.0</v>
      </c>
      <c r="G64" s="44">
        <v>0.8</v>
      </c>
      <c r="H64" s="44" t="s">
        <v>14</v>
      </c>
      <c r="I64" s="44" t="s">
        <v>1622</v>
      </c>
      <c r="J64" s="44" t="s">
        <v>40</v>
      </c>
    </row>
    <row r="65" ht="15.75" customHeight="1">
      <c r="A65" s="44" t="s">
        <v>61</v>
      </c>
      <c r="B65" s="44" t="s">
        <v>776</v>
      </c>
      <c r="C65" s="44" t="s">
        <v>777</v>
      </c>
      <c r="D65" s="44">
        <v>0.533</v>
      </c>
      <c r="E65" s="44">
        <v>0.998</v>
      </c>
      <c r="F65" s="44">
        <v>1.0</v>
      </c>
      <c r="G65" s="44">
        <v>1.0</v>
      </c>
      <c r="H65" s="44" t="s">
        <v>14</v>
      </c>
      <c r="I65" s="44" t="s">
        <v>1623</v>
      </c>
      <c r="J65" s="44" t="s">
        <v>40</v>
      </c>
    </row>
    <row r="66" ht="15.75" customHeight="1">
      <c r="A66" s="44" t="s">
        <v>67</v>
      </c>
      <c r="B66" s="44" t="s">
        <v>780</v>
      </c>
      <c r="C66" s="44" t="s">
        <v>781</v>
      </c>
      <c r="D66" s="44">
        <v>1.0</v>
      </c>
      <c r="E66" s="44">
        <v>0.891</v>
      </c>
      <c r="F66" s="44">
        <v>1.0</v>
      </c>
      <c r="G66" s="44">
        <v>1.0</v>
      </c>
      <c r="H66" s="44" t="s">
        <v>14</v>
      </c>
      <c r="I66" s="44" t="s">
        <v>1624</v>
      </c>
      <c r="J66" s="44" t="s">
        <v>40</v>
      </c>
    </row>
    <row r="67" ht="15.75" customHeight="1">
      <c r="A67" s="44" t="s">
        <v>73</v>
      </c>
      <c r="B67" s="44" t="s">
        <v>784</v>
      </c>
      <c r="C67" s="44" t="s">
        <v>785</v>
      </c>
      <c r="D67" s="44">
        <v>0.6</v>
      </c>
      <c r="E67" s="44">
        <v>0.876</v>
      </c>
      <c r="F67" s="44">
        <v>1.0</v>
      </c>
      <c r="G67" s="44">
        <v>1.0</v>
      </c>
      <c r="H67" s="44" t="s">
        <v>14</v>
      </c>
      <c r="I67" s="44" t="s">
        <v>1625</v>
      </c>
      <c r="J67" s="44" t="s">
        <v>40</v>
      </c>
    </row>
    <row r="68" ht="15.75" customHeight="1">
      <c r="A68" s="44" t="s">
        <v>79</v>
      </c>
      <c r="B68" s="44" t="s">
        <v>788</v>
      </c>
      <c r="C68" s="44" t="s">
        <v>789</v>
      </c>
      <c r="D68" s="44">
        <v>0.5</v>
      </c>
      <c r="E68" s="44">
        <v>1.0</v>
      </c>
      <c r="F68" s="44">
        <v>1.0</v>
      </c>
      <c r="G68" s="44">
        <v>0.5</v>
      </c>
      <c r="H68" s="44" t="s">
        <v>14</v>
      </c>
      <c r="I68" s="44" t="s">
        <v>1626</v>
      </c>
      <c r="J68" s="44" t="s">
        <v>40</v>
      </c>
    </row>
    <row r="69" ht="15.75" customHeight="1">
      <c r="A69" s="44" t="s">
        <v>82</v>
      </c>
      <c r="B69" s="44" t="s">
        <v>790</v>
      </c>
      <c r="C69" s="44" t="s">
        <v>791</v>
      </c>
      <c r="D69" s="44">
        <v>0.769</v>
      </c>
      <c r="E69" s="44">
        <v>0.877</v>
      </c>
      <c r="F69" s="44">
        <v>1.0</v>
      </c>
      <c r="G69" s="44">
        <v>0.714</v>
      </c>
      <c r="H69" s="44" t="s">
        <v>14</v>
      </c>
      <c r="I69" s="44" t="s">
        <v>1627</v>
      </c>
      <c r="J69" s="44" t="s">
        <v>40</v>
      </c>
    </row>
    <row r="70" ht="15.75" customHeight="1">
      <c r="A70" s="44" t="s">
        <v>88</v>
      </c>
      <c r="B70" s="44" t="s">
        <v>794</v>
      </c>
      <c r="C70" s="44" t="s">
        <v>795</v>
      </c>
      <c r="D70" s="44">
        <v>0.625</v>
      </c>
      <c r="E70" s="44">
        <v>0.945</v>
      </c>
      <c r="F70" s="44">
        <v>1.0</v>
      </c>
      <c r="G70" s="44">
        <v>1.0</v>
      </c>
      <c r="H70" s="44" t="s">
        <v>14</v>
      </c>
      <c r="I70" s="44" t="s">
        <v>1628</v>
      </c>
      <c r="J70" s="44" t="s">
        <v>40</v>
      </c>
    </row>
    <row r="71" ht="15.75" customHeight="1">
      <c r="A71" s="44" t="s">
        <v>91</v>
      </c>
      <c r="B71" s="44" t="s">
        <v>796</v>
      </c>
      <c r="C71" s="44" t="s">
        <v>797</v>
      </c>
      <c r="D71" s="44">
        <v>0.667</v>
      </c>
      <c r="E71" s="44">
        <v>0.826</v>
      </c>
      <c r="F71" s="44">
        <v>1.0</v>
      </c>
      <c r="G71" s="44">
        <v>1.0</v>
      </c>
      <c r="H71" s="44" t="s">
        <v>14</v>
      </c>
      <c r="I71" s="44" t="s">
        <v>1629</v>
      </c>
      <c r="J71" s="44" t="s">
        <v>40</v>
      </c>
    </row>
    <row r="72" ht="15.75" customHeight="1">
      <c r="A72" s="44" t="s">
        <v>100</v>
      </c>
      <c r="B72" s="44" t="s">
        <v>798</v>
      </c>
      <c r="C72" s="44" t="s">
        <v>799</v>
      </c>
      <c r="D72" s="44">
        <v>1.0</v>
      </c>
      <c r="E72" s="44">
        <v>0.894</v>
      </c>
      <c r="F72" s="44">
        <v>1.0</v>
      </c>
      <c r="G72" s="44">
        <v>1.0</v>
      </c>
      <c r="H72" s="44" t="s">
        <v>14</v>
      </c>
      <c r="I72" s="44" t="s">
        <v>1630</v>
      </c>
      <c r="J72" s="44" t="s">
        <v>40</v>
      </c>
    </row>
    <row r="73" ht="15.75" customHeight="1">
      <c r="A73" s="44" t="s">
        <v>97</v>
      </c>
      <c r="B73" s="44" t="s">
        <v>800</v>
      </c>
      <c r="C73" s="44" t="s">
        <v>801</v>
      </c>
      <c r="D73" s="44">
        <v>0.583</v>
      </c>
      <c r="E73" s="44">
        <v>0.972</v>
      </c>
      <c r="F73" s="44">
        <v>1.0</v>
      </c>
      <c r="G73" s="44">
        <v>0.25</v>
      </c>
      <c r="H73" s="44" t="s">
        <v>14</v>
      </c>
      <c r="I73" s="44" t="s">
        <v>1631</v>
      </c>
      <c r="J73" s="44" t="s">
        <v>40</v>
      </c>
    </row>
    <row r="74" ht="15.75" customHeight="1">
      <c r="A74" s="44" t="s">
        <v>91</v>
      </c>
      <c r="B74" s="44" t="s">
        <v>796</v>
      </c>
      <c r="C74" s="44" t="s">
        <v>797</v>
      </c>
      <c r="D74" s="44">
        <v>0.667</v>
      </c>
      <c r="E74" s="44">
        <v>0.826</v>
      </c>
      <c r="F74" s="44">
        <v>1.0</v>
      </c>
      <c r="G74" s="44">
        <v>1.0</v>
      </c>
      <c r="H74" s="44" t="s">
        <v>14</v>
      </c>
      <c r="I74" s="44" t="s">
        <v>1629</v>
      </c>
      <c r="J74" s="44" t="s">
        <v>40</v>
      </c>
    </row>
    <row r="75" ht="15.75" customHeight="1">
      <c r="A75" s="44" t="s">
        <v>94</v>
      </c>
      <c r="B75" s="44" t="s">
        <v>802</v>
      </c>
      <c r="C75" s="44" t="s">
        <v>803</v>
      </c>
      <c r="D75" s="44">
        <v>0.765</v>
      </c>
      <c r="E75" s="44">
        <v>0.804</v>
      </c>
      <c r="F75" s="44">
        <v>0.833</v>
      </c>
      <c r="G75" s="44">
        <v>0.25</v>
      </c>
      <c r="H75" s="44" t="s">
        <v>14</v>
      </c>
      <c r="I75" s="44" t="s">
        <v>1632</v>
      </c>
      <c r="J75" s="44" t="s">
        <v>40</v>
      </c>
    </row>
    <row r="76" ht="15.75" customHeight="1">
      <c r="A76" s="44" t="s">
        <v>115</v>
      </c>
      <c r="B76" s="44" t="s">
        <v>804</v>
      </c>
      <c r="C76" s="44" t="s">
        <v>805</v>
      </c>
      <c r="D76" s="44">
        <v>1.0</v>
      </c>
      <c r="E76" s="44">
        <v>0.979</v>
      </c>
      <c r="F76" s="44">
        <v>1.0</v>
      </c>
      <c r="G76" s="44">
        <v>1.0</v>
      </c>
      <c r="H76" s="44" t="s">
        <v>14</v>
      </c>
      <c r="I76" s="44" t="s">
        <v>1633</v>
      </c>
      <c r="J76" s="44" t="s">
        <v>40</v>
      </c>
    </row>
    <row r="77" ht="15.75" customHeight="1">
      <c r="A77" s="44" t="s">
        <v>106</v>
      </c>
      <c r="B77" s="44" t="s">
        <v>808</v>
      </c>
      <c r="C77" s="44" t="s">
        <v>809</v>
      </c>
      <c r="D77" s="44">
        <v>1.0</v>
      </c>
      <c r="E77" s="44">
        <v>0.839</v>
      </c>
      <c r="F77" s="44">
        <v>0.5</v>
      </c>
      <c r="G77" s="44">
        <v>1.0</v>
      </c>
      <c r="H77" s="44" t="s">
        <v>15</v>
      </c>
      <c r="I77" s="44" t="s">
        <v>1634</v>
      </c>
      <c r="J77" s="44" t="s">
        <v>40</v>
      </c>
    </row>
    <row r="78" ht="15.75" customHeight="1">
      <c r="A78" s="44" t="s">
        <v>121</v>
      </c>
      <c r="B78" s="44" t="s">
        <v>816</v>
      </c>
      <c r="C78" s="44" t="s">
        <v>817</v>
      </c>
      <c r="D78" s="44">
        <v>0.833</v>
      </c>
      <c r="E78" s="44">
        <v>0.978</v>
      </c>
      <c r="F78" s="44">
        <v>0.833</v>
      </c>
      <c r="G78" s="44">
        <v>1.0</v>
      </c>
      <c r="H78" s="44" t="s">
        <v>15</v>
      </c>
      <c r="I78" s="44" t="s">
        <v>1635</v>
      </c>
      <c r="J78" s="44" t="s">
        <v>40</v>
      </c>
    </row>
    <row r="79" ht="15.75" customHeight="1">
      <c r="A79" s="44" t="s">
        <v>127</v>
      </c>
      <c r="B79" s="44" t="s">
        <v>818</v>
      </c>
      <c r="C79" s="44" t="s">
        <v>819</v>
      </c>
      <c r="D79" s="44">
        <v>0.833</v>
      </c>
      <c r="E79" s="44">
        <v>0.851</v>
      </c>
      <c r="F79" s="44">
        <v>0.5</v>
      </c>
      <c r="G79" s="44">
        <v>0.75</v>
      </c>
      <c r="H79" s="44" t="s">
        <v>15</v>
      </c>
      <c r="I79" s="44" t="s">
        <v>1636</v>
      </c>
      <c r="J79" s="44" t="s">
        <v>40</v>
      </c>
    </row>
    <row r="80" ht="15.75" customHeight="1">
      <c r="A80" s="44" t="s">
        <v>139</v>
      </c>
      <c r="B80" s="44" t="s">
        <v>826</v>
      </c>
      <c r="C80" s="44" t="s">
        <v>827</v>
      </c>
      <c r="D80" s="44">
        <v>1.0</v>
      </c>
      <c r="E80" s="44">
        <v>0.875</v>
      </c>
      <c r="F80" s="44">
        <v>1.0</v>
      </c>
      <c r="G80" s="44">
        <v>1.0</v>
      </c>
      <c r="H80" s="44" t="s">
        <v>15</v>
      </c>
      <c r="I80" s="44" t="s">
        <v>1637</v>
      </c>
      <c r="J80" s="44" t="s">
        <v>40</v>
      </c>
    </row>
    <row r="81" ht="15.75" customHeight="1">
      <c r="A81" s="44" t="s">
        <v>142</v>
      </c>
      <c r="B81" s="44" t="s">
        <v>828</v>
      </c>
      <c r="C81" s="44" t="s">
        <v>829</v>
      </c>
      <c r="D81" s="44">
        <v>0.833</v>
      </c>
      <c r="E81" s="44">
        <v>0.876</v>
      </c>
      <c r="F81" s="44">
        <v>1.0</v>
      </c>
      <c r="G81" s="44">
        <v>1.0</v>
      </c>
      <c r="H81" s="44" t="s">
        <v>15</v>
      </c>
      <c r="I81" s="44" t="s">
        <v>1638</v>
      </c>
      <c r="J81" s="44" t="s">
        <v>40</v>
      </c>
    </row>
    <row r="82" ht="15.75" customHeight="1">
      <c r="A82" s="44" t="s">
        <v>148</v>
      </c>
      <c r="B82" s="44" t="s">
        <v>832</v>
      </c>
      <c r="C82" s="44" t="s">
        <v>833</v>
      </c>
      <c r="D82" s="44">
        <v>0.583</v>
      </c>
      <c r="E82" s="44">
        <v>0.743</v>
      </c>
      <c r="F82" s="44">
        <v>1.0</v>
      </c>
      <c r="G82" s="44">
        <v>0.2</v>
      </c>
      <c r="H82" s="44" t="s">
        <v>15</v>
      </c>
      <c r="I82" s="44" t="s">
        <v>1639</v>
      </c>
      <c r="J82" s="44" t="s">
        <v>40</v>
      </c>
    </row>
    <row r="83" ht="15.75" customHeight="1">
      <c r="A83" s="44" t="s">
        <v>124</v>
      </c>
      <c r="B83" s="44" t="s">
        <v>834</v>
      </c>
      <c r="C83" s="44" t="s">
        <v>835</v>
      </c>
      <c r="D83" s="44">
        <v>1.0</v>
      </c>
      <c r="E83" s="44">
        <v>0.909</v>
      </c>
      <c r="F83" s="44">
        <v>1.0</v>
      </c>
      <c r="G83" s="44">
        <v>0.286</v>
      </c>
      <c r="H83" s="44" t="s">
        <v>15</v>
      </c>
      <c r="I83" s="44" t="s">
        <v>1640</v>
      </c>
      <c r="J83" s="44" t="s">
        <v>40</v>
      </c>
    </row>
    <row r="84" ht="15.75" customHeight="1">
      <c r="A84" s="44" t="s">
        <v>151</v>
      </c>
      <c r="B84" s="44" t="s">
        <v>836</v>
      </c>
      <c r="C84" s="44" t="s">
        <v>837</v>
      </c>
      <c r="D84" s="44">
        <v>0.8</v>
      </c>
      <c r="E84" s="44">
        <v>0.914</v>
      </c>
      <c r="F84" s="44">
        <v>1.0</v>
      </c>
      <c r="G84" s="44">
        <v>1.0</v>
      </c>
      <c r="H84" s="44" t="s">
        <v>15</v>
      </c>
      <c r="I84" s="44" t="s">
        <v>1641</v>
      </c>
      <c r="J84" s="44" t="s">
        <v>40</v>
      </c>
    </row>
    <row r="85" ht="15.75" customHeight="1">
      <c r="A85" s="44" t="s">
        <v>157</v>
      </c>
      <c r="B85" s="44" t="s">
        <v>840</v>
      </c>
      <c r="C85" s="44" t="s">
        <v>841</v>
      </c>
      <c r="D85" s="44">
        <v>0.5</v>
      </c>
      <c r="E85" s="44">
        <v>0.566</v>
      </c>
      <c r="F85" s="44">
        <v>1.0</v>
      </c>
      <c r="G85" s="44">
        <v>1.0</v>
      </c>
      <c r="H85" s="44" t="s">
        <v>15</v>
      </c>
      <c r="I85" s="44" t="s">
        <v>1642</v>
      </c>
      <c r="J85" s="44" t="s">
        <v>40</v>
      </c>
    </row>
    <row r="86" ht="15.75" customHeight="1">
      <c r="A86" s="44" t="s">
        <v>160</v>
      </c>
      <c r="B86" s="44" t="s">
        <v>842</v>
      </c>
      <c r="C86" s="44" t="s">
        <v>843</v>
      </c>
      <c r="D86" s="44">
        <v>0.727</v>
      </c>
      <c r="E86" s="44">
        <v>0.709</v>
      </c>
      <c r="F86" s="44">
        <v>1.0</v>
      </c>
      <c r="G86" s="44">
        <v>0.857</v>
      </c>
      <c r="H86" s="44" t="s">
        <v>15</v>
      </c>
      <c r="I86" s="44" t="s">
        <v>1643</v>
      </c>
      <c r="J86" s="44" t="s">
        <v>40</v>
      </c>
    </row>
    <row r="87" ht="15.75" customHeight="1">
      <c r="A87" s="44" t="s">
        <v>166</v>
      </c>
      <c r="B87" s="44" t="s">
        <v>846</v>
      </c>
      <c r="C87" s="44" t="s">
        <v>847</v>
      </c>
      <c r="D87" s="44">
        <v>0.727</v>
      </c>
      <c r="E87" s="44">
        <v>0.986</v>
      </c>
      <c r="F87" s="44">
        <v>1.0</v>
      </c>
      <c r="G87" s="44">
        <v>0.0</v>
      </c>
      <c r="H87" s="44" t="s">
        <v>16</v>
      </c>
      <c r="I87" s="44" t="s">
        <v>1644</v>
      </c>
      <c r="J87" s="44" t="s">
        <v>40</v>
      </c>
    </row>
    <row r="88" ht="15.75" customHeight="1">
      <c r="A88" s="44" t="s">
        <v>856</v>
      </c>
      <c r="B88" s="44" t="s">
        <v>857</v>
      </c>
      <c r="C88" s="44" t="s">
        <v>858</v>
      </c>
      <c r="D88" s="44">
        <v>1.0</v>
      </c>
      <c r="E88" s="44">
        <v>0.877</v>
      </c>
      <c r="F88" s="44">
        <v>1.0</v>
      </c>
      <c r="G88" s="44">
        <v>0.8</v>
      </c>
      <c r="H88" s="44" t="s">
        <v>16</v>
      </c>
      <c r="I88" s="44" t="s">
        <v>1645</v>
      </c>
      <c r="J88" s="44" t="s">
        <v>40</v>
      </c>
    </row>
    <row r="89" ht="15.75" customHeight="1">
      <c r="A89" s="44" t="s">
        <v>184</v>
      </c>
      <c r="B89" s="44" t="s">
        <v>859</v>
      </c>
      <c r="C89" s="44" t="s">
        <v>860</v>
      </c>
      <c r="D89" s="44">
        <v>0.875</v>
      </c>
      <c r="E89" s="44">
        <v>0.938</v>
      </c>
      <c r="F89" s="44">
        <v>1.0</v>
      </c>
      <c r="G89" s="44">
        <v>0.833</v>
      </c>
      <c r="H89" s="44" t="s">
        <v>16</v>
      </c>
      <c r="I89" s="44" t="s">
        <v>1646</v>
      </c>
      <c r="J89" s="44" t="s">
        <v>40</v>
      </c>
    </row>
    <row r="90" ht="15.75" customHeight="1">
      <c r="A90" s="44" t="s">
        <v>187</v>
      </c>
      <c r="B90" s="44" t="s">
        <v>861</v>
      </c>
      <c r="C90" s="44" t="s">
        <v>862</v>
      </c>
      <c r="D90" s="44">
        <v>1.0</v>
      </c>
      <c r="E90" s="44">
        <v>0.836</v>
      </c>
      <c r="F90" s="44">
        <v>1.0</v>
      </c>
      <c r="G90" s="44">
        <v>0.8</v>
      </c>
      <c r="H90" s="44" t="s">
        <v>16</v>
      </c>
      <c r="I90" s="44" t="s">
        <v>1647</v>
      </c>
      <c r="J90" s="44" t="s">
        <v>40</v>
      </c>
    </row>
    <row r="91" ht="15.75" customHeight="1">
      <c r="A91" s="44" t="s">
        <v>190</v>
      </c>
      <c r="B91" s="44" t="s">
        <v>863</v>
      </c>
      <c r="C91" s="44" t="s">
        <v>864</v>
      </c>
      <c r="D91" s="44">
        <v>0.643</v>
      </c>
      <c r="E91" s="44">
        <v>0.892</v>
      </c>
      <c r="F91" s="44">
        <v>1.0</v>
      </c>
      <c r="G91" s="44">
        <v>1.0</v>
      </c>
      <c r="H91" s="44" t="s">
        <v>16</v>
      </c>
      <c r="I91" s="44" t="s">
        <v>1648</v>
      </c>
      <c r="J91" s="44" t="s">
        <v>40</v>
      </c>
    </row>
    <row r="92" ht="15.75" customHeight="1">
      <c r="A92" s="44" t="s">
        <v>193</v>
      </c>
      <c r="B92" s="44" t="s">
        <v>865</v>
      </c>
      <c r="C92" s="44" t="s">
        <v>866</v>
      </c>
      <c r="D92" s="44">
        <v>0.727</v>
      </c>
      <c r="E92" s="44">
        <v>0.467</v>
      </c>
      <c r="F92" s="44">
        <v>0.833</v>
      </c>
      <c r="G92" s="44">
        <v>0.0</v>
      </c>
      <c r="H92" s="44" t="s">
        <v>16</v>
      </c>
      <c r="I92" s="44" t="s">
        <v>1649</v>
      </c>
      <c r="J92" s="44" t="s">
        <v>40</v>
      </c>
    </row>
    <row r="93" ht="15.75" customHeight="1">
      <c r="A93" s="44" t="s">
        <v>199</v>
      </c>
      <c r="B93" s="44" t="s">
        <v>869</v>
      </c>
      <c r="C93" s="44" t="s">
        <v>870</v>
      </c>
      <c r="D93" s="44">
        <v>0.667</v>
      </c>
      <c r="E93" s="44">
        <v>0.989</v>
      </c>
      <c r="F93" s="44">
        <v>0.5</v>
      </c>
      <c r="G93" s="44">
        <v>0.5</v>
      </c>
      <c r="H93" s="44" t="s">
        <v>16</v>
      </c>
      <c r="I93" s="44" t="s">
        <v>1650</v>
      </c>
      <c r="J93" s="44" t="s">
        <v>40</v>
      </c>
    </row>
    <row r="94" ht="15.75" customHeight="1">
      <c r="A94" s="44" t="s">
        <v>202</v>
      </c>
      <c r="B94" s="44" t="s">
        <v>871</v>
      </c>
      <c r="C94" s="44" t="s">
        <v>872</v>
      </c>
      <c r="D94" s="44">
        <v>0.846</v>
      </c>
      <c r="E94" s="44">
        <v>0.847</v>
      </c>
      <c r="F94" s="44">
        <v>0.5</v>
      </c>
      <c r="G94" s="44">
        <v>1.0</v>
      </c>
      <c r="H94" s="44" t="s">
        <v>16</v>
      </c>
      <c r="I94" s="44" t="s">
        <v>1651</v>
      </c>
      <c r="J94" s="44" t="s">
        <v>40</v>
      </c>
    </row>
    <row r="95" ht="15.75" customHeight="1">
      <c r="A95" s="44" t="s">
        <v>211</v>
      </c>
      <c r="B95" s="44" t="s">
        <v>877</v>
      </c>
      <c r="C95" s="44" t="s">
        <v>878</v>
      </c>
      <c r="D95" s="44">
        <v>1.0</v>
      </c>
      <c r="E95" s="44">
        <v>0.671</v>
      </c>
      <c r="F95" s="44">
        <v>1.0</v>
      </c>
      <c r="G95" s="44">
        <v>1.0</v>
      </c>
      <c r="H95" s="44" t="s">
        <v>16</v>
      </c>
      <c r="I95" s="44" t="s">
        <v>1652</v>
      </c>
      <c r="J95" s="44" t="s">
        <v>40</v>
      </c>
    </row>
    <row r="96" ht="15.75" customHeight="1">
      <c r="A96" s="44" t="s">
        <v>214</v>
      </c>
      <c r="B96" s="44" t="s">
        <v>879</v>
      </c>
      <c r="C96" s="44" t="s">
        <v>880</v>
      </c>
      <c r="D96" s="44">
        <v>1.0</v>
      </c>
      <c r="E96" s="44">
        <v>0.913</v>
      </c>
      <c r="F96" s="44">
        <v>0.583</v>
      </c>
      <c r="G96" s="44">
        <v>0.8</v>
      </c>
      <c r="H96" s="44" t="s">
        <v>16</v>
      </c>
      <c r="I96" s="44" t="s">
        <v>1653</v>
      </c>
      <c r="J96" s="44" t="s">
        <v>40</v>
      </c>
    </row>
    <row r="97" ht="15.75" customHeight="1">
      <c r="A97" s="44" t="s">
        <v>220</v>
      </c>
      <c r="B97" s="44" t="s">
        <v>883</v>
      </c>
      <c r="C97" s="44" t="s">
        <v>884</v>
      </c>
      <c r="D97" s="44">
        <v>0.5</v>
      </c>
      <c r="E97" s="44">
        <v>0.767</v>
      </c>
      <c r="F97" s="44">
        <v>1.0</v>
      </c>
      <c r="G97" s="44">
        <v>0.857</v>
      </c>
      <c r="H97" s="44" t="s">
        <v>16</v>
      </c>
      <c r="I97" s="44" t="s">
        <v>1654</v>
      </c>
      <c r="J97" s="44" t="s">
        <v>40</v>
      </c>
    </row>
    <row r="98" ht="15.75" customHeight="1">
      <c r="A98" s="44" t="s">
        <v>223</v>
      </c>
      <c r="B98" s="44" t="s">
        <v>885</v>
      </c>
      <c r="C98" s="44" t="s">
        <v>886</v>
      </c>
      <c r="D98" s="44">
        <v>0.789</v>
      </c>
      <c r="E98" s="44">
        <v>0.772</v>
      </c>
      <c r="F98" s="44">
        <v>1.0</v>
      </c>
      <c r="G98" s="44">
        <v>1.0</v>
      </c>
      <c r="H98" s="44" t="s">
        <v>16</v>
      </c>
      <c r="I98" s="44" t="s">
        <v>1655</v>
      </c>
      <c r="J98" s="44" t="s">
        <v>40</v>
      </c>
    </row>
    <row r="99" ht="15.75" customHeight="1">
      <c r="A99" s="44" t="s">
        <v>226</v>
      </c>
      <c r="B99" s="44" t="s">
        <v>887</v>
      </c>
      <c r="C99" s="44" t="s">
        <v>888</v>
      </c>
      <c r="D99" s="44">
        <v>0.625</v>
      </c>
      <c r="E99" s="44">
        <v>0.998</v>
      </c>
      <c r="F99" s="44">
        <v>1.0</v>
      </c>
      <c r="G99" s="44">
        <v>0.5</v>
      </c>
      <c r="H99" s="44" t="s">
        <v>17</v>
      </c>
      <c r="I99" s="44" t="s">
        <v>1656</v>
      </c>
      <c r="J99" s="44" t="s">
        <v>40</v>
      </c>
    </row>
    <row r="100" ht="15.75" customHeight="1">
      <c r="A100" s="44" t="s">
        <v>232</v>
      </c>
      <c r="B100" s="44" t="s">
        <v>891</v>
      </c>
      <c r="C100" s="44" t="s">
        <v>892</v>
      </c>
      <c r="D100" s="44">
        <v>0.625</v>
      </c>
      <c r="E100" s="44">
        <v>0.992</v>
      </c>
      <c r="F100" s="44">
        <v>0.333</v>
      </c>
      <c r="G100" s="44">
        <v>0.2</v>
      </c>
      <c r="H100" s="44" t="s">
        <v>17</v>
      </c>
      <c r="I100" s="44" t="s">
        <v>1657</v>
      </c>
      <c r="J100" s="44" t="s">
        <v>40</v>
      </c>
    </row>
    <row r="101" ht="15.75" customHeight="1">
      <c r="A101" s="44" t="s">
        <v>235</v>
      </c>
      <c r="B101" s="44" t="s">
        <v>893</v>
      </c>
      <c r="C101" s="44" t="s">
        <v>894</v>
      </c>
      <c r="D101" s="44">
        <v>0.8</v>
      </c>
      <c r="E101" s="44">
        <v>0.993</v>
      </c>
      <c r="F101" s="44">
        <v>1.0</v>
      </c>
      <c r="G101" s="44">
        <v>0.833</v>
      </c>
      <c r="H101" s="44" t="s">
        <v>17</v>
      </c>
      <c r="I101" s="44" t="s">
        <v>1658</v>
      </c>
      <c r="J101" s="44" t="s">
        <v>40</v>
      </c>
    </row>
    <row r="102" ht="15.75" customHeight="1">
      <c r="A102" s="44" t="s">
        <v>238</v>
      </c>
      <c r="B102" s="44" t="s">
        <v>895</v>
      </c>
      <c r="C102" s="44" t="s">
        <v>896</v>
      </c>
      <c r="D102" s="44">
        <v>0.833</v>
      </c>
      <c r="E102" s="44">
        <v>0.837</v>
      </c>
      <c r="F102" s="44">
        <v>1.0</v>
      </c>
      <c r="G102" s="44">
        <v>0.75</v>
      </c>
      <c r="H102" s="44" t="s">
        <v>17</v>
      </c>
      <c r="I102" s="44" t="s">
        <v>1659</v>
      </c>
      <c r="J102" s="44" t="s">
        <v>40</v>
      </c>
    </row>
    <row r="103" ht="15.75" customHeight="1">
      <c r="A103" s="44" t="s">
        <v>244</v>
      </c>
      <c r="B103" s="44" t="s">
        <v>899</v>
      </c>
      <c r="C103" s="44" t="s">
        <v>900</v>
      </c>
      <c r="D103" s="44">
        <v>0.875</v>
      </c>
      <c r="E103" s="44">
        <v>0.724</v>
      </c>
      <c r="F103" s="44">
        <v>0.0</v>
      </c>
      <c r="G103" s="44">
        <v>1.0</v>
      </c>
      <c r="H103" s="44" t="s">
        <v>17</v>
      </c>
      <c r="I103" s="44" t="s">
        <v>1660</v>
      </c>
      <c r="J103" s="44" t="s">
        <v>40</v>
      </c>
    </row>
    <row r="104" ht="15.75" customHeight="1">
      <c r="A104" s="44" t="s">
        <v>247</v>
      </c>
      <c r="B104" s="44" t="s">
        <v>901</v>
      </c>
      <c r="C104" s="44" t="s">
        <v>902</v>
      </c>
      <c r="D104" s="44">
        <v>0.556</v>
      </c>
      <c r="E104" s="44">
        <v>0.99</v>
      </c>
      <c r="F104" s="44">
        <v>1.0</v>
      </c>
      <c r="G104" s="44">
        <v>0.8</v>
      </c>
      <c r="H104" s="44" t="s">
        <v>17</v>
      </c>
      <c r="I104" s="44" t="s">
        <v>1661</v>
      </c>
      <c r="J104" s="44" t="s">
        <v>40</v>
      </c>
    </row>
    <row r="105" ht="15.75" customHeight="1">
      <c r="A105" s="44" t="s">
        <v>256</v>
      </c>
      <c r="B105" s="44" t="s">
        <v>905</v>
      </c>
      <c r="C105" s="44" t="s">
        <v>906</v>
      </c>
      <c r="D105" s="44">
        <v>0.714</v>
      </c>
      <c r="E105" s="44">
        <v>1.0</v>
      </c>
      <c r="F105" s="44">
        <v>1.0</v>
      </c>
      <c r="G105" s="44">
        <v>1.0</v>
      </c>
      <c r="H105" s="44" t="s">
        <v>17</v>
      </c>
      <c r="I105" s="44" t="s">
        <v>1662</v>
      </c>
      <c r="J105" s="44" t="s">
        <v>40</v>
      </c>
    </row>
    <row r="106" ht="15.75" customHeight="1">
      <c r="A106" s="44" t="s">
        <v>259</v>
      </c>
      <c r="B106" s="44" t="s">
        <v>907</v>
      </c>
      <c r="C106" s="44" t="s">
        <v>908</v>
      </c>
      <c r="D106" s="44">
        <v>0.647</v>
      </c>
      <c r="E106" s="44">
        <v>1.0</v>
      </c>
      <c r="F106" s="44">
        <v>1.0</v>
      </c>
      <c r="G106" s="44">
        <v>0.4</v>
      </c>
      <c r="H106" s="44" t="s">
        <v>17</v>
      </c>
      <c r="I106" s="44" t="s">
        <v>1663</v>
      </c>
      <c r="J106" s="44" t="s">
        <v>40</v>
      </c>
    </row>
    <row r="107" ht="15.75" customHeight="1">
      <c r="A107" s="44" t="s">
        <v>268</v>
      </c>
      <c r="B107" s="44" t="s">
        <v>911</v>
      </c>
      <c r="C107" s="44" t="s">
        <v>912</v>
      </c>
      <c r="D107" s="44">
        <v>1.0</v>
      </c>
      <c r="E107" s="44">
        <v>0.764</v>
      </c>
      <c r="F107" s="44">
        <v>1.0</v>
      </c>
      <c r="G107" s="44">
        <v>1.0</v>
      </c>
      <c r="H107" s="44" t="s">
        <v>17</v>
      </c>
      <c r="I107" s="44" t="s">
        <v>1664</v>
      </c>
      <c r="J107" s="44" t="s">
        <v>40</v>
      </c>
    </row>
    <row r="108" ht="15.75" customHeight="1">
      <c r="A108" s="44" t="s">
        <v>265</v>
      </c>
      <c r="B108" s="44" t="s">
        <v>913</v>
      </c>
      <c r="C108" s="44" t="s">
        <v>914</v>
      </c>
      <c r="D108" s="44">
        <v>0.692</v>
      </c>
      <c r="E108" s="44">
        <v>0.996</v>
      </c>
      <c r="F108" s="44">
        <v>1.0</v>
      </c>
      <c r="G108" s="44">
        <v>0.25</v>
      </c>
      <c r="H108" s="44" t="s">
        <v>17</v>
      </c>
      <c r="I108" s="44" t="s">
        <v>1665</v>
      </c>
      <c r="J108" s="44" t="s">
        <v>40</v>
      </c>
    </row>
    <row r="109" ht="15.75" customHeight="1">
      <c r="A109" s="44" t="s">
        <v>250</v>
      </c>
      <c r="B109" s="44" t="s">
        <v>915</v>
      </c>
      <c r="C109" s="44" t="s">
        <v>916</v>
      </c>
      <c r="D109" s="44">
        <v>1.0</v>
      </c>
      <c r="E109" s="44">
        <v>0.862</v>
      </c>
      <c r="F109" s="44">
        <v>1.0</v>
      </c>
      <c r="G109" s="44">
        <v>1.0</v>
      </c>
      <c r="H109" s="44" t="s">
        <v>17</v>
      </c>
      <c r="I109" s="44" t="s">
        <v>1666</v>
      </c>
      <c r="J109" s="44" t="s">
        <v>40</v>
      </c>
    </row>
    <row r="110" ht="15.75" customHeight="1">
      <c r="A110" s="44" t="s">
        <v>271</v>
      </c>
      <c r="B110" s="44" t="s">
        <v>917</v>
      </c>
      <c r="C110" s="44" t="s">
        <v>918</v>
      </c>
      <c r="D110" s="44">
        <v>0.625</v>
      </c>
      <c r="E110" s="44">
        <v>0.906</v>
      </c>
      <c r="F110" s="44">
        <v>1.0</v>
      </c>
      <c r="G110" s="44">
        <v>1.0</v>
      </c>
      <c r="H110" s="44" t="s">
        <v>17</v>
      </c>
      <c r="I110" s="44" t="s">
        <v>1667</v>
      </c>
      <c r="J110" s="44" t="s">
        <v>40</v>
      </c>
    </row>
    <row r="111" ht="15.75" customHeight="1">
      <c r="A111" s="44" t="s">
        <v>274</v>
      </c>
      <c r="B111" s="44" t="s">
        <v>919</v>
      </c>
      <c r="C111" s="44" t="s">
        <v>920</v>
      </c>
      <c r="D111" s="44">
        <v>1.0</v>
      </c>
      <c r="E111" s="44">
        <v>0.986</v>
      </c>
      <c r="F111" s="44">
        <v>0.583</v>
      </c>
      <c r="G111" s="44">
        <v>1.0</v>
      </c>
      <c r="H111" s="44" t="s">
        <v>17</v>
      </c>
      <c r="I111" s="44" t="s">
        <v>1668</v>
      </c>
      <c r="J111" s="44" t="s">
        <v>40</v>
      </c>
    </row>
    <row r="112" ht="15.75" customHeight="1">
      <c r="A112" s="44" t="s">
        <v>277</v>
      </c>
      <c r="B112" s="44" t="s">
        <v>921</v>
      </c>
      <c r="C112" s="44" t="s">
        <v>922</v>
      </c>
      <c r="D112" s="44">
        <v>0.667</v>
      </c>
      <c r="E112" s="44">
        <v>0.955</v>
      </c>
      <c r="F112" s="44">
        <v>0.0</v>
      </c>
      <c r="G112" s="44">
        <v>1.0</v>
      </c>
      <c r="H112" s="44" t="s">
        <v>17</v>
      </c>
      <c r="I112" s="44" t="s">
        <v>1669</v>
      </c>
      <c r="J112" s="44" t="s">
        <v>40</v>
      </c>
    </row>
    <row r="113" ht="15.75" customHeight="1">
      <c r="A113" s="44" t="s">
        <v>280</v>
      </c>
      <c r="B113" s="44" t="s">
        <v>923</v>
      </c>
      <c r="C113" s="44" t="s">
        <v>924</v>
      </c>
      <c r="D113" s="44">
        <v>0.5</v>
      </c>
      <c r="E113" s="44">
        <v>0.727</v>
      </c>
      <c r="F113" s="44">
        <v>1.0</v>
      </c>
      <c r="G113" s="44">
        <v>0.2</v>
      </c>
      <c r="H113" s="44" t="s">
        <v>17</v>
      </c>
      <c r="I113" s="44" t="s">
        <v>1670</v>
      </c>
      <c r="J113" s="44" t="s">
        <v>40</v>
      </c>
    </row>
    <row r="114" ht="15.75" customHeight="1">
      <c r="A114" s="44" t="s">
        <v>283</v>
      </c>
      <c r="B114" s="44" t="s">
        <v>925</v>
      </c>
      <c r="C114" s="44" t="s">
        <v>926</v>
      </c>
      <c r="D114" s="44">
        <v>0.7</v>
      </c>
      <c r="E114" s="44">
        <v>1.0</v>
      </c>
      <c r="F114" s="44">
        <v>1.0</v>
      </c>
      <c r="G114" s="44">
        <v>0.8</v>
      </c>
      <c r="H114" s="44" t="s">
        <v>17</v>
      </c>
      <c r="I114" s="44" t="s">
        <v>1671</v>
      </c>
      <c r="J114" s="44" t="s">
        <v>40</v>
      </c>
    </row>
    <row r="115" ht="15.75" customHeight="1">
      <c r="A115" s="44" t="s">
        <v>46</v>
      </c>
      <c r="B115" s="44" t="s">
        <v>1085</v>
      </c>
      <c r="C115" s="44" t="s">
        <v>1086</v>
      </c>
      <c r="D115" s="44">
        <v>1.0</v>
      </c>
      <c r="E115" s="44">
        <v>0.989</v>
      </c>
      <c r="F115" s="44">
        <v>1.0</v>
      </c>
      <c r="G115" s="44">
        <v>1.0</v>
      </c>
      <c r="H115" s="44" t="s">
        <v>14</v>
      </c>
      <c r="I115" s="44" t="s">
        <v>1672</v>
      </c>
      <c r="J115" s="44" t="s">
        <v>40</v>
      </c>
    </row>
    <row r="116" ht="15.75" customHeight="1">
      <c r="A116" s="44" t="s">
        <v>52</v>
      </c>
      <c r="B116" s="44" t="s">
        <v>1089</v>
      </c>
      <c r="C116" s="44" t="s">
        <v>1090</v>
      </c>
      <c r="D116" s="44">
        <v>0.529</v>
      </c>
      <c r="E116" s="44">
        <v>0.844</v>
      </c>
      <c r="F116" s="44">
        <v>1.0</v>
      </c>
      <c r="G116" s="44">
        <v>0.4</v>
      </c>
      <c r="H116" s="44" t="s">
        <v>14</v>
      </c>
      <c r="I116" s="44" t="s">
        <v>1673</v>
      </c>
      <c r="J116" s="44" t="s">
        <v>40</v>
      </c>
    </row>
    <row r="117" ht="15.75" customHeight="1">
      <c r="A117" s="44" t="s">
        <v>55</v>
      </c>
      <c r="B117" s="44" t="s">
        <v>1091</v>
      </c>
      <c r="C117" s="44" t="s">
        <v>1092</v>
      </c>
      <c r="D117" s="44">
        <v>0.438</v>
      </c>
      <c r="E117" s="44">
        <v>1.0</v>
      </c>
      <c r="F117" s="44">
        <v>1.0</v>
      </c>
      <c r="G117" s="44">
        <v>1.0</v>
      </c>
      <c r="H117" s="44" t="s">
        <v>14</v>
      </c>
      <c r="I117" s="44" t="s">
        <v>1674</v>
      </c>
      <c r="J117" s="44" t="s">
        <v>40</v>
      </c>
    </row>
    <row r="118" ht="15.75" customHeight="1">
      <c r="A118" s="44" t="s">
        <v>58</v>
      </c>
      <c r="B118" s="44" t="s">
        <v>1093</v>
      </c>
      <c r="C118" s="44" t="s">
        <v>1094</v>
      </c>
      <c r="D118" s="44">
        <v>1.0</v>
      </c>
      <c r="E118" s="44">
        <v>0.876</v>
      </c>
      <c r="F118" s="44">
        <v>1.0</v>
      </c>
      <c r="G118" s="44">
        <v>0.857</v>
      </c>
      <c r="H118" s="44" t="s">
        <v>14</v>
      </c>
      <c r="I118" s="44" t="s">
        <v>1675</v>
      </c>
      <c r="J118" s="44" t="s">
        <v>40</v>
      </c>
    </row>
    <row r="119" ht="15.75" customHeight="1">
      <c r="A119" s="44" t="s">
        <v>70</v>
      </c>
      <c r="B119" s="44" t="s">
        <v>1099</v>
      </c>
      <c r="C119" s="44" t="s">
        <v>1100</v>
      </c>
      <c r="D119" s="44">
        <v>0.917</v>
      </c>
      <c r="E119" s="44">
        <v>0.503</v>
      </c>
      <c r="F119" s="44">
        <v>1.0</v>
      </c>
      <c r="G119" s="44">
        <v>0.833</v>
      </c>
      <c r="H119" s="44" t="s">
        <v>14</v>
      </c>
      <c r="I119" s="44" t="s">
        <v>1676</v>
      </c>
      <c r="J119" s="44" t="s">
        <v>40</v>
      </c>
    </row>
    <row r="120" ht="15.75" customHeight="1">
      <c r="A120" s="44" t="s">
        <v>73</v>
      </c>
      <c r="B120" s="44" t="s">
        <v>1101</v>
      </c>
      <c r="C120" s="44" t="s">
        <v>1102</v>
      </c>
      <c r="D120" s="44">
        <v>0.905</v>
      </c>
      <c r="E120" s="44">
        <v>0.876</v>
      </c>
      <c r="F120" s="44">
        <v>1.0</v>
      </c>
      <c r="G120" s="44">
        <v>0.556</v>
      </c>
      <c r="H120" s="44" t="s">
        <v>14</v>
      </c>
      <c r="I120" s="44" t="s">
        <v>1677</v>
      </c>
      <c r="J120" s="44" t="s">
        <v>40</v>
      </c>
    </row>
    <row r="121" ht="15.75" customHeight="1">
      <c r="A121" s="44" t="s">
        <v>76</v>
      </c>
      <c r="B121" s="44" t="s">
        <v>1103</v>
      </c>
      <c r="C121" s="44" t="s">
        <v>1104</v>
      </c>
      <c r="D121" s="44">
        <v>1.0</v>
      </c>
      <c r="E121" s="44">
        <v>0.682</v>
      </c>
      <c r="F121" s="44">
        <v>1.0</v>
      </c>
      <c r="G121" s="44">
        <v>1.0</v>
      </c>
      <c r="H121" s="44" t="s">
        <v>14</v>
      </c>
      <c r="I121" s="44" t="s">
        <v>1678</v>
      </c>
      <c r="J121" s="44" t="s">
        <v>40</v>
      </c>
    </row>
    <row r="122" ht="15.75" customHeight="1">
      <c r="A122" s="44" t="s">
        <v>79</v>
      </c>
      <c r="B122" s="44" t="s">
        <v>1105</v>
      </c>
      <c r="C122" s="44" t="s">
        <v>1106</v>
      </c>
      <c r="D122" s="44">
        <v>0.692</v>
      </c>
      <c r="E122" s="44">
        <v>1.0</v>
      </c>
      <c r="F122" s="44">
        <v>1.0</v>
      </c>
      <c r="G122" s="44">
        <v>0.8</v>
      </c>
      <c r="H122" s="44" t="s">
        <v>14</v>
      </c>
      <c r="I122" s="44" t="s">
        <v>1679</v>
      </c>
      <c r="J122" s="44" t="s">
        <v>40</v>
      </c>
    </row>
    <row r="123" ht="15.75" customHeight="1">
      <c r="A123" s="44" t="s">
        <v>82</v>
      </c>
      <c r="B123" s="44" t="s">
        <v>1107</v>
      </c>
      <c r="C123" s="44" t="s">
        <v>1108</v>
      </c>
      <c r="D123" s="44">
        <v>1.0</v>
      </c>
      <c r="E123" s="44">
        <v>0.811</v>
      </c>
      <c r="F123" s="44">
        <v>1.0</v>
      </c>
      <c r="G123" s="44">
        <v>1.0</v>
      </c>
      <c r="H123" s="44" t="s">
        <v>14</v>
      </c>
      <c r="I123" s="44" t="s">
        <v>1680</v>
      </c>
      <c r="J123" s="44" t="s">
        <v>40</v>
      </c>
    </row>
    <row r="124" ht="15.75" customHeight="1">
      <c r="A124" s="44" t="s">
        <v>88</v>
      </c>
      <c r="B124" s="44" t="s">
        <v>1111</v>
      </c>
      <c r="C124" s="44" t="s">
        <v>1112</v>
      </c>
      <c r="D124" s="44">
        <v>0.611</v>
      </c>
      <c r="E124" s="44">
        <v>0.807</v>
      </c>
      <c r="F124" s="44">
        <v>1.0</v>
      </c>
      <c r="G124" s="44">
        <v>1.0</v>
      </c>
      <c r="H124" s="44" t="s">
        <v>14</v>
      </c>
      <c r="I124" s="44" t="s">
        <v>1681</v>
      </c>
      <c r="J124" s="44" t="s">
        <v>40</v>
      </c>
    </row>
    <row r="125" ht="15.75" customHeight="1">
      <c r="A125" s="44" t="s">
        <v>91</v>
      </c>
      <c r="B125" s="44" t="s">
        <v>1113</v>
      </c>
      <c r="C125" s="44" t="s">
        <v>1114</v>
      </c>
      <c r="D125" s="44">
        <v>0.333</v>
      </c>
      <c r="E125" s="44">
        <v>0.997</v>
      </c>
      <c r="F125" s="44">
        <v>1.0</v>
      </c>
      <c r="G125" s="44">
        <v>1.0</v>
      </c>
      <c r="H125" s="44" t="s">
        <v>14</v>
      </c>
      <c r="I125" s="44" t="s">
        <v>1682</v>
      </c>
      <c r="J125" s="44" t="s">
        <v>40</v>
      </c>
    </row>
    <row r="126" ht="15.75" customHeight="1">
      <c r="A126" s="44" t="s">
        <v>61</v>
      </c>
      <c r="B126" s="44" t="s">
        <v>1117</v>
      </c>
      <c r="C126" s="44" t="s">
        <v>1118</v>
      </c>
      <c r="D126" s="44">
        <v>0.667</v>
      </c>
      <c r="E126" s="44">
        <v>0.998</v>
      </c>
      <c r="F126" s="44">
        <v>1.0</v>
      </c>
      <c r="G126" s="44">
        <v>0.8</v>
      </c>
      <c r="H126" s="44" t="s">
        <v>14</v>
      </c>
      <c r="I126" s="44" t="s">
        <v>1683</v>
      </c>
      <c r="J126" s="44" t="s">
        <v>40</v>
      </c>
    </row>
    <row r="127" ht="15.75" customHeight="1">
      <c r="A127" s="44" t="s">
        <v>97</v>
      </c>
      <c r="B127" s="44" t="s">
        <v>1119</v>
      </c>
      <c r="C127" s="44" t="s">
        <v>1120</v>
      </c>
      <c r="D127" s="44">
        <v>0.917</v>
      </c>
      <c r="E127" s="44">
        <v>0.851</v>
      </c>
      <c r="F127" s="44">
        <v>1.0</v>
      </c>
      <c r="G127" s="44">
        <v>1.0</v>
      </c>
      <c r="H127" s="44" t="s">
        <v>14</v>
      </c>
      <c r="I127" s="44" t="s">
        <v>1684</v>
      </c>
      <c r="J127" s="44" t="s">
        <v>40</v>
      </c>
    </row>
    <row r="128" ht="15.75" customHeight="1">
      <c r="A128" s="44" t="s">
        <v>100</v>
      </c>
      <c r="B128" s="44" t="s">
        <v>1121</v>
      </c>
      <c r="C128" s="44" t="s">
        <v>1122</v>
      </c>
      <c r="D128" s="44">
        <v>0.556</v>
      </c>
      <c r="E128" s="44">
        <v>0.962</v>
      </c>
      <c r="F128" s="44">
        <v>1.0</v>
      </c>
      <c r="G128" s="44">
        <v>1.0</v>
      </c>
      <c r="H128" s="44" t="s">
        <v>14</v>
      </c>
      <c r="I128" s="44" t="s">
        <v>1685</v>
      </c>
      <c r="J128" s="44" t="s">
        <v>40</v>
      </c>
    </row>
    <row r="129" ht="15.75" customHeight="1">
      <c r="A129" s="44" t="s">
        <v>115</v>
      </c>
      <c r="B129" s="44" t="s">
        <v>1123</v>
      </c>
      <c r="C129" s="44" t="s">
        <v>1124</v>
      </c>
      <c r="D129" s="44">
        <v>0.5</v>
      </c>
      <c r="E129" s="44">
        <v>0.979</v>
      </c>
      <c r="F129" s="44">
        <v>1.0</v>
      </c>
      <c r="G129" s="44">
        <v>1.0</v>
      </c>
      <c r="H129" s="44" t="s">
        <v>14</v>
      </c>
      <c r="I129" s="44" t="s">
        <v>1686</v>
      </c>
      <c r="J129" s="44" t="s">
        <v>40</v>
      </c>
    </row>
    <row r="130" ht="15.75" customHeight="1">
      <c r="A130" s="44" t="s">
        <v>103</v>
      </c>
      <c r="B130" s="44" t="s">
        <v>1125</v>
      </c>
      <c r="C130" s="44" t="s">
        <v>1126</v>
      </c>
      <c r="D130" s="44">
        <v>0.556</v>
      </c>
      <c r="E130" s="44">
        <v>0.814</v>
      </c>
      <c r="F130" s="44">
        <v>1.0</v>
      </c>
      <c r="G130" s="44">
        <v>1.0</v>
      </c>
      <c r="H130" s="44" t="s">
        <v>15</v>
      </c>
      <c r="I130" s="44" t="s">
        <v>1687</v>
      </c>
      <c r="J130" s="44" t="s">
        <v>40</v>
      </c>
    </row>
    <row r="131" ht="15.75" customHeight="1">
      <c r="A131" s="44" t="s">
        <v>112</v>
      </c>
      <c r="B131" s="44" t="s">
        <v>1131</v>
      </c>
      <c r="C131" s="44" t="s">
        <v>1132</v>
      </c>
      <c r="D131" s="44">
        <v>0.667</v>
      </c>
      <c r="E131" s="44">
        <v>0.987</v>
      </c>
      <c r="F131" s="44">
        <v>1.0</v>
      </c>
      <c r="G131" s="44">
        <v>1.0</v>
      </c>
      <c r="H131" s="44" t="s">
        <v>15</v>
      </c>
      <c r="I131" s="44" t="s">
        <v>1688</v>
      </c>
      <c r="J131" s="44" t="s">
        <v>40</v>
      </c>
    </row>
    <row r="132" ht="15.75" customHeight="1">
      <c r="A132" s="44" t="s">
        <v>124</v>
      </c>
      <c r="B132" s="44" t="s">
        <v>1137</v>
      </c>
      <c r="C132" s="44" t="s">
        <v>1138</v>
      </c>
      <c r="D132" s="44">
        <v>0.833</v>
      </c>
      <c r="E132" s="44">
        <v>0.992</v>
      </c>
      <c r="F132" s="44">
        <v>1.0</v>
      </c>
      <c r="G132" s="44">
        <v>1.0</v>
      </c>
      <c r="H132" s="44" t="s">
        <v>15</v>
      </c>
      <c r="I132" s="44" t="s">
        <v>1689</v>
      </c>
      <c r="J132" s="44" t="s">
        <v>40</v>
      </c>
    </row>
    <row r="133" ht="15.75" customHeight="1">
      <c r="A133" s="44" t="s">
        <v>127</v>
      </c>
      <c r="B133" s="44" t="s">
        <v>1139</v>
      </c>
      <c r="C133" s="44" t="s">
        <v>1140</v>
      </c>
      <c r="D133" s="44">
        <v>0.889</v>
      </c>
      <c r="E133" s="44">
        <v>0.919</v>
      </c>
      <c r="F133" s="44">
        <v>0.833</v>
      </c>
      <c r="G133" s="44">
        <v>0.75</v>
      </c>
      <c r="H133" s="44" t="s">
        <v>15</v>
      </c>
      <c r="I133" s="44" t="s">
        <v>1690</v>
      </c>
      <c r="J133" s="44" t="s">
        <v>40</v>
      </c>
    </row>
    <row r="134" ht="15.75" customHeight="1">
      <c r="A134" s="44" t="s">
        <v>133</v>
      </c>
      <c r="B134" s="44" t="s">
        <v>1143</v>
      </c>
      <c r="C134" s="44" t="s">
        <v>1144</v>
      </c>
      <c r="D134" s="44">
        <v>1.0</v>
      </c>
      <c r="E134" s="44">
        <v>0.973</v>
      </c>
      <c r="F134" s="44">
        <v>1.0</v>
      </c>
      <c r="G134" s="44">
        <v>0.375</v>
      </c>
      <c r="H134" s="44" t="s">
        <v>15</v>
      </c>
      <c r="I134" s="44" t="s">
        <v>1691</v>
      </c>
      <c r="J134" s="44" t="s">
        <v>40</v>
      </c>
    </row>
    <row r="135" ht="15.75" customHeight="1">
      <c r="A135" s="44" t="s">
        <v>136</v>
      </c>
      <c r="B135" s="44" t="s">
        <v>1145</v>
      </c>
      <c r="C135" s="44" t="s">
        <v>1146</v>
      </c>
      <c r="D135" s="44">
        <v>0.667</v>
      </c>
      <c r="E135" s="44">
        <v>0.802</v>
      </c>
      <c r="F135" s="44">
        <v>1.0</v>
      </c>
      <c r="G135" s="44">
        <v>1.0</v>
      </c>
      <c r="H135" s="44" t="s">
        <v>15</v>
      </c>
      <c r="I135" s="44" t="s">
        <v>1692</v>
      </c>
      <c r="J135" s="44" t="s">
        <v>40</v>
      </c>
    </row>
    <row r="136" ht="15.75" customHeight="1">
      <c r="A136" s="44" t="s">
        <v>139</v>
      </c>
      <c r="B136" s="44" t="s">
        <v>1147</v>
      </c>
      <c r="C136" s="44" t="s">
        <v>1148</v>
      </c>
      <c r="D136" s="44">
        <v>1.0</v>
      </c>
      <c r="E136" s="44">
        <v>1.0</v>
      </c>
      <c r="F136" s="44">
        <v>1.0</v>
      </c>
      <c r="G136" s="44">
        <v>0.75</v>
      </c>
      <c r="H136" s="44" t="s">
        <v>15</v>
      </c>
      <c r="I136" s="44" t="s">
        <v>1693</v>
      </c>
      <c r="J136" s="44" t="s">
        <v>40</v>
      </c>
    </row>
    <row r="137" ht="15.75" customHeight="1">
      <c r="A137" s="44" t="s">
        <v>142</v>
      </c>
      <c r="B137" s="44" t="s">
        <v>1149</v>
      </c>
      <c r="C137" s="44" t="s">
        <v>1150</v>
      </c>
      <c r="D137" s="44">
        <v>0.929</v>
      </c>
      <c r="E137" s="44">
        <v>0.8</v>
      </c>
      <c r="F137" s="44">
        <v>1.0</v>
      </c>
      <c r="G137" s="44">
        <v>0.8</v>
      </c>
      <c r="H137" s="44" t="s">
        <v>15</v>
      </c>
      <c r="I137" s="44" t="s">
        <v>1694</v>
      </c>
      <c r="J137" s="44" t="s">
        <v>40</v>
      </c>
    </row>
    <row r="138" ht="15.75" customHeight="1">
      <c r="A138" s="44" t="s">
        <v>145</v>
      </c>
      <c r="B138" s="44" t="s">
        <v>1151</v>
      </c>
      <c r="C138" s="44" t="s">
        <v>1152</v>
      </c>
      <c r="D138" s="44">
        <v>0.882</v>
      </c>
      <c r="E138" s="44">
        <v>0.998</v>
      </c>
      <c r="F138" s="44">
        <v>1.0</v>
      </c>
      <c r="G138" s="44">
        <v>0.75</v>
      </c>
      <c r="H138" s="44" t="s">
        <v>15</v>
      </c>
      <c r="I138" s="44" t="s">
        <v>1695</v>
      </c>
      <c r="J138" s="44" t="s">
        <v>40</v>
      </c>
    </row>
    <row r="139" ht="15.75" customHeight="1">
      <c r="A139" s="44" t="s">
        <v>148</v>
      </c>
      <c r="B139" s="44" t="s">
        <v>1153</v>
      </c>
      <c r="C139" s="44" t="s">
        <v>1154</v>
      </c>
      <c r="D139" s="44">
        <v>0.75</v>
      </c>
      <c r="E139" s="44">
        <v>0.762</v>
      </c>
      <c r="F139" s="44">
        <v>1.0</v>
      </c>
      <c r="G139" s="44">
        <v>1.0</v>
      </c>
      <c r="H139" s="44" t="s">
        <v>15</v>
      </c>
      <c r="I139" s="44" t="s">
        <v>1696</v>
      </c>
      <c r="J139" s="44" t="s">
        <v>40</v>
      </c>
    </row>
    <row r="140" ht="15.75" customHeight="1">
      <c r="A140" s="44" t="s">
        <v>151</v>
      </c>
      <c r="B140" s="44" t="s">
        <v>1155</v>
      </c>
      <c r="C140" s="44" t="s">
        <v>1156</v>
      </c>
      <c r="D140" s="44">
        <v>1.0</v>
      </c>
      <c r="E140" s="44">
        <v>0.914</v>
      </c>
      <c r="F140" s="44">
        <v>1.0</v>
      </c>
      <c r="G140" s="44">
        <v>0.833</v>
      </c>
      <c r="H140" s="44" t="s">
        <v>15</v>
      </c>
      <c r="I140" s="44" t="s">
        <v>1697</v>
      </c>
      <c r="J140" s="44" t="s">
        <v>40</v>
      </c>
    </row>
    <row r="141" ht="15.75" customHeight="1">
      <c r="A141" s="44" t="s">
        <v>160</v>
      </c>
      <c r="B141" s="44" t="s">
        <v>1161</v>
      </c>
      <c r="C141" s="44" t="s">
        <v>1162</v>
      </c>
      <c r="D141" s="44">
        <v>0.556</v>
      </c>
      <c r="E141" s="44">
        <v>0.795</v>
      </c>
      <c r="F141" s="44">
        <v>0.583</v>
      </c>
      <c r="G141" s="44">
        <v>0.75</v>
      </c>
      <c r="H141" s="44" t="s">
        <v>15</v>
      </c>
      <c r="I141" s="44" t="s">
        <v>1698</v>
      </c>
      <c r="J141" s="44" t="s">
        <v>40</v>
      </c>
    </row>
    <row r="142" ht="15.75" customHeight="1">
      <c r="A142" s="44" t="s">
        <v>163</v>
      </c>
      <c r="B142" s="44" t="s">
        <v>1163</v>
      </c>
      <c r="C142" s="44" t="s">
        <v>1164</v>
      </c>
      <c r="D142" s="44">
        <v>0.895</v>
      </c>
      <c r="E142" s="44">
        <v>0.665</v>
      </c>
      <c r="F142" s="44">
        <v>1.0</v>
      </c>
      <c r="G142" s="44">
        <v>0.8</v>
      </c>
      <c r="H142" s="44" t="s">
        <v>15</v>
      </c>
      <c r="I142" s="44" t="s">
        <v>1699</v>
      </c>
      <c r="J142" s="44" t="s">
        <v>40</v>
      </c>
    </row>
    <row r="143" ht="15.75" customHeight="1">
      <c r="A143" s="44" t="s">
        <v>169</v>
      </c>
      <c r="B143" s="44" t="s">
        <v>1167</v>
      </c>
      <c r="C143" s="44" t="s">
        <v>1168</v>
      </c>
      <c r="D143" s="44">
        <v>0.55</v>
      </c>
      <c r="E143" s="44">
        <v>0.875</v>
      </c>
      <c r="F143" s="44">
        <v>0.333</v>
      </c>
      <c r="G143" s="44">
        <v>0.857</v>
      </c>
      <c r="H143" s="44" t="s">
        <v>16</v>
      </c>
      <c r="I143" s="44" t="s">
        <v>1700</v>
      </c>
      <c r="J143" s="44" t="s">
        <v>40</v>
      </c>
    </row>
    <row r="144" ht="15.75" customHeight="1">
      <c r="A144" s="44" t="s">
        <v>175</v>
      </c>
      <c r="B144" s="44" t="s">
        <v>1171</v>
      </c>
      <c r="C144" s="44" t="s">
        <v>1172</v>
      </c>
      <c r="D144" s="44">
        <v>0.333</v>
      </c>
      <c r="E144" s="44">
        <v>0.837</v>
      </c>
      <c r="F144" s="44">
        <v>0.833</v>
      </c>
      <c r="G144" s="44">
        <v>0.5</v>
      </c>
      <c r="H144" s="44" t="s">
        <v>16</v>
      </c>
      <c r="I144" s="44" t="s">
        <v>1701</v>
      </c>
      <c r="J144" s="44" t="s">
        <v>40</v>
      </c>
    </row>
    <row r="145" ht="15.75" customHeight="1">
      <c r="A145" s="44" t="s">
        <v>178</v>
      </c>
      <c r="B145" s="44" t="s">
        <v>1173</v>
      </c>
      <c r="C145" s="44" t="s">
        <v>1174</v>
      </c>
      <c r="D145" s="44">
        <v>0.636</v>
      </c>
      <c r="E145" s="44">
        <v>0.946</v>
      </c>
      <c r="F145" s="44">
        <v>0.833</v>
      </c>
      <c r="G145" s="44">
        <v>0.0</v>
      </c>
      <c r="H145" s="44" t="s">
        <v>16</v>
      </c>
      <c r="I145" s="44" t="s">
        <v>1702</v>
      </c>
      <c r="J145" s="44" t="s">
        <v>40</v>
      </c>
    </row>
    <row r="146" ht="15.75" customHeight="1">
      <c r="A146" s="44" t="s">
        <v>181</v>
      </c>
      <c r="B146" s="44" t="s">
        <v>1175</v>
      </c>
      <c r="C146" s="44" t="s">
        <v>1176</v>
      </c>
      <c r="D146" s="44">
        <v>1.0</v>
      </c>
      <c r="E146" s="44">
        <v>0.818</v>
      </c>
      <c r="F146" s="44">
        <v>1.0</v>
      </c>
      <c r="G146" s="44">
        <v>1.0</v>
      </c>
      <c r="H146" s="44" t="s">
        <v>16</v>
      </c>
      <c r="I146" s="44" t="s">
        <v>1703</v>
      </c>
      <c r="J146" s="44" t="s">
        <v>40</v>
      </c>
    </row>
    <row r="147" ht="15.75" customHeight="1">
      <c r="A147" s="44" t="s">
        <v>187</v>
      </c>
      <c r="B147" s="44" t="s">
        <v>1179</v>
      </c>
      <c r="C147" s="44" t="s">
        <v>1180</v>
      </c>
      <c r="D147" s="44">
        <v>1.0</v>
      </c>
      <c r="E147" s="44">
        <v>0.682</v>
      </c>
      <c r="F147" s="44">
        <v>1.0</v>
      </c>
      <c r="G147" s="44">
        <v>0.8</v>
      </c>
      <c r="H147" s="44" t="s">
        <v>16</v>
      </c>
      <c r="I147" s="44" t="s">
        <v>1704</v>
      </c>
      <c r="J147" s="44" t="s">
        <v>40</v>
      </c>
    </row>
    <row r="148" ht="15.75" customHeight="1">
      <c r="A148" s="44" t="s">
        <v>190</v>
      </c>
      <c r="B148" s="44" t="s">
        <v>1181</v>
      </c>
      <c r="C148" s="44" t="s">
        <v>1182</v>
      </c>
      <c r="D148" s="44">
        <v>0.545</v>
      </c>
      <c r="E148" s="44">
        <v>0.908</v>
      </c>
      <c r="F148" s="44">
        <v>1.0</v>
      </c>
      <c r="G148" s="44">
        <v>0.286</v>
      </c>
      <c r="H148" s="44" t="s">
        <v>16</v>
      </c>
      <c r="I148" s="44" t="s">
        <v>1705</v>
      </c>
      <c r="J148" s="44" t="s">
        <v>40</v>
      </c>
    </row>
    <row r="149" ht="15.75" customHeight="1">
      <c r="A149" s="44" t="s">
        <v>202</v>
      </c>
      <c r="B149" s="44" t="s">
        <v>1189</v>
      </c>
      <c r="C149" s="44" t="s">
        <v>1190</v>
      </c>
      <c r="D149" s="44">
        <v>0.909</v>
      </c>
      <c r="E149" s="44">
        <v>0.865</v>
      </c>
      <c r="F149" s="44">
        <v>1.0</v>
      </c>
      <c r="G149" s="44">
        <v>1.0</v>
      </c>
      <c r="H149" s="44" t="s">
        <v>16</v>
      </c>
      <c r="I149" s="44" t="s">
        <v>1706</v>
      </c>
      <c r="J149" s="44" t="s">
        <v>40</v>
      </c>
    </row>
    <row r="150" ht="15.75" customHeight="1">
      <c r="A150" s="44" t="s">
        <v>205</v>
      </c>
      <c r="B150" s="44" t="s">
        <v>1191</v>
      </c>
      <c r="C150" s="44" t="s">
        <v>1192</v>
      </c>
      <c r="D150" s="44">
        <v>0.824</v>
      </c>
      <c r="E150" s="44">
        <v>1.0</v>
      </c>
      <c r="F150" s="44">
        <v>1.0</v>
      </c>
      <c r="G150" s="44">
        <v>1.0</v>
      </c>
      <c r="H150" s="44" t="s">
        <v>16</v>
      </c>
      <c r="I150" s="44" t="s">
        <v>1707</v>
      </c>
      <c r="J150" s="44" t="s">
        <v>40</v>
      </c>
    </row>
    <row r="151" ht="15.75" customHeight="1">
      <c r="A151" s="44" t="s">
        <v>208</v>
      </c>
      <c r="B151" s="44" t="s">
        <v>1193</v>
      </c>
      <c r="C151" s="44" t="s">
        <v>1194</v>
      </c>
      <c r="D151" s="44">
        <v>0.933</v>
      </c>
      <c r="E151" s="44">
        <v>0.769</v>
      </c>
      <c r="F151" s="44">
        <v>1.0</v>
      </c>
      <c r="G151" s="44">
        <v>1.0</v>
      </c>
      <c r="H151" s="44" t="s">
        <v>16</v>
      </c>
      <c r="I151" s="44" t="s">
        <v>1708</v>
      </c>
      <c r="J151" s="44" t="s">
        <v>40</v>
      </c>
    </row>
    <row r="152" ht="15.75" customHeight="1">
      <c r="A152" s="44" t="s">
        <v>211</v>
      </c>
      <c r="B152" s="44" t="s">
        <v>1195</v>
      </c>
      <c r="C152" s="44" t="s">
        <v>1196</v>
      </c>
      <c r="D152" s="44">
        <v>1.0</v>
      </c>
      <c r="E152" s="44">
        <v>0.973</v>
      </c>
      <c r="F152" s="44">
        <v>1.0</v>
      </c>
      <c r="G152" s="44">
        <v>1.0</v>
      </c>
      <c r="H152" s="44" t="s">
        <v>16</v>
      </c>
      <c r="I152" s="44" t="s">
        <v>1709</v>
      </c>
      <c r="J152" s="44" t="s">
        <v>40</v>
      </c>
    </row>
    <row r="153" ht="15.75" customHeight="1">
      <c r="A153" s="44" t="s">
        <v>214</v>
      </c>
      <c r="B153" s="44" t="s">
        <v>1197</v>
      </c>
      <c r="C153" s="44" t="s">
        <v>1198</v>
      </c>
      <c r="D153" s="44">
        <v>0.75</v>
      </c>
      <c r="E153" s="44">
        <v>0.901</v>
      </c>
      <c r="F153" s="44">
        <v>1.0</v>
      </c>
      <c r="G153" s="44">
        <v>1.0</v>
      </c>
      <c r="H153" s="44" t="s">
        <v>16</v>
      </c>
      <c r="I153" s="44" t="s">
        <v>1710</v>
      </c>
      <c r="J153" s="44" t="s">
        <v>40</v>
      </c>
    </row>
    <row r="154" ht="15.75" customHeight="1">
      <c r="A154" s="44" t="s">
        <v>220</v>
      </c>
      <c r="B154" s="44" t="s">
        <v>1201</v>
      </c>
      <c r="C154" s="44" t="s">
        <v>1202</v>
      </c>
      <c r="D154" s="44">
        <v>0.9</v>
      </c>
      <c r="E154" s="44">
        <v>0.765</v>
      </c>
      <c r="F154" s="44">
        <v>1.0</v>
      </c>
      <c r="G154" s="44">
        <v>0.143</v>
      </c>
      <c r="H154" s="44" t="s">
        <v>16</v>
      </c>
      <c r="I154" s="44" t="s">
        <v>1711</v>
      </c>
      <c r="J154" s="44" t="s">
        <v>40</v>
      </c>
    </row>
    <row r="155" ht="15.75" customHeight="1">
      <c r="A155" s="44" t="s">
        <v>223</v>
      </c>
      <c r="B155" s="44" t="s">
        <v>1203</v>
      </c>
      <c r="C155" s="44" t="s">
        <v>1204</v>
      </c>
      <c r="D155" s="44">
        <v>0.667</v>
      </c>
      <c r="E155" s="44">
        <v>0.798</v>
      </c>
      <c r="F155" s="44">
        <v>1.0</v>
      </c>
      <c r="G155" s="44">
        <v>1.0</v>
      </c>
      <c r="H155" s="44" t="s">
        <v>16</v>
      </c>
      <c r="I155" s="44" t="s">
        <v>1712</v>
      </c>
      <c r="J155" s="44" t="s">
        <v>40</v>
      </c>
    </row>
    <row r="156" ht="15.75" customHeight="1">
      <c r="A156" s="44" t="s">
        <v>226</v>
      </c>
      <c r="B156" s="44" t="s">
        <v>1207</v>
      </c>
      <c r="C156" s="44" t="s">
        <v>1208</v>
      </c>
      <c r="D156" s="44">
        <v>0.727</v>
      </c>
      <c r="E156" s="44">
        <v>0.998</v>
      </c>
      <c r="F156" s="44">
        <v>1.0</v>
      </c>
      <c r="G156" s="44">
        <v>1.0</v>
      </c>
      <c r="H156" s="44" t="s">
        <v>17</v>
      </c>
      <c r="I156" s="44" t="s">
        <v>1713</v>
      </c>
      <c r="J156" s="44" t="s">
        <v>40</v>
      </c>
    </row>
    <row r="157" ht="15.75" customHeight="1">
      <c r="A157" s="44" t="s">
        <v>232</v>
      </c>
      <c r="B157" s="44" t="s">
        <v>1209</v>
      </c>
      <c r="C157" s="44" t="s">
        <v>1210</v>
      </c>
      <c r="D157" s="44">
        <v>0.667</v>
      </c>
      <c r="E157" s="44">
        <v>0.996</v>
      </c>
      <c r="F157" s="44">
        <v>0.833</v>
      </c>
      <c r="G157" s="44">
        <v>1.0</v>
      </c>
      <c r="H157" s="44" t="s">
        <v>17</v>
      </c>
      <c r="I157" s="44" t="s">
        <v>1714</v>
      </c>
      <c r="J157" s="44" t="s">
        <v>40</v>
      </c>
    </row>
    <row r="158" ht="15.75" customHeight="1">
      <c r="A158" s="44" t="s">
        <v>235</v>
      </c>
      <c r="B158" s="44" t="s">
        <v>1211</v>
      </c>
      <c r="C158" s="44" t="s">
        <v>1212</v>
      </c>
      <c r="D158" s="44">
        <v>1.0</v>
      </c>
      <c r="E158" s="44">
        <v>0.993</v>
      </c>
      <c r="F158" s="44">
        <v>1.0</v>
      </c>
      <c r="G158" s="44">
        <v>0.8</v>
      </c>
      <c r="H158" s="44" t="s">
        <v>17</v>
      </c>
      <c r="I158" s="44" t="s">
        <v>1715</v>
      </c>
      <c r="J158" s="44" t="s">
        <v>40</v>
      </c>
    </row>
    <row r="159" ht="15.75" customHeight="1">
      <c r="A159" s="44" t="s">
        <v>238</v>
      </c>
      <c r="B159" s="44" t="s">
        <v>1213</v>
      </c>
      <c r="C159" s="44" t="s">
        <v>1214</v>
      </c>
      <c r="D159" s="44">
        <v>0.5</v>
      </c>
      <c r="E159" s="44">
        <v>0.794</v>
      </c>
      <c r="F159" s="44">
        <v>1.0</v>
      </c>
      <c r="G159" s="44">
        <v>1.0</v>
      </c>
      <c r="H159" s="44" t="s">
        <v>17</v>
      </c>
      <c r="I159" s="44" t="s">
        <v>1716</v>
      </c>
      <c r="J159" s="44" t="s">
        <v>40</v>
      </c>
    </row>
    <row r="160" ht="15.75" customHeight="1">
      <c r="A160" s="44" t="s">
        <v>244</v>
      </c>
      <c r="B160" s="44" t="s">
        <v>1217</v>
      </c>
      <c r="C160" s="44" t="s">
        <v>1218</v>
      </c>
      <c r="D160" s="44">
        <v>0.714</v>
      </c>
      <c r="E160" s="44">
        <v>0.999</v>
      </c>
      <c r="F160" s="44">
        <v>0.583</v>
      </c>
      <c r="G160" s="44">
        <v>1.0</v>
      </c>
      <c r="H160" s="44" t="s">
        <v>17</v>
      </c>
      <c r="I160" s="44" t="s">
        <v>1717</v>
      </c>
      <c r="J160" s="44" t="s">
        <v>40</v>
      </c>
    </row>
    <row r="161" ht="15.75" customHeight="1">
      <c r="A161" s="44" t="s">
        <v>250</v>
      </c>
      <c r="B161" s="44" t="s">
        <v>1221</v>
      </c>
      <c r="C161" s="44" t="s">
        <v>1222</v>
      </c>
      <c r="D161" s="44">
        <v>0.545</v>
      </c>
      <c r="E161" s="44">
        <v>0.862</v>
      </c>
      <c r="F161" s="44">
        <v>0.583</v>
      </c>
      <c r="G161" s="44">
        <v>1.0</v>
      </c>
      <c r="H161" s="44" t="s">
        <v>17</v>
      </c>
      <c r="I161" s="44" t="s">
        <v>1718</v>
      </c>
      <c r="J161" s="44" t="s">
        <v>40</v>
      </c>
    </row>
    <row r="162" ht="15.75" customHeight="1">
      <c r="A162" s="44" t="s">
        <v>253</v>
      </c>
      <c r="B162" s="44" t="s">
        <v>1223</v>
      </c>
      <c r="C162" s="44" t="s">
        <v>1224</v>
      </c>
      <c r="D162" s="44">
        <v>0.75</v>
      </c>
      <c r="E162" s="44">
        <v>0.932</v>
      </c>
      <c r="F162" s="44">
        <v>1.0</v>
      </c>
      <c r="G162" s="44">
        <v>1.0</v>
      </c>
      <c r="H162" s="44" t="s">
        <v>17</v>
      </c>
      <c r="I162" s="44" t="s">
        <v>1719</v>
      </c>
      <c r="J162" s="44" t="s">
        <v>40</v>
      </c>
    </row>
    <row r="163" ht="15.75" customHeight="1">
      <c r="A163" s="44" t="s">
        <v>256</v>
      </c>
      <c r="B163" s="44" t="s">
        <v>1225</v>
      </c>
      <c r="C163" s="44" t="s">
        <v>1226</v>
      </c>
      <c r="D163" s="44">
        <v>1.0</v>
      </c>
      <c r="E163" s="44">
        <v>1.0</v>
      </c>
      <c r="F163" s="44">
        <v>0.583</v>
      </c>
      <c r="G163" s="44">
        <v>1.0</v>
      </c>
      <c r="H163" s="44" t="s">
        <v>17</v>
      </c>
      <c r="I163" s="44" t="s">
        <v>1720</v>
      </c>
      <c r="J163" s="44" t="s">
        <v>40</v>
      </c>
    </row>
    <row r="164" ht="15.75" customHeight="1">
      <c r="A164" s="44" t="s">
        <v>259</v>
      </c>
      <c r="B164" s="44" t="s">
        <v>1227</v>
      </c>
      <c r="C164" s="44" t="s">
        <v>1228</v>
      </c>
      <c r="D164" s="44">
        <v>1.0</v>
      </c>
      <c r="E164" s="44">
        <v>0.996</v>
      </c>
      <c r="F164" s="44">
        <v>1.0</v>
      </c>
      <c r="G164" s="44">
        <v>1.0</v>
      </c>
      <c r="H164" s="44" t="s">
        <v>17</v>
      </c>
      <c r="I164" s="44" t="s">
        <v>1721</v>
      </c>
      <c r="J164" s="44" t="s">
        <v>40</v>
      </c>
    </row>
    <row r="165" ht="15.75" customHeight="1">
      <c r="A165" s="44" t="s">
        <v>262</v>
      </c>
      <c r="B165" s="44" t="s">
        <v>1229</v>
      </c>
      <c r="C165" s="44" t="s">
        <v>1230</v>
      </c>
      <c r="D165" s="44">
        <v>0.3</v>
      </c>
      <c r="E165" s="44">
        <v>0.942</v>
      </c>
      <c r="F165" s="44">
        <v>1.0</v>
      </c>
      <c r="G165" s="44">
        <v>1.0</v>
      </c>
      <c r="H165" s="44" t="s">
        <v>17</v>
      </c>
      <c r="I165" s="44" t="s">
        <v>1722</v>
      </c>
      <c r="J165" s="44" t="s">
        <v>40</v>
      </c>
    </row>
    <row r="166" ht="15.75" customHeight="1">
      <c r="A166" s="44" t="s">
        <v>268</v>
      </c>
      <c r="B166" s="44" t="s">
        <v>1233</v>
      </c>
      <c r="C166" s="44" t="s">
        <v>1234</v>
      </c>
      <c r="D166" s="44">
        <v>1.0</v>
      </c>
      <c r="E166" s="44">
        <v>0.759</v>
      </c>
      <c r="F166" s="44">
        <v>1.0</v>
      </c>
      <c r="G166" s="44">
        <v>1.0</v>
      </c>
      <c r="H166" s="44" t="s">
        <v>17</v>
      </c>
      <c r="I166" s="44" t="s">
        <v>1723</v>
      </c>
      <c r="J166" s="44" t="s">
        <v>40</v>
      </c>
    </row>
    <row r="167" ht="15.75" customHeight="1">
      <c r="A167" s="44" t="s">
        <v>277</v>
      </c>
      <c r="B167" s="44" t="s">
        <v>1239</v>
      </c>
      <c r="C167" s="44" t="s">
        <v>1240</v>
      </c>
      <c r="D167" s="44">
        <v>1.0</v>
      </c>
      <c r="E167" s="44">
        <v>0.951</v>
      </c>
      <c r="F167" s="44">
        <v>0.833</v>
      </c>
      <c r="G167" s="44">
        <v>0.8</v>
      </c>
      <c r="H167" s="44" t="s">
        <v>17</v>
      </c>
      <c r="I167" s="44" t="s">
        <v>1724</v>
      </c>
      <c r="J167" s="44" t="s">
        <v>40</v>
      </c>
    </row>
    <row r="168" ht="15.75" customHeight="1">
      <c r="A168" s="44" t="s">
        <v>280</v>
      </c>
      <c r="B168" s="44" t="s">
        <v>1241</v>
      </c>
      <c r="C168" s="44" t="s">
        <v>1242</v>
      </c>
      <c r="D168" s="44">
        <v>0.222</v>
      </c>
      <c r="E168" s="44">
        <v>0.882</v>
      </c>
      <c r="F168" s="44">
        <v>1.0</v>
      </c>
      <c r="G168" s="44">
        <v>1.0</v>
      </c>
      <c r="H168" s="44" t="s">
        <v>17</v>
      </c>
      <c r="I168" s="44" t="s">
        <v>1725</v>
      </c>
      <c r="J168" s="44" t="s">
        <v>40</v>
      </c>
    </row>
    <row r="169" ht="15.75" customHeight="1">
      <c r="A169" s="44" t="s">
        <v>46</v>
      </c>
      <c r="B169" s="44" t="s">
        <v>927</v>
      </c>
      <c r="C169" s="44" t="s">
        <v>928</v>
      </c>
      <c r="D169" s="44">
        <v>0.615</v>
      </c>
      <c r="E169" s="44">
        <v>0.969</v>
      </c>
      <c r="F169" s="44">
        <v>1.0</v>
      </c>
      <c r="G169" s="44">
        <v>0.833</v>
      </c>
      <c r="H169" s="44" t="s">
        <v>14</v>
      </c>
      <c r="I169" s="44" t="s">
        <v>1726</v>
      </c>
      <c r="J169" s="44" t="s">
        <v>40</v>
      </c>
    </row>
    <row r="170" ht="15.75" customHeight="1">
      <c r="A170" s="44" t="s">
        <v>52</v>
      </c>
      <c r="B170" s="44" t="s">
        <v>931</v>
      </c>
      <c r="C170" s="44" t="s">
        <v>932</v>
      </c>
      <c r="D170" s="44">
        <v>0.867</v>
      </c>
      <c r="E170" s="44">
        <v>0.889</v>
      </c>
      <c r="F170" s="44">
        <v>1.0</v>
      </c>
      <c r="G170" s="44">
        <v>0.167</v>
      </c>
      <c r="H170" s="44" t="s">
        <v>14</v>
      </c>
      <c r="I170" s="44" t="s">
        <v>1727</v>
      </c>
      <c r="J170" s="44" t="s">
        <v>40</v>
      </c>
    </row>
    <row r="171" ht="15.75" customHeight="1">
      <c r="A171" s="44" t="s">
        <v>55</v>
      </c>
      <c r="B171" s="44" t="s">
        <v>933</v>
      </c>
      <c r="C171" s="44" t="s">
        <v>934</v>
      </c>
      <c r="D171" s="44">
        <v>1.0</v>
      </c>
      <c r="E171" s="44">
        <v>1.0</v>
      </c>
      <c r="F171" s="44">
        <v>1.0</v>
      </c>
      <c r="G171" s="44">
        <v>0.667</v>
      </c>
      <c r="H171" s="44" t="s">
        <v>14</v>
      </c>
      <c r="I171" s="44" t="s">
        <v>1728</v>
      </c>
      <c r="J171" s="44" t="s">
        <v>40</v>
      </c>
    </row>
    <row r="172" ht="15.75" customHeight="1">
      <c r="A172" s="44" t="s">
        <v>58</v>
      </c>
      <c r="B172" s="44" t="s">
        <v>935</v>
      </c>
      <c r="C172" s="44" t="s">
        <v>936</v>
      </c>
      <c r="D172" s="44">
        <v>0.75</v>
      </c>
      <c r="E172" s="44">
        <v>0.876</v>
      </c>
      <c r="F172" s="44">
        <v>1.0</v>
      </c>
      <c r="G172" s="44">
        <v>1.0</v>
      </c>
      <c r="H172" s="44" t="s">
        <v>14</v>
      </c>
      <c r="I172" s="44" t="s">
        <v>1729</v>
      </c>
      <c r="J172" s="44" t="s">
        <v>40</v>
      </c>
    </row>
    <row r="173" ht="15.75" customHeight="1">
      <c r="A173" s="44" t="s">
        <v>61</v>
      </c>
      <c r="B173" s="44" t="s">
        <v>937</v>
      </c>
      <c r="C173" s="44" t="s">
        <v>938</v>
      </c>
      <c r="D173" s="44">
        <v>1.0</v>
      </c>
      <c r="E173" s="44">
        <v>0.989</v>
      </c>
      <c r="F173" s="44">
        <v>1.0</v>
      </c>
      <c r="G173" s="44">
        <v>0.833</v>
      </c>
      <c r="H173" s="44" t="s">
        <v>14</v>
      </c>
      <c r="I173" s="44" t="s">
        <v>1730</v>
      </c>
      <c r="J173" s="44" t="s">
        <v>40</v>
      </c>
    </row>
    <row r="174" ht="15.75" customHeight="1">
      <c r="A174" s="44" t="s">
        <v>73</v>
      </c>
      <c r="B174" s="44" t="s">
        <v>945</v>
      </c>
      <c r="C174" s="44" t="s">
        <v>946</v>
      </c>
      <c r="D174" s="44">
        <v>0.7</v>
      </c>
      <c r="E174" s="44">
        <v>0.876</v>
      </c>
      <c r="F174" s="44">
        <v>0.0</v>
      </c>
      <c r="G174" s="44">
        <v>0.8</v>
      </c>
      <c r="H174" s="44" t="s">
        <v>14</v>
      </c>
      <c r="I174" s="44" t="s">
        <v>1731</v>
      </c>
      <c r="J174" s="44" t="s">
        <v>40</v>
      </c>
    </row>
    <row r="175" ht="15.75" customHeight="1">
      <c r="A175" s="44" t="s">
        <v>76</v>
      </c>
      <c r="B175" s="44" t="s">
        <v>947</v>
      </c>
      <c r="C175" s="44" t="s">
        <v>948</v>
      </c>
      <c r="D175" s="44">
        <v>0.733</v>
      </c>
      <c r="E175" s="44">
        <v>0.741</v>
      </c>
      <c r="F175" s="44">
        <v>1.0</v>
      </c>
      <c r="G175" s="44">
        <v>1.0</v>
      </c>
      <c r="H175" s="44" t="s">
        <v>14</v>
      </c>
      <c r="I175" s="44" t="s">
        <v>1732</v>
      </c>
      <c r="J175" s="44" t="s">
        <v>40</v>
      </c>
    </row>
    <row r="176" ht="15.75" customHeight="1">
      <c r="A176" s="44" t="s">
        <v>79</v>
      </c>
      <c r="B176" s="44" t="s">
        <v>949</v>
      </c>
      <c r="C176" s="44" t="s">
        <v>950</v>
      </c>
      <c r="D176" s="44">
        <v>0.938</v>
      </c>
      <c r="E176" s="44">
        <v>1.0</v>
      </c>
      <c r="F176" s="44">
        <v>0.95</v>
      </c>
      <c r="G176" s="44">
        <v>0.8</v>
      </c>
      <c r="H176" s="44" t="s">
        <v>14</v>
      </c>
      <c r="I176" s="44" t="s">
        <v>1733</v>
      </c>
      <c r="J176" s="44" t="s">
        <v>40</v>
      </c>
    </row>
    <row r="177" ht="15.75" customHeight="1">
      <c r="A177" s="44" t="s">
        <v>82</v>
      </c>
      <c r="B177" s="44" t="s">
        <v>951</v>
      </c>
      <c r="C177" s="44" t="s">
        <v>952</v>
      </c>
      <c r="D177" s="44">
        <v>1.0</v>
      </c>
      <c r="E177" s="44">
        <v>0.791</v>
      </c>
      <c r="F177" s="44">
        <v>1.0</v>
      </c>
      <c r="G177" s="44">
        <v>1.0</v>
      </c>
      <c r="H177" s="44" t="s">
        <v>14</v>
      </c>
      <c r="I177" s="44" t="s">
        <v>1734</v>
      </c>
      <c r="J177" s="44" t="s">
        <v>40</v>
      </c>
    </row>
    <row r="178" ht="15.75" customHeight="1">
      <c r="A178" s="44" t="s">
        <v>85</v>
      </c>
      <c r="B178" s="44" t="s">
        <v>953</v>
      </c>
      <c r="C178" s="44" t="s">
        <v>954</v>
      </c>
      <c r="D178" s="44">
        <v>1.0</v>
      </c>
      <c r="E178" s="44">
        <v>0.987</v>
      </c>
      <c r="F178" s="44">
        <v>1.0</v>
      </c>
      <c r="G178" s="44">
        <v>0.8</v>
      </c>
      <c r="H178" s="44" t="s">
        <v>14</v>
      </c>
      <c r="I178" s="44" t="s">
        <v>1735</v>
      </c>
      <c r="J178" s="44" t="s">
        <v>40</v>
      </c>
    </row>
    <row r="179" ht="15.75" customHeight="1">
      <c r="A179" s="44" t="s">
        <v>88</v>
      </c>
      <c r="B179" s="44" t="s">
        <v>955</v>
      </c>
      <c r="C179" s="44" t="s">
        <v>956</v>
      </c>
      <c r="D179" s="44">
        <v>0.688</v>
      </c>
      <c r="E179" s="44">
        <v>0.721</v>
      </c>
      <c r="F179" s="44">
        <v>1.0</v>
      </c>
      <c r="G179" s="44">
        <v>1.0</v>
      </c>
      <c r="H179" s="44" t="s">
        <v>14</v>
      </c>
      <c r="I179" s="44" t="s">
        <v>1736</v>
      </c>
      <c r="J179" s="44" t="s">
        <v>40</v>
      </c>
    </row>
    <row r="180" ht="15.75" customHeight="1">
      <c r="A180" s="44" t="s">
        <v>97</v>
      </c>
      <c r="B180" s="44" t="s">
        <v>961</v>
      </c>
      <c r="C180" s="44" t="s">
        <v>962</v>
      </c>
      <c r="D180" s="44">
        <v>1.0</v>
      </c>
      <c r="E180" s="44">
        <v>0.886</v>
      </c>
      <c r="F180" s="44">
        <v>0.5</v>
      </c>
      <c r="G180" s="44">
        <v>0.286</v>
      </c>
      <c r="H180" s="44" t="s">
        <v>14</v>
      </c>
      <c r="I180" s="44" t="s">
        <v>1737</v>
      </c>
      <c r="J180" s="44" t="s">
        <v>40</v>
      </c>
    </row>
    <row r="181" ht="15.75" customHeight="1">
      <c r="A181" s="44" t="s">
        <v>100</v>
      </c>
      <c r="B181" s="44" t="s">
        <v>963</v>
      </c>
      <c r="C181" s="44" t="s">
        <v>964</v>
      </c>
      <c r="D181" s="44">
        <v>0.955</v>
      </c>
      <c r="E181" s="44">
        <v>0.784</v>
      </c>
      <c r="F181" s="44">
        <v>1.0</v>
      </c>
      <c r="G181" s="44">
        <v>1.0</v>
      </c>
      <c r="H181" s="44" t="s">
        <v>14</v>
      </c>
      <c r="I181" s="44" t="s">
        <v>1738</v>
      </c>
      <c r="J181" s="44" t="s">
        <v>40</v>
      </c>
    </row>
    <row r="182" ht="15.75" customHeight="1">
      <c r="A182" s="44" t="s">
        <v>109</v>
      </c>
      <c r="B182" s="44" t="s">
        <v>969</v>
      </c>
      <c r="C182" s="44" t="s">
        <v>970</v>
      </c>
      <c r="D182" s="44">
        <v>0.9</v>
      </c>
      <c r="E182" s="44">
        <v>0.673</v>
      </c>
      <c r="F182" s="44">
        <v>1.0</v>
      </c>
      <c r="G182" s="44">
        <v>0.333</v>
      </c>
      <c r="H182" s="44" t="s">
        <v>15</v>
      </c>
      <c r="I182" s="44" t="s">
        <v>1739</v>
      </c>
      <c r="J182" s="44" t="s">
        <v>40</v>
      </c>
    </row>
    <row r="183" ht="15.75" customHeight="1">
      <c r="A183" s="44" t="s">
        <v>121</v>
      </c>
      <c r="B183" s="44" t="s">
        <v>977</v>
      </c>
      <c r="C183" s="44" t="s">
        <v>978</v>
      </c>
      <c r="D183" s="44">
        <v>1.0</v>
      </c>
      <c r="E183" s="44">
        <v>0.978</v>
      </c>
      <c r="F183" s="44">
        <v>0.804</v>
      </c>
      <c r="G183" s="44">
        <v>1.0</v>
      </c>
      <c r="H183" s="44" t="s">
        <v>15</v>
      </c>
      <c r="I183" s="44" t="s">
        <v>1740</v>
      </c>
      <c r="J183" s="44" t="s">
        <v>40</v>
      </c>
    </row>
    <row r="184" ht="15.75" customHeight="1">
      <c r="A184" s="44" t="s">
        <v>127</v>
      </c>
      <c r="B184" s="44" t="s">
        <v>981</v>
      </c>
      <c r="C184" s="44" t="s">
        <v>982</v>
      </c>
      <c r="D184" s="44">
        <v>1.0</v>
      </c>
      <c r="E184" s="44">
        <v>0.89</v>
      </c>
      <c r="F184" s="44">
        <v>0.533</v>
      </c>
      <c r="G184" s="44">
        <v>0.75</v>
      </c>
      <c r="H184" s="44" t="s">
        <v>15</v>
      </c>
      <c r="I184" s="44" t="s">
        <v>1741</v>
      </c>
      <c r="J184" s="44" t="s">
        <v>40</v>
      </c>
    </row>
    <row r="185" ht="15.75" customHeight="1">
      <c r="A185" s="44" t="s">
        <v>130</v>
      </c>
      <c r="B185" s="44" t="s">
        <v>983</v>
      </c>
      <c r="C185" s="44" t="s">
        <v>984</v>
      </c>
      <c r="D185" s="44">
        <v>0.75</v>
      </c>
      <c r="E185" s="44">
        <v>0.848</v>
      </c>
      <c r="F185" s="44">
        <v>1.0</v>
      </c>
      <c r="G185" s="44">
        <v>1.0</v>
      </c>
      <c r="H185" s="44" t="s">
        <v>15</v>
      </c>
      <c r="I185" s="44" t="s">
        <v>1742</v>
      </c>
      <c r="J185" s="44" t="s">
        <v>40</v>
      </c>
    </row>
    <row r="186" ht="15.75" customHeight="1">
      <c r="A186" s="44" t="s">
        <v>136</v>
      </c>
      <c r="B186" s="44" t="s">
        <v>987</v>
      </c>
      <c r="C186" s="44" t="s">
        <v>988</v>
      </c>
      <c r="D186" s="44">
        <v>0.941</v>
      </c>
      <c r="E186" s="44">
        <v>0.999</v>
      </c>
      <c r="F186" s="44">
        <v>1.0</v>
      </c>
      <c r="G186" s="44">
        <v>0.417</v>
      </c>
      <c r="H186" s="44" t="s">
        <v>15</v>
      </c>
      <c r="I186" s="44" t="s">
        <v>1743</v>
      </c>
      <c r="J186" s="44" t="s">
        <v>40</v>
      </c>
    </row>
    <row r="187" ht="15.75" customHeight="1">
      <c r="A187" s="44" t="s">
        <v>142</v>
      </c>
      <c r="B187" s="44" t="s">
        <v>991</v>
      </c>
      <c r="C187" s="44" t="s">
        <v>992</v>
      </c>
      <c r="D187" s="44">
        <v>1.0</v>
      </c>
      <c r="E187" s="44">
        <v>0.641</v>
      </c>
      <c r="F187" s="44">
        <v>1.0</v>
      </c>
      <c r="G187" s="44">
        <v>0.8</v>
      </c>
      <c r="H187" s="44" t="s">
        <v>15</v>
      </c>
      <c r="I187" s="44" t="s">
        <v>1744</v>
      </c>
      <c r="J187" s="44" t="s">
        <v>40</v>
      </c>
    </row>
    <row r="188" ht="15.75" customHeight="1">
      <c r="A188" s="44" t="s">
        <v>145</v>
      </c>
      <c r="B188" s="44" t="s">
        <v>993</v>
      </c>
      <c r="C188" s="44" t="s">
        <v>994</v>
      </c>
      <c r="D188" s="44">
        <v>1.0</v>
      </c>
      <c r="E188" s="44">
        <v>0.783</v>
      </c>
      <c r="F188" s="44">
        <v>0.7</v>
      </c>
      <c r="G188" s="44">
        <v>0.857</v>
      </c>
      <c r="H188" s="44" t="s">
        <v>15</v>
      </c>
      <c r="I188" s="44" t="s">
        <v>1745</v>
      </c>
      <c r="J188" s="44" t="s">
        <v>40</v>
      </c>
    </row>
    <row r="189" ht="15.75" customHeight="1">
      <c r="A189" s="44" t="s">
        <v>148</v>
      </c>
      <c r="B189" s="44" t="s">
        <v>995</v>
      </c>
      <c r="C189" s="44" t="s">
        <v>996</v>
      </c>
      <c r="D189" s="44">
        <v>0.714</v>
      </c>
      <c r="E189" s="44">
        <v>0.805</v>
      </c>
      <c r="F189" s="44">
        <v>0.756</v>
      </c>
      <c r="G189" s="44">
        <v>1.0</v>
      </c>
      <c r="H189" s="44" t="s">
        <v>15</v>
      </c>
      <c r="I189" s="44" t="s">
        <v>1746</v>
      </c>
      <c r="J189" s="44" t="s">
        <v>40</v>
      </c>
    </row>
    <row r="190" ht="15.75" customHeight="1">
      <c r="A190" s="44" t="s">
        <v>151</v>
      </c>
      <c r="B190" s="44" t="s">
        <v>997</v>
      </c>
      <c r="C190" s="44" t="s">
        <v>998</v>
      </c>
      <c r="D190" s="44">
        <v>1.0</v>
      </c>
      <c r="E190" s="44">
        <v>0.914</v>
      </c>
      <c r="F190" s="44">
        <v>1.0</v>
      </c>
      <c r="G190" s="44">
        <v>1.0</v>
      </c>
      <c r="H190" s="44" t="s">
        <v>15</v>
      </c>
      <c r="I190" s="44" t="s">
        <v>1747</v>
      </c>
      <c r="J190" s="44" t="s">
        <v>40</v>
      </c>
    </row>
    <row r="191" ht="15.75" customHeight="1">
      <c r="A191" s="44" t="s">
        <v>154</v>
      </c>
      <c r="B191" s="44" t="s">
        <v>999</v>
      </c>
      <c r="C191" s="44" t="s">
        <v>1000</v>
      </c>
      <c r="D191" s="44">
        <v>0.909</v>
      </c>
      <c r="E191" s="44">
        <v>0.752</v>
      </c>
      <c r="F191" s="44">
        <v>1.0</v>
      </c>
      <c r="G191" s="44">
        <v>1.0</v>
      </c>
      <c r="H191" s="44" t="s">
        <v>15</v>
      </c>
      <c r="I191" s="44" t="s">
        <v>1748</v>
      </c>
      <c r="J191" s="44" t="s">
        <v>40</v>
      </c>
    </row>
    <row r="192" ht="15.75" customHeight="1">
      <c r="A192" s="44" t="s">
        <v>157</v>
      </c>
      <c r="B192" s="44" t="s">
        <v>1005</v>
      </c>
      <c r="C192" s="44" t="s">
        <v>1006</v>
      </c>
      <c r="D192" s="44">
        <v>0.545</v>
      </c>
      <c r="E192" s="44">
        <v>0.771</v>
      </c>
      <c r="F192" s="44">
        <v>1.0</v>
      </c>
      <c r="G192" s="44">
        <v>1.0</v>
      </c>
      <c r="H192" s="44" t="s">
        <v>15</v>
      </c>
      <c r="I192" s="44" t="s">
        <v>1749</v>
      </c>
      <c r="J192" s="44" t="s">
        <v>40</v>
      </c>
    </row>
    <row r="193" ht="15.75" customHeight="1">
      <c r="A193" s="44" t="s">
        <v>169</v>
      </c>
      <c r="B193" s="44" t="s">
        <v>1009</v>
      </c>
      <c r="C193" s="44" t="s">
        <v>1010</v>
      </c>
      <c r="D193" s="44">
        <v>0.6</v>
      </c>
      <c r="E193" s="44">
        <v>0.895</v>
      </c>
      <c r="F193" s="44">
        <v>1.0</v>
      </c>
      <c r="G193" s="44">
        <v>1.0</v>
      </c>
      <c r="H193" s="44" t="s">
        <v>16</v>
      </c>
      <c r="I193" s="44" t="s">
        <v>1750</v>
      </c>
      <c r="J193" s="44" t="s">
        <v>40</v>
      </c>
    </row>
    <row r="194" ht="15.75" customHeight="1">
      <c r="A194" s="44" t="s">
        <v>175</v>
      </c>
      <c r="B194" s="44" t="s">
        <v>1013</v>
      </c>
      <c r="C194" s="44" t="s">
        <v>1014</v>
      </c>
      <c r="D194" s="44">
        <v>0.571</v>
      </c>
      <c r="E194" s="44">
        <v>0.794</v>
      </c>
      <c r="F194" s="44">
        <v>0.2</v>
      </c>
      <c r="G194" s="44">
        <v>0.167</v>
      </c>
      <c r="H194" s="44" t="s">
        <v>16</v>
      </c>
      <c r="I194" s="44" t="s">
        <v>1751</v>
      </c>
      <c r="J194" s="44" t="s">
        <v>40</v>
      </c>
    </row>
    <row r="195" ht="15.75" customHeight="1">
      <c r="A195" s="44" t="s">
        <v>178</v>
      </c>
      <c r="B195" s="44" t="s">
        <v>1015</v>
      </c>
      <c r="C195" s="44" t="s">
        <v>1016</v>
      </c>
      <c r="D195" s="44">
        <v>0.571</v>
      </c>
      <c r="E195" s="44">
        <v>0.947</v>
      </c>
      <c r="F195" s="44">
        <v>0.5</v>
      </c>
      <c r="G195" s="44">
        <v>0.0</v>
      </c>
      <c r="H195" s="44" t="s">
        <v>16</v>
      </c>
      <c r="I195" s="44" t="s">
        <v>1752</v>
      </c>
      <c r="J195" s="44" t="s">
        <v>40</v>
      </c>
    </row>
    <row r="196" ht="15.75" customHeight="1">
      <c r="A196" s="44" t="s">
        <v>187</v>
      </c>
      <c r="B196" s="44" t="s">
        <v>1019</v>
      </c>
      <c r="C196" s="44" t="s">
        <v>1020</v>
      </c>
      <c r="D196" s="44">
        <v>0.727</v>
      </c>
      <c r="E196" s="44">
        <v>0.84</v>
      </c>
      <c r="F196" s="44">
        <v>0.887</v>
      </c>
      <c r="G196" s="44">
        <v>0.8</v>
      </c>
      <c r="H196" s="44" t="s">
        <v>16</v>
      </c>
      <c r="I196" s="44" t="s">
        <v>1753</v>
      </c>
      <c r="J196" s="44" t="s">
        <v>40</v>
      </c>
    </row>
    <row r="197" ht="15.75" customHeight="1">
      <c r="A197" s="44" t="s">
        <v>190</v>
      </c>
      <c r="B197" s="44" t="s">
        <v>1021</v>
      </c>
      <c r="C197" s="44" t="s">
        <v>1022</v>
      </c>
      <c r="D197" s="44">
        <v>1.0</v>
      </c>
      <c r="E197" s="44">
        <v>0.892</v>
      </c>
      <c r="F197" s="44">
        <v>1.0</v>
      </c>
      <c r="G197" s="44">
        <v>0.167</v>
      </c>
      <c r="H197" s="44" t="s">
        <v>16</v>
      </c>
      <c r="I197" s="44" t="s">
        <v>1754</v>
      </c>
      <c r="J197" s="44" t="s">
        <v>40</v>
      </c>
    </row>
    <row r="198" ht="15.75" customHeight="1">
      <c r="A198" s="44" t="s">
        <v>199</v>
      </c>
      <c r="B198" s="44" t="s">
        <v>1027</v>
      </c>
      <c r="C198" s="44" t="s">
        <v>1028</v>
      </c>
      <c r="D198" s="44">
        <v>1.0</v>
      </c>
      <c r="E198" s="44">
        <v>0.767</v>
      </c>
      <c r="F198" s="44">
        <v>1.0</v>
      </c>
      <c r="G198" s="44">
        <v>1.0</v>
      </c>
      <c r="H198" s="44" t="s">
        <v>16</v>
      </c>
      <c r="I198" s="44" t="s">
        <v>1755</v>
      </c>
      <c r="J198" s="44" t="s">
        <v>40</v>
      </c>
    </row>
    <row r="199" ht="15.75" customHeight="1">
      <c r="A199" s="44" t="s">
        <v>202</v>
      </c>
      <c r="B199" s="44" t="s">
        <v>1029</v>
      </c>
      <c r="C199" s="44" t="s">
        <v>1030</v>
      </c>
      <c r="D199" s="44">
        <v>0.929</v>
      </c>
      <c r="E199" s="44">
        <v>0.875</v>
      </c>
      <c r="F199" s="44">
        <v>0.533</v>
      </c>
      <c r="G199" s="44">
        <v>0.125</v>
      </c>
      <c r="H199" s="44" t="s">
        <v>16</v>
      </c>
      <c r="I199" s="44" t="s">
        <v>1756</v>
      </c>
      <c r="J199" s="44" t="s">
        <v>40</v>
      </c>
    </row>
    <row r="200" ht="15.75" customHeight="1">
      <c r="A200" s="44" t="s">
        <v>208</v>
      </c>
      <c r="B200" s="44" t="s">
        <v>1033</v>
      </c>
      <c r="C200" s="44" t="s">
        <v>1034</v>
      </c>
      <c r="D200" s="44">
        <v>0.9</v>
      </c>
      <c r="E200" s="44">
        <v>0.736</v>
      </c>
      <c r="F200" s="44">
        <v>0.639</v>
      </c>
      <c r="G200" s="44">
        <v>1.0</v>
      </c>
      <c r="H200" s="44" t="s">
        <v>16</v>
      </c>
      <c r="I200" s="44" t="s">
        <v>1757</v>
      </c>
      <c r="J200" s="44" t="s">
        <v>40</v>
      </c>
    </row>
    <row r="201" ht="15.75" customHeight="1">
      <c r="A201" s="44" t="s">
        <v>211</v>
      </c>
      <c r="B201" s="44" t="s">
        <v>1035</v>
      </c>
      <c r="C201" s="44" t="s">
        <v>1036</v>
      </c>
      <c r="D201" s="44">
        <v>0.923</v>
      </c>
      <c r="E201" s="44">
        <v>0.671</v>
      </c>
      <c r="F201" s="44">
        <v>1.0</v>
      </c>
      <c r="G201" s="44">
        <v>1.0</v>
      </c>
      <c r="H201" s="44" t="s">
        <v>16</v>
      </c>
      <c r="I201" s="44" t="s">
        <v>1758</v>
      </c>
      <c r="J201" s="44" t="s">
        <v>40</v>
      </c>
    </row>
    <row r="202" ht="15.75" customHeight="1">
      <c r="A202" s="44" t="s">
        <v>223</v>
      </c>
      <c r="B202" s="44" t="s">
        <v>1041</v>
      </c>
      <c r="C202" s="44" t="s">
        <v>1042</v>
      </c>
      <c r="D202" s="44">
        <v>0.667</v>
      </c>
      <c r="E202" s="44">
        <v>0.723</v>
      </c>
      <c r="F202" s="44">
        <v>1.0</v>
      </c>
      <c r="G202" s="44">
        <v>1.0</v>
      </c>
      <c r="H202" s="44" t="s">
        <v>16</v>
      </c>
      <c r="I202" s="44" t="s">
        <v>1759</v>
      </c>
      <c r="J202" s="44" t="s">
        <v>40</v>
      </c>
    </row>
    <row r="203" ht="15.75" customHeight="1">
      <c r="A203" s="44" t="s">
        <v>187</v>
      </c>
      <c r="B203" s="44" t="s">
        <v>1019</v>
      </c>
      <c r="C203" s="44" t="s">
        <v>1020</v>
      </c>
      <c r="D203" s="44">
        <v>0.727</v>
      </c>
      <c r="E203" s="44">
        <v>0.84</v>
      </c>
      <c r="F203" s="44">
        <v>0.887</v>
      </c>
      <c r="G203" s="44">
        <v>0.8</v>
      </c>
      <c r="H203" s="44" t="s">
        <v>16</v>
      </c>
      <c r="I203" s="44" t="s">
        <v>1760</v>
      </c>
      <c r="J203" s="44" t="s">
        <v>40</v>
      </c>
    </row>
    <row r="204" ht="15.75" customHeight="1">
      <c r="A204" s="44" t="s">
        <v>235</v>
      </c>
      <c r="B204" s="44" t="s">
        <v>1051</v>
      </c>
      <c r="C204" s="44" t="s">
        <v>1052</v>
      </c>
      <c r="D204" s="44">
        <v>1.0</v>
      </c>
      <c r="E204" s="44">
        <v>0.993</v>
      </c>
      <c r="F204" s="44">
        <v>1.0</v>
      </c>
      <c r="G204" s="44">
        <v>0.857</v>
      </c>
      <c r="H204" s="44" t="s">
        <v>17</v>
      </c>
      <c r="I204" s="44" t="s">
        <v>1761</v>
      </c>
      <c r="J204" s="44" t="s">
        <v>40</v>
      </c>
    </row>
    <row r="205" ht="15.75" customHeight="1">
      <c r="A205" s="44" t="s">
        <v>241</v>
      </c>
      <c r="B205" s="44" t="s">
        <v>1055</v>
      </c>
      <c r="C205" s="44" t="s">
        <v>1056</v>
      </c>
      <c r="D205" s="44">
        <v>0.8</v>
      </c>
      <c r="E205" s="44">
        <v>0.982</v>
      </c>
      <c r="F205" s="44">
        <v>0.679</v>
      </c>
      <c r="G205" s="44">
        <v>0.75</v>
      </c>
      <c r="H205" s="44" t="s">
        <v>17</v>
      </c>
      <c r="I205" s="44" t="s">
        <v>1762</v>
      </c>
      <c r="J205" s="44" t="s">
        <v>40</v>
      </c>
    </row>
    <row r="206" ht="15.75" customHeight="1">
      <c r="A206" s="44" t="s">
        <v>244</v>
      </c>
      <c r="B206" s="44" t="s">
        <v>1057</v>
      </c>
      <c r="C206" s="44" t="s">
        <v>1058</v>
      </c>
      <c r="D206" s="44">
        <v>0.5</v>
      </c>
      <c r="E206" s="44">
        <v>0.992</v>
      </c>
      <c r="F206" s="44">
        <v>0.2</v>
      </c>
      <c r="G206" s="44">
        <v>0.25</v>
      </c>
      <c r="H206" s="44" t="s">
        <v>17</v>
      </c>
      <c r="I206" s="44" t="s">
        <v>1763</v>
      </c>
      <c r="J206" s="44" t="s">
        <v>40</v>
      </c>
    </row>
    <row r="207" ht="15.75" customHeight="1">
      <c r="A207" s="44" t="s">
        <v>247</v>
      </c>
      <c r="B207" s="44" t="s">
        <v>1059</v>
      </c>
      <c r="C207" s="44" t="s">
        <v>1060</v>
      </c>
      <c r="D207" s="44">
        <v>0.684</v>
      </c>
      <c r="E207" s="44">
        <v>0.99</v>
      </c>
      <c r="F207" s="44">
        <v>1.0</v>
      </c>
      <c r="G207" s="44">
        <v>1.0</v>
      </c>
      <c r="H207" s="44" t="s">
        <v>17</v>
      </c>
      <c r="I207" s="44" t="s">
        <v>1764</v>
      </c>
      <c r="J207" s="44" t="s">
        <v>40</v>
      </c>
    </row>
    <row r="208" ht="15.75" customHeight="1">
      <c r="A208" s="44" t="s">
        <v>250</v>
      </c>
      <c r="B208" s="44" t="s">
        <v>1061</v>
      </c>
      <c r="C208" s="44" t="s">
        <v>1062</v>
      </c>
      <c r="D208" s="44">
        <v>0.857</v>
      </c>
      <c r="E208" s="44">
        <v>0.901</v>
      </c>
      <c r="F208" s="44">
        <v>1.0</v>
      </c>
      <c r="G208" s="44">
        <v>0.8</v>
      </c>
      <c r="H208" s="44" t="s">
        <v>17</v>
      </c>
      <c r="I208" s="44" t="s">
        <v>1765</v>
      </c>
      <c r="J208" s="44" t="s">
        <v>40</v>
      </c>
    </row>
    <row r="209" ht="15.75" customHeight="1">
      <c r="A209" s="44" t="s">
        <v>253</v>
      </c>
      <c r="B209" s="44" t="s">
        <v>1063</v>
      </c>
      <c r="C209" s="44" t="s">
        <v>1064</v>
      </c>
      <c r="D209" s="44">
        <v>0.769</v>
      </c>
      <c r="E209" s="44">
        <v>0.97</v>
      </c>
      <c r="F209" s="44">
        <v>0.75</v>
      </c>
      <c r="G209" s="44">
        <v>0.571</v>
      </c>
      <c r="H209" s="44" t="s">
        <v>17</v>
      </c>
      <c r="I209" s="44" t="s">
        <v>1766</v>
      </c>
      <c r="J209" s="44" t="s">
        <v>40</v>
      </c>
    </row>
    <row r="210" ht="15.75" customHeight="1">
      <c r="A210" s="44" t="s">
        <v>259</v>
      </c>
      <c r="B210" s="44" t="s">
        <v>1067</v>
      </c>
      <c r="C210" s="44" t="s">
        <v>1068</v>
      </c>
      <c r="D210" s="44">
        <v>0.8</v>
      </c>
      <c r="E210" s="44">
        <v>0.996</v>
      </c>
      <c r="F210" s="44">
        <v>0.804</v>
      </c>
      <c r="G210" s="44">
        <v>0.8</v>
      </c>
      <c r="H210" s="44" t="s">
        <v>17</v>
      </c>
      <c r="I210" s="44" t="s">
        <v>1767</v>
      </c>
      <c r="J210" s="44" t="s">
        <v>40</v>
      </c>
    </row>
    <row r="211" ht="15.75" customHeight="1">
      <c r="A211" s="44" t="s">
        <v>262</v>
      </c>
      <c r="B211" s="44" t="s">
        <v>1069</v>
      </c>
      <c r="C211" s="44" t="s">
        <v>1070</v>
      </c>
      <c r="D211" s="44">
        <v>0.667</v>
      </c>
      <c r="E211" s="44">
        <v>1.0</v>
      </c>
      <c r="F211" s="44">
        <v>0.7</v>
      </c>
      <c r="G211" s="44">
        <v>1.0</v>
      </c>
      <c r="H211" s="44" t="s">
        <v>17</v>
      </c>
      <c r="I211" s="44" t="s">
        <v>1768</v>
      </c>
      <c r="J211" s="44" t="s">
        <v>40</v>
      </c>
    </row>
    <row r="212" ht="15.75" customHeight="1">
      <c r="A212" s="44" t="s">
        <v>280</v>
      </c>
      <c r="B212" s="44" t="s">
        <v>1081</v>
      </c>
      <c r="C212" s="44" t="s">
        <v>1082</v>
      </c>
      <c r="D212" s="44">
        <v>1.0</v>
      </c>
      <c r="E212" s="44">
        <v>0.803</v>
      </c>
      <c r="F212" s="44">
        <v>1.0</v>
      </c>
      <c r="G212" s="44">
        <v>0.167</v>
      </c>
      <c r="H212" s="44" t="s">
        <v>17</v>
      </c>
      <c r="I212" s="44" t="s">
        <v>1769</v>
      </c>
      <c r="J212" s="44" t="s">
        <v>40</v>
      </c>
    </row>
    <row r="213" ht="15.75" customHeight="1">
      <c r="A213" s="44" t="s">
        <v>283</v>
      </c>
      <c r="B213" s="44" t="s">
        <v>1083</v>
      </c>
      <c r="C213" s="44" t="s">
        <v>1084</v>
      </c>
      <c r="D213" s="44">
        <v>0.727</v>
      </c>
      <c r="E213" s="44">
        <v>1.0</v>
      </c>
      <c r="F213" s="44">
        <v>0.45</v>
      </c>
      <c r="G213" s="44">
        <v>1.0</v>
      </c>
      <c r="H213" s="44" t="s">
        <v>17</v>
      </c>
      <c r="I213" s="44" t="s">
        <v>1770</v>
      </c>
      <c r="J213" s="44" t="s">
        <v>40</v>
      </c>
    </row>
    <row r="214" ht="15.75" customHeight="1">
      <c r="A214" s="44" t="s">
        <v>46</v>
      </c>
      <c r="B214" s="44" t="s">
        <v>1245</v>
      </c>
      <c r="C214" s="44" t="s">
        <v>1246</v>
      </c>
      <c r="D214" s="44">
        <v>1.0</v>
      </c>
      <c r="E214" s="44">
        <v>0.987</v>
      </c>
      <c r="F214" s="44">
        <v>1.0</v>
      </c>
      <c r="G214" s="44">
        <v>1.0</v>
      </c>
      <c r="H214" s="44" t="s">
        <v>14</v>
      </c>
      <c r="I214" s="44" t="s">
        <v>1771</v>
      </c>
      <c r="J214" s="44" t="s">
        <v>40</v>
      </c>
    </row>
    <row r="215" ht="15.75" customHeight="1">
      <c r="A215" s="44" t="s">
        <v>55</v>
      </c>
      <c r="B215" s="44" t="s">
        <v>1251</v>
      </c>
      <c r="C215" s="44" t="s">
        <v>1252</v>
      </c>
      <c r="D215" s="44">
        <v>0.294</v>
      </c>
      <c r="E215" s="44">
        <v>1.0</v>
      </c>
      <c r="F215" s="44">
        <v>1.0</v>
      </c>
      <c r="G215" s="44">
        <v>1.0</v>
      </c>
      <c r="H215" s="44" t="s">
        <v>14</v>
      </c>
      <c r="I215" s="44" t="s">
        <v>1772</v>
      </c>
      <c r="J215" s="44" t="s">
        <v>40</v>
      </c>
    </row>
    <row r="216" ht="15.75" customHeight="1">
      <c r="A216" s="44" t="s">
        <v>58</v>
      </c>
      <c r="B216" s="44" t="s">
        <v>1253</v>
      </c>
      <c r="C216" s="44" t="s">
        <v>1254</v>
      </c>
      <c r="D216" s="44">
        <v>1.0</v>
      </c>
      <c r="E216" s="44">
        <v>0.978</v>
      </c>
      <c r="F216" s="44">
        <v>1.0</v>
      </c>
      <c r="G216" s="44">
        <v>1.0</v>
      </c>
      <c r="H216" s="44" t="s">
        <v>14</v>
      </c>
      <c r="I216" s="44" t="s">
        <v>1773</v>
      </c>
      <c r="J216" s="44" t="s">
        <v>40</v>
      </c>
    </row>
    <row r="217" ht="15.75" customHeight="1">
      <c r="A217" s="44" t="s">
        <v>61</v>
      </c>
      <c r="B217" s="44" t="s">
        <v>1255</v>
      </c>
      <c r="C217" s="44" t="s">
        <v>1256</v>
      </c>
      <c r="D217" s="44">
        <v>1.0</v>
      </c>
      <c r="E217" s="44">
        <v>0.989</v>
      </c>
      <c r="F217" s="44">
        <v>1.0</v>
      </c>
      <c r="G217" s="44">
        <v>0.833</v>
      </c>
      <c r="H217" s="44" t="s">
        <v>14</v>
      </c>
      <c r="I217" s="44" t="s">
        <v>1774</v>
      </c>
      <c r="J217" s="44" t="s">
        <v>40</v>
      </c>
    </row>
    <row r="218" ht="15.75" customHeight="1">
      <c r="A218" s="44" t="s">
        <v>64</v>
      </c>
      <c r="B218" s="44" t="s">
        <v>1257</v>
      </c>
      <c r="C218" s="44" t="s">
        <v>1258</v>
      </c>
      <c r="D218" s="44">
        <v>1.0</v>
      </c>
      <c r="E218" s="44">
        <v>0.84</v>
      </c>
      <c r="F218" s="44">
        <v>0.5</v>
      </c>
      <c r="G218" s="44">
        <v>1.0</v>
      </c>
      <c r="H218" s="44" t="s">
        <v>14</v>
      </c>
      <c r="I218" s="44" t="s">
        <v>1775</v>
      </c>
      <c r="J218" s="44" t="s">
        <v>40</v>
      </c>
    </row>
    <row r="219" ht="15.75" customHeight="1">
      <c r="A219" s="44" t="s">
        <v>67</v>
      </c>
      <c r="B219" s="44" t="s">
        <v>1259</v>
      </c>
      <c r="C219" s="44" t="s">
        <v>1260</v>
      </c>
      <c r="D219" s="44">
        <v>0.684</v>
      </c>
      <c r="E219" s="44">
        <v>0.89</v>
      </c>
      <c r="F219" s="44">
        <v>1.0</v>
      </c>
      <c r="G219" s="44">
        <v>1.0</v>
      </c>
      <c r="H219" s="44" t="s">
        <v>14</v>
      </c>
      <c r="I219" s="44" t="s">
        <v>1776</v>
      </c>
      <c r="J219" s="44" t="s">
        <v>40</v>
      </c>
    </row>
    <row r="220" ht="15.75" customHeight="1">
      <c r="A220" s="44" t="s">
        <v>70</v>
      </c>
      <c r="B220" s="44" t="s">
        <v>1261</v>
      </c>
      <c r="C220" s="44" t="s">
        <v>1262</v>
      </c>
      <c r="D220" s="44">
        <v>0.667</v>
      </c>
      <c r="E220" s="44">
        <v>0.494</v>
      </c>
      <c r="F220" s="44">
        <v>1.0</v>
      </c>
      <c r="G220" s="44">
        <v>1.0</v>
      </c>
      <c r="H220" s="44" t="s">
        <v>14</v>
      </c>
      <c r="I220" s="44" t="s">
        <v>1777</v>
      </c>
      <c r="J220" s="44" t="s">
        <v>40</v>
      </c>
    </row>
    <row r="221" ht="15.75" customHeight="1">
      <c r="A221" s="44" t="s">
        <v>73</v>
      </c>
      <c r="B221" s="44" t="s">
        <v>1263</v>
      </c>
      <c r="C221" s="44" t="s">
        <v>1264</v>
      </c>
      <c r="D221" s="44">
        <v>0.545</v>
      </c>
      <c r="E221" s="44">
        <v>0.876</v>
      </c>
      <c r="F221" s="44">
        <v>0.679</v>
      </c>
      <c r="G221" s="44">
        <v>1.0</v>
      </c>
      <c r="H221" s="44" t="s">
        <v>14</v>
      </c>
      <c r="I221" s="44" t="s">
        <v>1778</v>
      </c>
      <c r="J221" s="44" t="s">
        <v>40</v>
      </c>
    </row>
    <row r="222" ht="15.75" customHeight="1">
      <c r="A222" s="44" t="s">
        <v>76</v>
      </c>
      <c r="B222" s="44" t="s">
        <v>1265</v>
      </c>
      <c r="C222" s="44" t="s">
        <v>1266</v>
      </c>
      <c r="D222" s="44">
        <v>0.667</v>
      </c>
      <c r="E222" s="44">
        <v>0.649</v>
      </c>
      <c r="F222" s="44">
        <v>1.0</v>
      </c>
      <c r="G222" s="44">
        <v>0.833</v>
      </c>
      <c r="H222" s="44" t="s">
        <v>14</v>
      </c>
      <c r="I222" s="44" t="s">
        <v>1779</v>
      </c>
      <c r="J222" s="44" t="s">
        <v>40</v>
      </c>
    </row>
    <row r="223" ht="15.75" customHeight="1">
      <c r="A223" s="44" t="s">
        <v>82</v>
      </c>
      <c r="B223" s="44" t="s">
        <v>1269</v>
      </c>
      <c r="C223" s="44" t="s">
        <v>1270</v>
      </c>
      <c r="D223" s="44">
        <v>1.0</v>
      </c>
      <c r="E223" s="44">
        <v>0.642</v>
      </c>
      <c r="F223" s="44">
        <v>1.0</v>
      </c>
      <c r="G223" s="44">
        <v>1.0</v>
      </c>
      <c r="H223" s="44" t="s">
        <v>14</v>
      </c>
      <c r="I223" s="44" t="s">
        <v>1780</v>
      </c>
      <c r="J223" s="44" t="s">
        <v>40</v>
      </c>
    </row>
    <row r="224" ht="15.75" customHeight="1">
      <c r="A224" s="44" t="s">
        <v>85</v>
      </c>
      <c r="B224" s="44" t="s">
        <v>1271</v>
      </c>
      <c r="C224" s="44" t="s">
        <v>1272</v>
      </c>
      <c r="D224" s="44">
        <v>0.7</v>
      </c>
      <c r="E224" s="44">
        <v>0.987</v>
      </c>
      <c r="F224" s="44">
        <v>0.804</v>
      </c>
      <c r="G224" s="44">
        <v>1.0</v>
      </c>
      <c r="H224" s="44" t="s">
        <v>14</v>
      </c>
      <c r="I224" s="44" t="s">
        <v>1781</v>
      </c>
      <c r="J224" s="44" t="s">
        <v>40</v>
      </c>
    </row>
    <row r="225" ht="15.75" customHeight="1">
      <c r="A225" s="44" t="s">
        <v>88</v>
      </c>
      <c r="B225" s="44" t="s">
        <v>1273</v>
      </c>
      <c r="C225" s="44" t="s">
        <v>1274</v>
      </c>
      <c r="D225" s="44">
        <v>0.619</v>
      </c>
      <c r="E225" s="44">
        <v>0.877</v>
      </c>
      <c r="F225" s="44">
        <v>1.0</v>
      </c>
      <c r="G225" s="44">
        <v>1.0</v>
      </c>
      <c r="H225" s="44" t="s">
        <v>14</v>
      </c>
      <c r="I225" s="44" t="s">
        <v>1782</v>
      </c>
      <c r="J225" s="44" t="s">
        <v>40</v>
      </c>
    </row>
    <row r="226" ht="15.75" customHeight="1">
      <c r="A226" s="44" t="s">
        <v>91</v>
      </c>
      <c r="B226" s="44" t="s">
        <v>1275</v>
      </c>
      <c r="C226" s="44" t="s">
        <v>1276</v>
      </c>
      <c r="D226" s="44">
        <v>0.4</v>
      </c>
      <c r="E226" s="44">
        <v>0.997</v>
      </c>
      <c r="F226" s="44">
        <v>0.887</v>
      </c>
      <c r="G226" s="44">
        <v>1.0</v>
      </c>
      <c r="H226" s="44" t="s">
        <v>14</v>
      </c>
      <c r="I226" s="44" t="s">
        <v>1783</v>
      </c>
      <c r="J226" s="44" t="s">
        <v>40</v>
      </c>
    </row>
    <row r="227" ht="15.75" customHeight="1">
      <c r="A227" s="44" t="s">
        <v>94</v>
      </c>
      <c r="B227" s="44" t="s">
        <v>1277</v>
      </c>
      <c r="C227" s="44" t="s">
        <v>1278</v>
      </c>
      <c r="D227" s="44">
        <v>1.0</v>
      </c>
      <c r="E227" s="44">
        <v>0.845</v>
      </c>
      <c r="F227" s="44">
        <v>0.806</v>
      </c>
      <c r="G227" s="44">
        <v>0.8</v>
      </c>
      <c r="H227" s="44" t="s">
        <v>14</v>
      </c>
      <c r="I227" s="44" t="s">
        <v>1784</v>
      </c>
      <c r="J227" s="44" t="s">
        <v>40</v>
      </c>
    </row>
    <row r="228" ht="15.75" customHeight="1">
      <c r="A228" s="44" t="s">
        <v>100</v>
      </c>
      <c r="B228" s="44" t="s">
        <v>1281</v>
      </c>
      <c r="C228" s="44" t="s">
        <v>1282</v>
      </c>
      <c r="D228" s="44">
        <v>0.733</v>
      </c>
      <c r="E228" s="44">
        <v>0.915</v>
      </c>
      <c r="F228" s="44">
        <v>1.0</v>
      </c>
      <c r="G228" s="44">
        <v>1.0</v>
      </c>
      <c r="H228" s="44" t="s">
        <v>14</v>
      </c>
      <c r="I228" s="44" t="s">
        <v>1785</v>
      </c>
      <c r="J228" s="44" t="s">
        <v>40</v>
      </c>
    </row>
    <row r="229" ht="15.75" customHeight="1">
      <c r="A229" s="44" t="s">
        <v>115</v>
      </c>
      <c r="B229" s="44" t="s">
        <v>1283</v>
      </c>
      <c r="C229" s="44" t="s">
        <v>1284</v>
      </c>
      <c r="D229" s="44">
        <v>0.923</v>
      </c>
      <c r="E229" s="44">
        <v>0.979</v>
      </c>
      <c r="F229" s="44">
        <v>1.0</v>
      </c>
      <c r="G229" s="44">
        <v>1.0</v>
      </c>
      <c r="H229" s="44" t="s">
        <v>14</v>
      </c>
      <c r="I229" s="44" t="s">
        <v>1786</v>
      </c>
      <c r="J229" s="44" t="s">
        <v>40</v>
      </c>
    </row>
    <row r="230" ht="15.75" customHeight="1">
      <c r="A230" s="44" t="s">
        <v>103</v>
      </c>
      <c r="B230" s="44" t="s">
        <v>1285</v>
      </c>
      <c r="C230" s="44" t="s">
        <v>1286</v>
      </c>
      <c r="D230" s="44">
        <v>1.0</v>
      </c>
      <c r="E230" s="44">
        <v>0.818</v>
      </c>
      <c r="F230" s="44">
        <v>1.0</v>
      </c>
      <c r="G230" s="44">
        <v>1.0</v>
      </c>
      <c r="H230" s="44" t="s">
        <v>15</v>
      </c>
      <c r="I230" s="44" t="s">
        <v>1787</v>
      </c>
      <c r="J230" s="44" t="s">
        <v>40</v>
      </c>
    </row>
    <row r="231" ht="15.75" customHeight="1">
      <c r="A231" s="44" t="s">
        <v>109</v>
      </c>
      <c r="B231" s="44" t="s">
        <v>1289</v>
      </c>
      <c r="C231" s="44" t="s">
        <v>1290</v>
      </c>
      <c r="D231" s="44">
        <v>0.667</v>
      </c>
      <c r="E231" s="44">
        <v>1.0</v>
      </c>
      <c r="F231" s="44">
        <v>0.917</v>
      </c>
      <c r="G231" s="44">
        <v>0.444</v>
      </c>
      <c r="H231" s="44" t="s">
        <v>15</v>
      </c>
      <c r="I231" s="44" t="s">
        <v>1788</v>
      </c>
      <c r="J231" s="44" t="s">
        <v>40</v>
      </c>
    </row>
    <row r="232" ht="15.75" customHeight="1">
      <c r="A232" s="44" t="s">
        <v>121</v>
      </c>
      <c r="B232" s="44" t="s">
        <v>1295</v>
      </c>
      <c r="C232" s="44" t="s">
        <v>1296</v>
      </c>
      <c r="D232" s="44">
        <v>0.6</v>
      </c>
      <c r="E232" s="44">
        <v>0.963</v>
      </c>
      <c r="F232" s="44">
        <v>0.833</v>
      </c>
      <c r="G232" s="44">
        <v>1.0</v>
      </c>
      <c r="H232" s="44" t="s">
        <v>15</v>
      </c>
      <c r="I232" s="44" t="s">
        <v>1789</v>
      </c>
      <c r="J232" s="44" t="s">
        <v>40</v>
      </c>
    </row>
    <row r="233" ht="15.75" customHeight="1">
      <c r="A233" s="44" t="s">
        <v>130</v>
      </c>
      <c r="B233" s="44" t="s">
        <v>1301</v>
      </c>
      <c r="C233" s="44" t="s">
        <v>1302</v>
      </c>
      <c r="D233" s="44">
        <v>0.667</v>
      </c>
      <c r="E233" s="44">
        <v>0.848</v>
      </c>
      <c r="F233" s="44">
        <v>1.0</v>
      </c>
      <c r="G233" s="44">
        <v>0.556</v>
      </c>
      <c r="H233" s="44" t="s">
        <v>15</v>
      </c>
      <c r="I233" s="44" t="s">
        <v>1790</v>
      </c>
      <c r="J233" s="44" t="s">
        <v>40</v>
      </c>
    </row>
    <row r="234" ht="15.75" customHeight="1">
      <c r="A234" s="44" t="s">
        <v>136</v>
      </c>
      <c r="B234" s="44" t="s">
        <v>1303</v>
      </c>
      <c r="C234" s="44" t="s">
        <v>1304</v>
      </c>
      <c r="D234" s="44">
        <v>1.0</v>
      </c>
      <c r="E234" s="44">
        <v>0.748</v>
      </c>
      <c r="F234" s="44">
        <v>1.0</v>
      </c>
      <c r="G234" s="44">
        <v>1.0</v>
      </c>
      <c r="H234" s="44" t="s">
        <v>15</v>
      </c>
      <c r="I234" s="44" t="s">
        <v>1791</v>
      </c>
      <c r="J234" s="44" t="s">
        <v>40</v>
      </c>
    </row>
    <row r="235" ht="15.75" customHeight="1">
      <c r="A235" s="44" t="s">
        <v>139</v>
      </c>
      <c r="B235" s="44" t="s">
        <v>1306</v>
      </c>
      <c r="C235" s="44" t="s">
        <v>1307</v>
      </c>
      <c r="D235" s="44">
        <v>1.0</v>
      </c>
      <c r="E235" s="44">
        <v>1.0</v>
      </c>
      <c r="F235" s="44">
        <v>0.887</v>
      </c>
      <c r="G235" s="44">
        <v>0.4</v>
      </c>
      <c r="H235" s="44" t="s">
        <v>15</v>
      </c>
      <c r="I235" s="44" t="s">
        <v>1792</v>
      </c>
      <c r="J235" s="44" t="s">
        <v>40</v>
      </c>
    </row>
    <row r="236" ht="15.75" customHeight="1">
      <c r="A236" s="44" t="s">
        <v>142</v>
      </c>
      <c r="B236" s="44" t="s">
        <v>1310</v>
      </c>
      <c r="C236" s="44" t="s">
        <v>1311</v>
      </c>
      <c r="D236" s="44">
        <v>0.957</v>
      </c>
      <c r="E236" s="44">
        <v>0.589</v>
      </c>
      <c r="F236" s="44">
        <v>1.0</v>
      </c>
      <c r="G236" s="44">
        <v>1.0</v>
      </c>
      <c r="H236" s="44" t="s">
        <v>15</v>
      </c>
      <c r="I236" s="44" t="s">
        <v>1793</v>
      </c>
      <c r="J236" s="44" t="s">
        <v>40</v>
      </c>
    </row>
    <row r="237" ht="15.75" customHeight="1">
      <c r="A237" s="44" t="s">
        <v>145</v>
      </c>
      <c r="B237" s="44" t="s">
        <v>1312</v>
      </c>
      <c r="C237" s="44" t="s">
        <v>1313</v>
      </c>
      <c r="D237" s="44">
        <v>1.0</v>
      </c>
      <c r="E237" s="44">
        <v>0.998</v>
      </c>
      <c r="F237" s="44">
        <v>1.0</v>
      </c>
      <c r="G237" s="44">
        <v>1.0</v>
      </c>
      <c r="H237" s="44" t="s">
        <v>15</v>
      </c>
      <c r="I237" s="44" t="s">
        <v>1794</v>
      </c>
      <c r="J237" s="44" t="s">
        <v>40</v>
      </c>
    </row>
    <row r="238" ht="15.75" customHeight="1">
      <c r="A238" s="44" t="s">
        <v>151</v>
      </c>
      <c r="B238" s="44" t="s">
        <v>1316</v>
      </c>
      <c r="C238" s="44" t="s">
        <v>1317</v>
      </c>
      <c r="D238" s="44">
        <v>0.455</v>
      </c>
      <c r="E238" s="44">
        <v>0.989</v>
      </c>
      <c r="F238" s="44">
        <v>1.0</v>
      </c>
      <c r="G238" s="44">
        <v>1.0</v>
      </c>
      <c r="H238" s="44" t="s">
        <v>15</v>
      </c>
      <c r="I238" s="44" t="s">
        <v>1795</v>
      </c>
      <c r="J238" s="44" t="s">
        <v>40</v>
      </c>
    </row>
    <row r="239" ht="15.75" customHeight="1">
      <c r="A239" s="44" t="s">
        <v>154</v>
      </c>
      <c r="B239" s="44" t="s">
        <v>1318</v>
      </c>
      <c r="C239" s="44" t="s">
        <v>1319</v>
      </c>
      <c r="D239" s="44">
        <v>0.909</v>
      </c>
      <c r="E239" s="44">
        <v>0.68</v>
      </c>
      <c r="F239" s="44">
        <v>1.0</v>
      </c>
      <c r="G239" s="44">
        <v>1.0</v>
      </c>
      <c r="H239" s="44" t="s">
        <v>15</v>
      </c>
      <c r="I239" s="44" t="s">
        <v>1796</v>
      </c>
      <c r="J239" s="44" t="s">
        <v>40</v>
      </c>
    </row>
    <row r="240" ht="15.75" customHeight="1">
      <c r="A240" s="44" t="s">
        <v>160</v>
      </c>
      <c r="B240" s="44" t="s">
        <v>1322</v>
      </c>
      <c r="C240" s="44" t="s">
        <v>1323</v>
      </c>
      <c r="D240" s="44">
        <v>1.0</v>
      </c>
      <c r="E240" s="44">
        <v>0.973</v>
      </c>
      <c r="F240" s="44">
        <v>1.0</v>
      </c>
      <c r="G240" s="44">
        <v>0.75</v>
      </c>
      <c r="H240" s="44" t="s">
        <v>15</v>
      </c>
      <c r="I240" s="44" t="s">
        <v>1797</v>
      </c>
      <c r="J240" s="44" t="s">
        <v>40</v>
      </c>
    </row>
    <row r="241" ht="15.75" customHeight="1">
      <c r="A241" s="44" t="s">
        <v>163</v>
      </c>
      <c r="B241" s="44" t="s">
        <v>1324</v>
      </c>
      <c r="C241" s="44" t="s">
        <v>1325</v>
      </c>
      <c r="D241" s="44">
        <v>0.92</v>
      </c>
      <c r="E241" s="44">
        <v>0.629</v>
      </c>
      <c r="F241" s="44">
        <v>0.95</v>
      </c>
      <c r="G241" s="44">
        <v>1.0</v>
      </c>
      <c r="H241" s="44" t="s">
        <v>15</v>
      </c>
      <c r="I241" s="44" t="s">
        <v>1798</v>
      </c>
      <c r="J241" s="44" t="s">
        <v>40</v>
      </c>
    </row>
    <row r="242" ht="15.75" customHeight="1">
      <c r="A242" s="44" t="s">
        <v>169</v>
      </c>
      <c r="B242" s="44" t="s">
        <v>1328</v>
      </c>
      <c r="C242" s="44" t="s">
        <v>1329</v>
      </c>
      <c r="D242" s="44">
        <v>0.727</v>
      </c>
      <c r="E242" s="44">
        <v>0.9</v>
      </c>
      <c r="F242" s="44">
        <v>0.756</v>
      </c>
      <c r="G242" s="44">
        <v>1.0</v>
      </c>
      <c r="H242" s="44" t="s">
        <v>16</v>
      </c>
      <c r="I242" s="44" t="s">
        <v>1799</v>
      </c>
      <c r="J242" s="44" t="s">
        <v>40</v>
      </c>
    </row>
    <row r="243" ht="15.75" customHeight="1">
      <c r="A243" s="44" t="s">
        <v>172</v>
      </c>
      <c r="B243" s="44" t="s">
        <v>1330</v>
      </c>
      <c r="C243" s="44" t="s">
        <v>1331</v>
      </c>
      <c r="D243" s="44">
        <v>1.0</v>
      </c>
      <c r="E243" s="44">
        <v>0.97</v>
      </c>
      <c r="F243" s="44">
        <v>1.0</v>
      </c>
      <c r="G243" s="44">
        <v>1.0</v>
      </c>
      <c r="H243" s="44" t="s">
        <v>16</v>
      </c>
      <c r="I243" s="44" t="s">
        <v>1800</v>
      </c>
      <c r="J243" s="44" t="s">
        <v>40</v>
      </c>
    </row>
    <row r="244" ht="15.75" customHeight="1">
      <c r="A244" s="44" t="s">
        <v>178</v>
      </c>
      <c r="B244" s="44" t="s">
        <v>1334</v>
      </c>
      <c r="C244" s="44" t="s">
        <v>1335</v>
      </c>
      <c r="D244" s="44">
        <v>0.727</v>
      </c>
      <c r="E244" s="44">
        <v>0.947</v>
      </c>
      <c r="F244" s="44">
        <v>1.0</v>
      </c>
      <c r="G244" s="44">
        <v>0.0</v>
      </c>
      <c r="H244" s="44" t="s">
        <v>16</v>
      </c>
      <c r="I244" s="44" t="s">
        <v>1801</v>
      </c>
      <c r="J244" s="44" t="s">
        <v>40</v>
      </c>
    </row>
    <row r="245" ht="15.75" customHeight="1">
      <c r="A245" s="44" t="s">
        <v>856</v>
      </c>
      <c r="B245" s="44" t="s">
        <v>1336</v>
      </c>
      <c r="C245" s="44" t="s">
        <v>1337</v>
      </c>
      <c r="D245" s="44">
        <v>0.7</v>
      </c>
      <c r="E245" s="44">
        <v>0.942</v>
      </c>
      <c r="F245" s="44">
        <v>1.0</v>
      </c>
      <c r="G245" s="44">
        <v>1.0</v>
      </c>
      <c r="H245" s="44" t="s">
        <v>16</v>
      </c>
      <c r="I245" s="44" t="s">
        <v>1802</v>
      </c>
      <c r="J245" s="44" t="s">
        <v>40</v>
      </c>
    </row>
    <row r="246" ht="15.75" customHeight="1">
      <c r="A246" s="44" t="s">
        <v>184</v>
      </c>
      <c r="B246" s="44" t="s">
        <v>1338</v>
      </c>
      <c r="C246" s="44" t="s">
        <v>1339</v>
      </c>
      <c r="D246" s="44">
        <v>0.444</v>
      </c>
      <c r="E246" s="44">
        <v>0.85</v>
      </c>
      <c r="F246" s="44">
        <v>1.0</v>
      </c>
      <c r="G246" s="44">
        <v>1.0</v>
      </c>
      <c r="H246" s="44" t="s">
        <v>16</v>
      </c>
      <c r="I246" s="44" t="s">
        <v>1803</v>
      </c>
      <c r="J246" s="44" t="s">
        <v>40</v>
      </c>
    </row>
    <row r="247" ht="15.75" customHeight="1">
      <c r="A247" s="44" t="s">
        <v>187</v>
      </c>
      <c r="B247" s="44" t="s">
        <v>1340</v>
      </c>
      <c r="C247" s="44" t="s">
        <v>1341</v>
      </c>
      <c r="D247" s="44">
        <v>0.7</v>
      </c>
      <c r="E247" s="44">
        <v>0.942</v>
      </c>
      <c r="F247" s="44">
        <v>0.679</v>
      </c>
      <c r="G247" s="44">
        <v>1.0</v>
      </c>
      <c r="H247" s="44" t="s">
        <v>16</v>
      </c>
      <c r="I247" s="44" t="s">
        <v>1804</v>
      </c>
      <c r="J247" s="44" t="s">
        <v>40</v>
      </c>
    </row>
    <row r="248" ht="15.75" customHeight="1">
      <c r="A248" s="44" t="s">
        <v>196</v>
      </c>
      <c r="B248" s="44" t="s">
        <v>1346</v>
      </c>
      <c r="C248" s="44" t="s">
        <v>1347</v>
      </c>
      <c r="D248" s="44">
        <v>0.8</v>
      </c>
      <c r="E248" s="44">
        <v>0.765</v>
      </c>
      <c r="F248" s="44">
        <v>1.0</v>
      </c>
      <c r="G248" s="44">
        <v>1.0</v>
      </c>
      <c r="H248" s="44" t="s">
        <v>16</v>
      </c>
      <c r="I248" s="44" t="s">
        <v>1805</v>
      </c>
      <c r="J248" s="44" t="s">
        <v>40</v>
      </c>
    </row>
    <row r="249" ht="15.75" customHeight="1">
      <c r="A249" s="44" t="s">
        <v>199</v>
      </c>
      <c r="B249" s="44" t="s">
        <v>1348</v>
      </c>
      <c r="C249" s="44" t="s">
        <v>1349</v>
      </c>
      <c r="D249" s="44">
        <v>0.652</v>
      </c>
      <c r="E249" s="44">
        <v>0.929</v>
      </c>
      <c r="F249" s="44">
        <v>1.0</v>
      </c>
      <c r="G249" s="44">
        <v>1.0</v>
      </c>
      <c r="H249" s="44" t="s">
        <v>16</v>
      </c>
      <c r="I249" s="44" t="s">
        <v>1806</v>
      </c>
      <c r="J249" s="44" t="s">
        <v>40</v>
      </c>
    </row>
    <row r="250" ht="15.75" customHeight="1">
      <c r="A250" s="44" t="s">
        <v>202</v>
      </c>
      <c r="B250" s="44" t="s">
        <v>1352</v>
      </c>
      <c r="C250" s="44" t="s">
        <v>1353</v>
      </c>
      <c r="D250" s="44">
        <v>1.0</v>
      </c>
      <c r="E250" s="44">
        <v>0.878</v>
      </c>
      <c r="F250" s="44">
        <v>1.0</v>
      </c>
      <c r="G250" s="44">
        <v>1.0</v>
      </c>
      <c r="H250" s="44" t="s">
        <v>16</v>
      </c>
      <c r="I250" s="44" t="s">
        <v>1807</v>
      </c>
      <c r="J250" s="44" t="s">
        <v>40</v>
      </c>
    </row>
    <row r="251" ht="15.75" customHeight="1">
      <c r="A251" s="44" t="s">
        <v>208</v>
      </c>
      <c r="B251" s="44" t="s">
        <v>1354</v>
      </c>
      <c r="C251" s="44" t="s">
        <v>1355</v>
      </c>
      <c r="D251" s="44">
        <v>0.762</v>
      </c>
      <c r="E251" s="44">
        <v>0.734</v>
      </c>
      <c r="F251" s="44">
        <v>0.95</v>
      </c>
      <c r="G251" s="44">
        <v>1.0</v>
      </c>
      <c r="H251" s="44" t="s">
        <v>16</v>
      </c>
      <c r="I251" s="44" t="s">
        <v>1808</v>
      </c>
      <c r="J251" s="44" t="s">
        <v>40</v>
      </c>
    </row>
    <row r="252" ht="15.75" customHeight="1">
      <c r="A252" s="44" t="s">
        <v>211</v>
      </c>
      <c r="B252" s="44" t="s">
        <v>1356</v>
      </c>
      <c r="C252" s="44" t="s">
        <v>1357</v>
      </c>
      <c r="D252" s="44">
        <v>1.0</v>
      </c>
      <c r="E252" s="44">
        <v>0.9</v>
      </c>
      <c r="F252" s="44">
        <v>0.756</v>
      </c>
      <c r="G252" s="44">
        <v>1.0</v>
      </c>
      <c r="H252" s="44" t="s">
        <v>16</v>
      </c>
      <c r="I252" s="44" t="s">
        <v>1809</v>
      </c>
      <c r="J252" s="44" t="s">
        <v>40</v>
      </c>
    </row>
    <row r="253" ht="15.75" customHeight="1">
      <c r="A253" s="44" t="s">
        <v>217</v>
      </c>
      <c r="B253" s="44" t="s">
        <v>1360</v>
      </c>
      <c r="C253" s="44" t="s">
        <v>1361</v>
      </c>
      <c r="D253" s="44">
        <v>0.933</v>
      </c>
      <c r="E253" s="44">
        <v>0.989</v>
      </c>
      <c r="F253" s="44">
        <v>0.25</v>
      </c>
      <c r="G253" s="44">
        <v>0.0</v>
      </c>
      <c r="H253" s="44" t="s">
        <v>16</v>
      </c>
      <c r="I253" s="44" t="s">
        <v>1810</v>
      </c>
      <c r="J253" s="44" t="s">
        <v>40</v>
      </c>
    </row>
    <row r="254" ht="15.75" customHeight="1">
      <c r="A254" s="44" t="s">
        <v>220</v>
      </c>
      <c r="B254" s="44" t="s">
        <v>1362</v>
      </c>
      <c r="C254" s="44" t="s">
        <v>1363</v>
      </c>
      <c r="D254" s="44">
        <v>0.588</v>
      </c>
      <c r="E254" s="44">
        <v>0.624</v>
      </c>
      <c r="F254" s="44">
        <v>0.917</v>
      </c>
      <c r="G254" s="44">
        <v>1.0</v>
      </c>
      <c r="H254" s="44" t="s">
        <v>16</v>
      </c>
      <c r="I254" s="44" t="s">
        <v>1811</v>
      </c>
      <c r="J254" s="44" t="s">
        <v>40</v>
      </c>
    </row>
    <row r="255" ht="15.75" customHeight="1">
      <c r="A255" s="44" t="s">
        <v>223</v>
      </c>
      <c r="B255" s="44" t="s">
        <v>1364</v>
      </c>
      <c r="C255" s="44" t="s">
        <v>1365</v>
      </c>
      <c r="D255" s="44">
        <v>0.722</v>
      </c>
      <c r="E255" s="44">
        <v>0.812</v>
      </c>
      <c r="F255" s="44">
        <v>1.0</v>
      </c>
      <c r="G255" s="44">
        <v>1.0</v>
      </c>
      <c r="H255" s="44" t="s">
        <v>16</v>
      </c>
      <c r="I255" s="44" t="s">
        <v>1812</v>
      </c>
      <c r="J255" s="44" t="s">
        <v>40</v>
      </c>
    </row>
    <row r="256" ht="15.75" customHeight="1">
      <c r="A256" s="44" t="s">
        <v>229</v>
      </c>
      <c r="B256" s="44" t="s">
        <v>1368</v>
      </c>
      <c r="C256" s="44" t="s">
        <v>1369</v>
      </c>
      <c r="D256" s="44">
        <v>0.75</v>
      </c>
      <c r="E256" s="44">
        <v>0.0</v>
      </c>
      <c r="F256" s="44">
        <v>0.0</v>
      </c>
      <c r="G256" s="44">
        <v>1.0</v>
      </c>
      <c r="H256" s="44" t="s">
        <v>17</v>
      </c>
      <c r="I256" s="44" t="s">
        <v>1813</v>
      </c>
      <c r="J256" s="44" t="s">
        <v>40</v>
      </c>
    </row>
    <row r="257" ht="15.75" customHeight="1">
      <c r="A257" s="44" t="s">
        <v>232</v>
      </c>
      <c r="B257" s="44" t="s">
        <v>1370</v>
      </c>
      <c r="C257" s="44" t="s">
        <v>1371</v>
      </c>
      <c r="D257" s="44">
        <v>1.0</v>
      </c>
      <c r="E257" s="44">
        <v>0.992</v>
      </c>
      <c r="F257" s="44">
        <v>1.0</v>
      </c>
      <c r="G257" s="44">
        <v>0.167</v>
      </c>
      <c r="H257" s="44" t="s">
        <v>17</v>
      </c>
      <c r="I257" s="44" t="s">
        <v>1814</v>
      </c>
      <c r="J257" s="44" t="s">
        <v>40</v>
      </c>
    </row>
    <row r="258" ht="15.75" customHeight="1">
      <c r="A258" s="44" t="s">
        <v>235</v>
      </c>
      <c r="B258" s="44" t="s">
        <v>1372</v>
      </c>
      <c r="C258" s="44" t="s">
        <v>1373</v>
      </c>
      <c r="D258" s="44">
        <v>1.0</v>
      </c>
      <c r="E258" s="44">
        <v>1.0</v>
      </c>
      <c r="F258" s="44">
        <v>1.0</v>
      </c>
      <c r="G258" s="44">
        <v>0.833</v>
      </c>
      <c r="H258" s="44" t="s">
        <v>17</v>
      </c>
      <c r="I258" s="44" t="s">
        <v>1815</v>
      </c>
      <c r="J258" s="44" t="s">
        <v>40</v>
      </c>
    </row>
    <row r="259" ht="15.75" customHeight="1">
      <c r="A259" s="44" t="s">
        <v>238</v>
      </c>
      <c r="B259" s="44" t="s">
        <v>1374</v>
      </c>
      <c r="C259" s="44" t="s">
        <v>1375</v>
      </c>
      <c r="D259" s="44">
        <v>0.5</v>
      </c>
      <c r="E259" s="44">
        <v>0.85</v>
      </c>
      <c r="F259" s="44">
        <v>1.0</v>
      </c>
      <c r="G259" s="44">
        <v>0.8</v>
      </c>
      <c r="H259" s="44" t="s">
        <v>17</v>
      </c>
      <c r="I259" s="44" t="s">
        <v>1816</v>
      </c>
      <c r="J259" s="44" t="s">
        <v>40</v>
      </c>
    </row>
    <row r="260" ht="15.75" customHeight="1">
      <c r="A260" s="44" t="s">
        <v>247</v>
      </c>
      <c r="B260" s="44" t="s">
        <v>1380</v>
      </c>
      <c r="C260" s="44" t="s">
        <v>1381</v>
      </c>
      <c r="D260" s="44">
        <v>0.811</v>
      </c>
      <c r="E260" s="44">
        <v>0.99</v>
      </c>
      <c r="F260" s="44">
        <v>0.804</v>
      </c>
      <c r="G260" s="44">
        <v>1.0</v>
      </c>
      <c r="H260" s="44" t="s">
        <v>17</v>
      </c>
      <c r="I260" s="44" t="s">
        <v>1817</v>
      </c>
      <c r="J260" s="44" t="s">
        <v>40</v>
      </c>
    </row>
    <row r="261" ht="15.75" customHeight="1">
      <c r="A261" s="44" t="s">
        <v>250</v>
      </c>
      <c r="B261" s="44" t="s">
        <v>1382</v>
      </c>
      <c r="C261" s="44" t="s">
        <v>1383</v>
      </c>
      <c r="D261" s="44">
        <v>0.714</v>
      </c>
      <c r="E261" s="44">
        <v>1.0</v>
      </c>
      <c r="F261" s="44">
        <v>0.45</v>
      </c>
      <c r="G261" s="44">
        <v>0.8</v>
      </c>
      <c r="H261" s="44" t="s">
        <v>17</v>
      </c>
      <c r="I261" s="44" t="s">
        <v>1818</v>
      </c>
      <c r="J261" s="44" t="s">
        <v>40</v>
      </c>
    </row>
    <row r="262" ht="15.75" customHeight="1">
      <c r="A262" s="44" t="s">
        <v>256</v>
      </c>
      <c r="B262" s="44" t="s">
        <v>1386</v>
      </c>
      <c r="C262" s="44" t="s">
        <v>1387</v>
      </c>
      <c r="D262" s="44">
        <v>1.0</v>
      </c>
      <c r="E262" s="44">
        <v>0.746</v>
      </c>
      <c r="F262" s="44">
        <v>0.533</v>
      </c>
      <c r="G262" s="44">
        <v>0.222</v>
      </c>
      <c r="H262" s="44" t="s">
        <v>17</v>
      </c>
      <c r="I262" s="44" t="s">
        <v>1819</v>
      </c>
      <c r="J262" s="44" t="s">
        <v>40</v>
      </c>
    </row>
    <row r="263" ht="15.75" customHeight="1">
      <c r="A263" s="44" t="s">
        <v>265</v>
      </c>
      <c r="B263" s="44" t="s">
        <v>1392</v>
      </c>
      <c r="C263" s="44" t="s">
        <v>1393</v>
      </c>
      <c r="D263" s="44">
        <v>1.0</v>
      </c>
      <c r="E263" s="44">
        <v>0.857</v>
      </c>
      <c r="F263" s="44">
        <v>1.0</v>
      </c>
      <c r="G263" s="44">
        <v>1.0</v>
      </c>
      <c r="H263" s="44" t="s">
        <v>17</v>
      </c>
      <c r="I263" s="44" t="s">
        <v>1820</v>
      </c>
      <c r="J263" s="44" t="s">
        <v>40</v>
      </c>
    </row>
    <row r="264" ht="15.75" customHeight="1">
      <c r="A264" s="44" t="s">
        <v>271</v>
      </c>
      <c r="B264" s="44" t="s">
        <v>1396</v>
      </c>
      <c r="C264" s="44" t="s">
        <v>1397</v>
      </c>
      <c r="D264" s="44">
        <v>0.75</v>
      </c>
      <c r="E264" s="44">
        <v>0.906</v>
      </c>
      <c r="F264" s="44">
        <v>1.0</v>
      </c>
      <c r="G264" s="44">
        <v>0.875</v>
      </c>
      <c r="H264" s="44" t="s">
        <v>17</v>
      </c>
      <c r="I264" s="44" t="s">
        <v>1821</v>
      </c>
      <c r="J264" s="44" t="s">
        <v>40</v>
      </c>
    </row>
    <row r="265" ht="15.75" customHeight="1">
      <c r="A265" s="44" t="s">
        <v>274</v>
      </c>
      <c r="B265" s="44" t="s">
        <v>1398</v>
      </c>
      <c r="C265" s="44" t="s">
        <v>1399</v>
      </c>
      <c r="D265" s="44">
        <v>0.5</v>
      </c>
      <c r="E265" s="44">
        <v>0.878</v>
      </c>
      <c r="F265" s="44">
        <v>1.0</v>
      </c>
      <c r="G265" s="44">
        <v>1.0</v>
      </c>
      <c r="H265" s="44" t="s">
        <v>17</v>
      </c>
      <c r="I265" s="44" t="s">
        <v>1822</v>
      </c>
      <c r="J265" s="44" t="s">
        <v>40</v>
      </c>
    </row>
    <row r="266" ht="15.75" customHeight="1">
      <c r="A266" s="44" t="s">
        <v>280</v>
      </c>
      <c r="B266" s="44" t="s">
        <v>1404</v>
      </c>
      <c r="C266" s="44" t="s">
        <v>1405</v>
      </c>
      <c r="D266" s="44">
        <v>0.733</v>
      </c>
      <c r="E266" s="44">
        <v>0.791</v>
      </c>
      <c r="F266" s="44">
        <v>1.0</v>
      </c>
      <c r="G266" s="44">
        <v>1.0</v>
      </c>
      <c r="H266" s="44" t="s">
        <v>17</v>
      </c>
      <c r="I266" s="44" t="s">
        <v>1823</v>
      </c>
      <c r="J266" s="44" t="s">
        <v>40</v>
      </c>
    </row>
    <row r="267" ht="15.75" customHeight="1">
      <c r="A267" s="44" t="s">
        <v>49</v>
      </c>
      <c r="B267" s="44" t="s">
        <v>50</v>
      </c>
      <c r="C267" s="44" t="s">
        <v>51</v>
      </c>
      <c r="D267" s="44">
        <v>0.429</v>
      </c>
      <c r="E267" s="44">
        <v>1.0</v>
      </c>
      <c r="F267" s="44">
        <v>0.333</v>
      </c>
      <c r="G267" s="44">
        <v>1.0</v>
      </c>
      <c r="H267" s="44" t="s">
        <v>14</v>
      </c>
      <c r="I267" s="44" t="s">
        <v>1824</v>
      </c>
      <c r="J267" s="44" t="s">
        <v>40</v>
      </c>
    </row>
    <row r="268" ht="15.75" customHeight="1">
      <c r="A268" s="44" t="s">
        <v>52</v>
      </c>
      <c r="B268" s="44" t="s">
        <v>53</v>
      </c>
      <c r="C268" s="44" t="s">
        <v>54</v>
      </c>
      <c r="D268" s="44">
        <v>1.0</v>
      </c>
      <c r="E268" s="44">
        <v>0.827</v>
      </c>
      <c r="F268" s="44">
        <v>1.0</v>
      </c>
      <c r="G268" s="44">
        <v>0.333</v>
      </c>
      <c r="H268" s="44" t="s">
        <v>14</v>
      </c>
      <c r="I268" s="44" t="s">
        <v>1825</v>
      </c>
      <c r="J268" s="44" t="s">
        <v>40</v>
      </c>
    </row>
    <row r="269" ht="15.75" customHeight="1">
      <c r="A269" s="44" t="s">
        <v>55</v>
      </c>
      <c r="B269" s="44" t="s">
        <v>56</v>
      </c>
      <c r="C269" s="44" t="s">
        <v>57</v>
      </c>
      <c r="D269" s="44">
        <v>0.571</v>
      </c>
      <c r="E269" s="44">
        <v>1.0</v>
      </c>
      <c r="F269" s="44">
        <v>1.0</v>
      </c>
      <c r="G269" s="44">
        <v>1.0</v>
      </c>
      <c r="H269" s="44" t="s">
        <v>14</v>
      </c>
      <c r="I269" s="44" t="s">
        <v>1826</v>
      </c>
      <c r="J269" s="44" t="s">
        <v>40</v>
      </c>
    </row>
    <row r="270" ht="15.75" customHeight="1">
      <c r="A270" s="44" t="s">
        <v>58</v>
      </c>
      <c r="B270" s="44" t="s">
        <v>59</v>
      </c>
      <c r="C270" s="44" t="s">
        <v>60</v>
      </c>
      <c r="D270" s="44">
        <v>0.667</v>
      </c>
      <c r="E270" s="44">
        <v>0.734</v>
      </c>
      <c r="F270" s="44">
        <v>0.833</v>
      </c>
      <c r="G270" s="44">
        <v>0.6</v>
      </c>
      <c r="H270" s="44" t="s">
        <v>14</v>
      </c>
      <c r="I270" s="44" t="s">
        <v>1827</v>
      </c>
      <c r="J270" s="44" t="s">
        <v>40</v>
      </c>
    </row>
    <row r="271" ht="15.75" customHeight="1">
      <c r="A271" s="44" t="s">
        <v>61</v>
      </c>
      <c r="B271" s="44" t="s">
        <v>62</v>
      </c>
      <c r="C271" s="44" t="s">
        <v>63</v>
      </c>
      <c r="D271" s="44">
        <v>1.0</v>
      </c>
      <c r="E271" s="44">
        <v>1.0</v>
      </c>
      <c r="F271" s="44">
        <v>0.583</v>
      </c>
      <c r="G271" s="44">
        <v>1.0</v>
      </c>
      <c r="H271" s="44" t="s">
        <v>14</v>
      </c>
      <c r="I271" s="44" t="s">
        <v>1828</v>
      </c>
      <c r="J271" s="44" t="s">
        <v>40</v>
      </c>
    </row>
    <row r="272" ht="15.75" customHeight="1">
      <c r="A272" s="44" t="s">
        <v>67</v>
      </c>
      <c r="B272" s="44" t="s">
        <v>68</v>
      </c>
      <c r="C272" s="44" t="s">
        <v>69</v>
      </c>
      <c r="D272" s="44">
        <v>0.5</v>
      </c>
      <c r="E272" s="44">
        <v>0.821</v>
      </c>
      <c r="F272" s="44">
        <v>1.0</v>
      </c>
      <c r="G272" s="44">
        <v>0.333</v>
      </c>
      <c r="H272" s="44" t="s">
        <v>14</v>
      </c>
      <c r="I272" s="44" t="s">
        <v>1829</v>
      </c>
      <c r="J272" s="44" t="s">
        <v>40</v>
      </c>
    </row>
    <row r="273" ht="15.75" customHeight="1">
      <c r="A273" s="44" t="s">
        <v>76</v>
      </c>
      <c r="B273" s="44" t="s">
        <v>77</v>
      </c>
      <c r="C273" s="44" t="s">
        <v>78</v>
      </c>
      <c r="D273" s="44">
        <v>0.444</v>
      </c>
      <c r="E273" s="44">
        <v>0.597</v>
      </c>
      <c r="F273" s="44">
        <v>1.0</v>
      </c>
      <c r="G273" s="44">
        <v>1.0</v>
      </c>
      <c r="H273" s="44" t="s">
        <v>14</v>
      </c>
      <c r="I273" s="44" t="s">
        <v>1830</v>
      </c>
      <c r="J273" s="44" t="s">
        <v>40</v>
      </c>
    </row>
    <row r="274" ht="15.75" customHeight="1">
      <c r="A274" s="44" t="s">
        <v>82</v>
      </c>
      <c r="B274" s="44" t="s">
        <v>83</v>
      </c>
      <c r="C274" s="44" t="s">
        <v>84</v>
      </c>
      <c r="D274" s="44">
        <v>0.75</v>
      </c>
      <c r="E274" s="44">
        <v>0.502</v>
      </c>
      <c r="F274" s="44">
        <v>0.583</v>
      </c>
      <c r="G274" s="44">
        <v>1.0</v>
      </c>
      <c r="H274" s="44" t="s">
        <v>14</v>
      </c>
      <c r="I274" s="44" t="s">
        <v>1831</v>
      </c>
      <c r="J274" s="44" t="s">
        <v>40</v>
      </c>
    </row>
    <row r="275" ht="15.75" customHeight="1">
      <c r="A275" s="44" t="s">
        <v>85</v>
      </c>
      <c r="B275" s="44" t="s">
        <v>86</v>
      </c>
      <c r="C275" s="44" t="s">
        <v>87</v>
      </c>
      <c r="D275" s="44">
        <v>0.786</v>
      </c>
      <c r="E275" s="44">
        <v>0.867</v>
      </c>
      <c r="F275" s="44">
        <v>0.0</v>
      </c>
      <c r="G275" s="44">
        <v>0.5</v>
      </c>
      <c r="H275" s="44" t="s">
        <v>14</v>
      </c>
      <c r="I275" s="44" t="s">
        <v>1832</v>
      </c>
      <c r="J275" s="44" t="s">
        <v>40</v>
      </c>
    </row>
    <row r="276" ht="15.75" customHeight="1">
      <c r="A276" s="44" t="s">
        <v>91</v>
      </c>
      <c r="B276" s="44" t="s">
        <v>92</v>
      </c>
      <c r="C276" s="44" t="s">
        <v>93</v>
      </c>
      <c r="D276" s="44">
        <v>0.75</v>
      </c>
      <c r="E276" s="44">
        <v>0.99</v>
      </c>
      <c r="F276" s="44">
        <v>1.0</v>
      </c>
      <c r="G276" s="44">
        <v>1.0</v>
      </c>
      <c r="H276" s="44" t="s">
        <v>14</v>
      </c>
      <c r="I276" s="44" t="s">
        <v>1833</v>
      </c>
      <c r="J276" s="44" t="s">
        <v>40</v>
      </c>
    </row>
    <row r="277" ht="15.75" customHeight="1">
      <c r="A277" s="44" t="s">
        <v>97</v>
      </c>
      <c r="B277" s="44" t="s">
        <v>98</v>
      </c>
      <c r="C277" s="44" t="s">
        <v>99</v>
      </c>
      <c r="D277" s="44">
        <v>0.45</v>
      </c>
      <c r="E277" s="44">
        <v>0.782</v>
      </c>
      <c r="F277" s="44">
        <v>1.0</v>
      </c>
      <c r="G277" s="44">
        <v>1.0</v>
      </c>
      <c r="H277" s="44" t="s">
        <v>14</v>
      </c>
      <c r="I277" s="44" t="s">
        <v>1834</v>
      </c>
      <c r="J277" s="44" t="s">
        <v>40</v>
      </c>
    </row>
    <row r="278" ht="15.75" customHeight="1">
      <c r="A278" s="44" t="s">
        <v>115</v>
      </c>
      <c r="B278" s="44" t="s">
        <v>116</v>
      </c>
      <c r="C278" s="44" t="s">
        <v>117</v>
      </c>
      <c r="D278" s="44">
        <v>0.9</v>
      </c>
      <c r="E278" s="44">
        <v>0.945</v>
      </c>
      <c r="F278" s="44">
        <v>0.833</v>
      </c>
      <c r="G278" s="44">
        <v>0.8</v>
      </c>
      <c r="H278" s="44" t="s">
        <v>14</v>
      </c>
      <c r="I278" s="44" t="s">
        <v>1835</v>
      </c>
      <c r="J278" s="44" t="s">
        <v>40</v>
      </c>
    </row>
    <row r="279" ht="15.75" customHeight="1">
      <c r="A279" s="44" t="s">
        <v>127</v>
      </c>
      <c r="B279" s="44" t="s">
        <v>128</v>
      </c>
      <c r="C279" s="44" t="s">
        <v>129</v>
      </c>
      <c r="D279" s="44">
        <v>1.0</v>
      </c>
      <c r="E279" s="44">
        <v>0.997</v>
      </c>
      <c r="F279" s="44">
        <v>1.0</v>
      </c>
      <c r="G279" s="44">
        <v>1.0</v>
      </c>
      <c r="H279" s="44" t="s">
        <v>15</v>
      </c>
      <c r="I279" s="44" t="s">
        <v>1836</v>
      </c>
      <c r="J279" s="44" t="s">
        <v>40</v>
      </c>
    </row>
    <row r="280" ht="15.75" customHeight="1">
      <c r="A280" s="44" t="s">
        <v>130</v>
      </c>
      <c r="B280" s="44" t="s">
        <v>131</v>
      </c>
      <c r="C280" s="44" t="s">
        <v>132</v>
      </c>
      <c r="D280" s="44">
        <v>0.615</v>
      </c>
      <c r="E280" s="44">
        <v>0.788</v>
      </c>
      <c r="F280" s="44">
        <v>1.0</v>
      </c>
      <c r="G280" s="44">
        <v>1.0</v>
      </c>
      <c r="H280" s="44" t="s">
        <v>15</v>
      </c>
      <c r="I280" s="44" t="s">
        <v>1837</v>
      </c>
      <c r="J280" s="44" t="s">
        <v>40</v>
      </c>
    </row>
    <row r="281" ht="15.75" customHeight="1">
      <c r="A281" s="44" t="s">
        <v>145</v>
      </c>
      <c r="B281" s="44" t="s">
        <v>146</v>
      </c>
      <c r="C281" s="44" t="s">
        <v>147</v>
      </c>
      <c r="D281" s="44">
        <v>0.5</v>
      </c>
      <c r="E281" s="44">
        <v>0.687</v>
      </c>
      <c r="F281" s="44">
        <v>1.0</v>
      </c>
      <c r="G281" s="44">
        <v>1.0</v>
      </c>
      <c r="H281" s="44" t="s">
        <v>15</v>
      </c>
      <c r="I281" s="44" t="s">
        <v>1838</v>
      </c>
      <c r="J281" s="44" t="s">
        <v>40</v>
      </c>
    </row>
    <row r="282" ht="15.75" customHeight="1">
      <c r="A282" s="44" t="s">
        <v>154</v>
      </c>
      <c r="B282" s="44" t="s">
        <v>155</v>
      </c>
      <c r="C282" s="44" t="s">
        <v>156</v>
      </c>
      <c r="D282" s="44">
        <v>0.556</v>
      </c>
      <c r="E282" s="44">
        <v>0.993</v>
      </c>
      <c r="F282" s="44">
        <v>1.0</v>
      </c>
      <c r="G282" s="44">
        <v>1.0</v>
      </c>
      <c r="H282" s="44" t="s">
        <v>15</v>
      </c>
      <c r="I282" s="44" t="s">
        <v>1839</v>
      </c>
      <c r="J282" s="44" t="s">
        <v>40</v>
      </c>
    </row>
    <row r="283" ht="15.75" customHeight="1">
      <c r="A283" s="44" t="s">
        <v>160</v>
      </c>
      <c r="B283" s="44" t="s">
        <v>161</v>
      </c>
      <c r="C283" s="44" t="s">
        <v>162</v>
      </c>
      <c r="D283" s="44">
        <v>0.857</v>
      </c>
      <c r="E283" s="44">
        <v>0.914</v>
      </c>
      <c r="F283" s="44">
        <v>1.0</v>
      </c>
      <c r="G283" s="44">
        <v>0.75</v>
      </c>
      <c r="H283" s="44" t="s">
        <v>15</v>
      </c>
      <c r="I283" s="44" t="s">
        <v>1840</v>
      </c>
      <c r="J283" s="44" t="s">
        <v>40</v>
      </c>
    </row>
    <row r="284" ht="15.75" customHeight="1">
      <c r="A284" s="44" t="s">
        <v>184</v>
      </c>
      <c r="B284" s="44" t="s">
        <v>185</v>
      </c>
      <c r="C284" s="44" t="s">
        <v>186</v>
      </c>
      <c r="D284" s="44">
        <v>1.0</v>
      </c>
      <c r="E284" s="44">
        <v>0.821</v>
      </c>
      <c r="F284" s="44">
        <v>1.0</v>
      </c>
      <c r="G284" s="44">
        <v>1.0</v>
      </c>
      <c r="H284" s="44" t="s">
        <v>16</v>
      </c>
      <c r="I284" s="44" t="s">
        <v>1841</v>
      </c>
      <c r="J284" s="44" t="s">
        <v>40</v>
      </c>
    </row>
    <row r="285" ht="15.75" customHeight="1">
      <c r="A285" s="44" t="s">
        <v>208</v>
      </c>
      <c r="B285" s="44" t="s">
        <v>209</v>
      </c>
      <c r="C285" s="44" t="s">
        <v>210</v>
      </c>
      <c r="D285" s="44">
        <v>1.0</v>
      </c>
      <c r="E285" s="44">
        <v>0.763</v>
      </c>
      <c r="F285" s="44">
        <v>1.0</v>
      </c>
      <c r="G285" s="44">
        <v>0.429</v>
      </c>
      <c r="H285" s="44" t="s">
        <v>16</v>
      </c>
      <c r="I285" s="44" t="s">
        <v>1842</v>
      </c>
      <c r="J285" s="44" t="s">
        <v>40</v>
      </c>
    </row>
    <row r="286" ht="15.75" customHeight="1">
      <c r="A286" s="44" t="s">
        <v>211</v>
      </c>
      <c r="B286" s="44" t="s">
        <v>212</v>
      </c>
      <c r="C286" s="44" t="s">
        <v>213</v>
      </c>
      <c r="D286" s="44">
        <v>0.889</v>
      </c>
      <c r="E286" s="44">
        <v>0.926</v>
      </c>
      <c r="F286" s="44">
        <v>1.0</v>
      </c>
      <c r="G286" s="44">
        <v>1.0</v>
      </c>
      <c r="H286" s="44" t="s">
        <v>16</v>
      </c>
      <c r="I286" s="44" t="s">
        <v>1843</v>
      </c>
      <c r="J286" s="44" t="s">
        <v>40</v>
      </c>
    </row>
    <row r="287" ht="15.75" customHeight="1">
      <c r="A287" s="44" t="s">
        <v>223</v>
      </c>
      <c r="B287" s="44" t="s">
        <v>224</v>
      </c>
      <c r="C287" s="44" t="s">
        <v>225</v>
      </c>
      <c r="D287" s="44">
        <v>0.875</v>
      </c>
      <c r="E287" s="44">
        <v>0.687</v>
      </c>
      <c r="F287" s="44">
        <v>1.0</v>
      </c>
      <c r="G287" s="44">
        <v>1.0</v>
      </c>
      <c r="H287" s="44" t="s">
        <v>16</v>
      </c>
      <c r="I287" s="44" t="s">
        <v>1844</v>
      </c>
      <c r="J287" s="44" t="s">
        <v>40</v>
      </c>
    </row>
    <row r="288" ht="15.75" customHeight="1">
      <c r="A288" s="44" t="s">
        <v>226</v>
      </c>
      <c r="B288" s="44" t="s">
        <v>227</v>
      </c>
      <c r="C288" s="44" t="s">
        <v>228</v>
      </c>
      <c r="D288" s="44">
        <v>1.0</v>
      </c>
      <c r="E288" s="44">
        <v>0.0</v>
      </c>
      <c r="F288" s="44">
        <v>0.0</v>
      </c>
      <c r="G288" s="44">
        <v>1.0</v>
      </c>
      <c r="H288" s="44" t="s">
        <v>17</v>
      </c>
      <c r="I288" s="44" t="s">
        <v>1845</v>
      </c>
      <c r="J288" s="44" t="s">
        <v>40</v>
      </c>
    </row>
    <row r="289" ht="15.75" customHeight="1">
      <c r="A289" s="44" t="s">
        <v>238</v>
      </c>
      <c r="B289" s="44" t="s">
        <v>239</v>
      </c>
      <c r="C289" s="44" t="s">
        <v>240</v>
      </c>
      <c r="D289" s="44">
        <v>1.0</v>
      </c>
      <c r="E289" s="44">
        <v>0.601</v>
      </c>
      <c r="F289" s="44">
        <v>0.583</v>
      </c>
      <c r="G289" s="44">
        <v>1.0</v>
      </c>
      <c r="H289" s="44" t="s">
        <v>17</v>
      </c>
      <c r="I289" s="44" t="s">
        <v>1846</v>
      </c>
      <c r="J289" s="44" t="s">
        <v>40</v>
      </c>
    </row>
    <row r="290" ht="15.75" customHeight="1">
      <c r="A290" s="44" t="s">
        <v>283</v>
      </c>
      <c r="B290" s="44" t="s">
        <v>284</v>
      </c>
      <c r="C290" s="44" t="s">
        <v>285</v>
      </c>
      <c r="D290" s="44">
        <v>0.688</v>
      </c>
      <c r="E290" s="44">
        <v>0.758</v>
      </c>
      <c r="F290" s="44">
        <v>1.0</v>
      </c>
      <c r="G290" s="44">
        <v>1.0</v>
      </c>
      <c r="H290" s="44" t="s">
        <v>17</v>
      </c>
      <c r="I290" s="44" t="s">
        <v>1847</v>
      </c>
      <c r="J290" s="44" t="s">
        <v>40</v>
      </c>
    </row>
    <row r="291" ht="15.75" customHeight="1">
      <c r="A291" s="44" t="s">
        <v>46</v>
      </c>
      <c r="B291" s="44" t="s">
        <v>608</v>
      </c>
      <c r="C291" s="44" t="s">
        <v>609</v>
      </c>
      <c r="D291" s="44">
        <v>1.0</v>
      </c>
      <c r="E291" s="44">
        <v>0.914</v>
      </c>
      <c r="F291" s="44">
        <v>0.5</v>
      </c>
      <c r="G291" s="44">
        <v>0.0</v>
      </c>
      <c r="H291" s="44" t="s">
        <v>14</v>
      </c>
      <c r="I291" s="44" t="s">
        <v>1848</v>
      </c>
      <c r="J291" s="44" t="s">
        <v>40</v>
      </c>
    </row>
    <row r="292" ht="15.75" customHeight="1">
      <c r="A292" s="44" t="s">
        <v>58</v>
      </c>
      <c r="B292" s="44" t="s">
        <v>616</v>
      </c>
      <c r="C292" s="44" t="s">
        <v>617</v>
      </c>
      <c r="D292" s="44">
        <v>0.438</v>
      </c>
      <c r="E292" s="44">
        <v>0.868</v>
      </c>
      <c r="F292" s="44">
        <v>0.806</v>
      </c>
      <c r="G292" s="44">
        <v>1.0</v>
      </c>
      <c r="H292" s="44" t="s">
        <v>14</v>
      </c>
      <c r="I292" s="44" t="s">
        <v>1849</v>
      </c>
      <c r="J292" s="44" t="s">
        <v>40</v>
      </c>
    </row>
    <row r="293" ht="15.75" customHeight="1">
      <c r="A293" s="44" t="s">
        <v>61</v>
      </c>
      <c r="B293" s="44" t="s">
        <v>618</v>
      </c>
      <c r="C293" s="44" t="s">
        <v>619</v>
      </c>
      <c r="D293" s="44">
        <v>1.0</v>
      </c>
      <c r="E293" s="44">
        <v>0.976</v>
      </c>
      <c r="F293" s="44">
        <v>0.5</v>
      </c>
      <c r="G293" s="44">
        <v>1.0</v>
      </c>
      <c r="H293" s="44" t="s">
        <v>14</v>
      </c>
      <c r="I293" s="44" t="s">
        <v>1850</v>
      </c>
      <c r="J293" s="44" t="s">
        <v>40</v>
      </c>
    </row>
    <row r="294" ht="15.75" customHeight="1">
      <c r="A294" s="44" t="s">
        <v>64</v>
      </c>
      <c r="B294" s="44" t="s">
        <v>620</v>
      </c>
      <c r="C294" s="44" t="s">
        <v>621</v>
      </c>
      <c r="D294" s="44">
        <v>0.4</v>
      </c>
      <c r="E294" s="44">
        <v>0.901</v>
      </c>
      <c r="F294" s="44">
        <v>1.0</v>
      </c>
      <c r="G294" s="44">
        <v>0.833</v>
      </c>
      <c r="H294" s="44" t="s">
        <v>14</v>
      </c>
      <c r="I294" s="44" t="s">
        <v>1851</v>
      </c>
      <c r="J294" s="44" t="s">
        <v>40</v>
      </c>
    </row>
    <row r="295" ht="15.75" customHeight="1">
      <c r="A295" s="44" t="s">
        <v>67</v>
      </c>
      <c r="B295" s="44" t="s">
        <v>622</v>
      </c>
      <c r="C295" s="44" t="s">
        <v>623</v>
      </c>
      <c r="D295" s="44">
        <v>0.75</v>
      </c>
      <c r="E295" s="44">
        <v>0.883</v>
      </c>
      <c r="F295" s="44">
        <v>1.0</v>
      </c>
      <c r="G295" s="44">
        <v>1.0</v>
      </c>
      <c r="H295" s="44" t="s">
        <v>14</v>
      </c>
      <c r="I295" s="44" t="s">
        <v>1852</v>
      </c>
      <c r="J295" s="44" t="s">
        <v>40</v>
      </c>
    </row>
    <row r="296" ht="15.75" customHeight="1">
      <c r="A296" s="44" t="s">
        <v>70</v>
      </c>
      <c r="B296" s="44" t="s">
        <v>624</v>
      </c>
      <c r="C296" s="44" t="s">
        <v>625</v>
      </c>
      <c r="D296" s="44">
        <v>0.5</v>
      </c>
      <c r="E296" s="44">
        <v>0.686</v>
      </c>
      <c r="F296" s="44">
        <v>0.417</v>
      </c>
      <c r="G296" s="44">
        <v>1.0</v>
      </c>
      <c r="H296" s="44" t="s">
        <v>14</v>
      </c>
      <c r="I296" s="44" t="s">
        <v>1853</v>
      </c>
      <c r="J296" s="44" t="s">
        <v>40</v>
      </c>
    </row>
    <row r="297" ht="15.75" customHeight="1">
      <c r="A297" s="44" t="s">
        <v>73</v>
      </c>
      <c r="B297" s="44" t="s">
        <v>626</v>
      </c>
      <c r="C297" s="44" t="s">
        <v>627</v>
      </c>
      <c r="D297" s="44">
        <v>0.92</v>
      </c>
      <c r="E297" s="44">
        <v>0.946</v>
      </c>
      <c r="F297" s="44">
        <v>1.0</v>
      </c>
      <c r="G297" s="44">
        <v>1.0</v>
      </c>
      <c r="H297" s="44" t="s">
        <v>14</v>
      </c>
      <c r="I297" s="44" t="s">
        <v>1854</v>
      </c>
      <c r="J297" s="44" t="s">
        <v>40</v>
      </c>
    </row>
    <row r="298" ht="15.75" customHeight="1">
      <c r="A298" s="44" t="s">
        <v>76</v>
      </c>
      <c r="B298" s="44" t="s">
        <v>628</v>
      </c>
      <c r="C298" s="44" t="s">
        <v>629</v>
      </c>
      <c r="D298" s="44">
        <v>0.267</v>
      </c>
      <c r="E298" s="44">
        <v>0.664</v>
      </c>
      <c r="F298" s="44">
        <v>1.0</v>
      </c>
      <c r="G298" s="44">
        <v>1.0</v>
      </c>
      <c r="H298" s="44" t="s">
        <v>14</v>
      </c>
      <c r="I298" s="44" t="s">
        <v>1855</v>
      </c>
      <c r="J298" s="44" t="s">
        <v>40</v>
      </c>
    </row>
    <row r="299" ht="15.75" customHeight="1">
      <c r="A299" s="44" t="s">
        <v>85</v>
      </c>
      <c r="B299" s="44" t="s">
        <v>634</v>
      </c>
      <c r="C299" s="44" t="s">
        <v>635</v>
      </c>
      <c r="D299" s="44">
        <v>0.778</v>
      </c>
      <c r="E299" s="44">
        <v>0.982</v>
      </c>
      <c r="F299" s="44">
        <v>0.2</v>
      </c>
      <c r="G299" s="44">
        <v>1.0</v>
      </c>
      <c r="H299" s="44" t="s">
        <v>14</v>
      </c>
      <c r="I299" s="44" t="s">
        <v>1856</v>
      </c>
      <c r="J299" s="44" t="s">
        <v>40</v>
      </c>
    </row>
    <row r="300" ht="15.75" customHeight="1">
      <c r="A300" s="44" t="s">
        <v>91</v>
      </c>
      <c r="B300" s="44" t="s">
        <v>638</v>
      </c>
      <c r="C300" s="44" t="s">
        <v>639</v>
      </c>
      <c r="D300" s="44">
        <v>1.0</v>
      </c>
      <c r="E300" s="44">
        <v>0.907</v>
      </c>
      <c r="F300" s="44">
        <v>0.804</v>
      </c>
      <c r="G300" s="44">
        <v>1.0</v>
      </c>
      <c r="H300" s="44" t="s">
        <v>14</v>
      </c>
      <c r="I300" s="44" t="s">
        <v>1857</v>
      </c>
      <c r="J300" s="44" t="s">
        <v>40</v>
      </c>
    </row>
    <row r="301" ht="15.75" customHeight="1">
      <c r="A301" s="44" t="s">
        <v>100</v>
      </c>
      <c r="B301" s="44" t="s">
        <v>644</v>
      </c>
      <c r="C301" s="44" t="s">
        <v>645</v>
      </c>
      <c r="D301" s="44">
        <v>0.923</v>
      </c>
      <c r="E301" s="44">
        <v>0.962</v>
      </c>
      <c r="F301" s="44">
        <v>0.0</v>
      </c>
      <c r="G301" s="44">
        <v>1.0</v>
      </c>
      <c r="H301" s="44" t="s">
        <v>14</v>
      </c>
      <c r="I301" s="44" t="s">
        <v>1858</v>
      </c>
      <c r="J301" s="44" t="s">
        <v>40</v>
      </c>
    </row>
    <row r="302" ht="15.75" customHeight="1">
      <c r="A302" s="44" t="s">
        <v>115</v>
      </c>
      <c r="B302" s="44" t="s">
        <v>646</v>
      </c>
      <c r="C302" s="44" t="s">
        <v>647</v>
      </c>
      <c r="D302" s="44">
        <v>0.5</v>
      </c>
      <c r="E302" s="44">
        <v>0.945</v>
      </c>
      <c r="F302" s="44">
        <v>0.679</v>
      </c>
      <c r="G302" s="44">
        <v>1.0</v>
      </c>
      <c r="H302" s="44" t="s">
        <v>14</v>
      </c>
      <c r="I302" s="44" t="s">
        <v>1859</v>
      </c>
      <c r="J302" s="44" t="s">
        <v>40</v>
      </c>
    </row>
    <row r="303" ht="15.75" customHeight="1">
      <c r="A303" s="44" t="s">
        <v>118</v>
      </c>
      <c r="B303" s="44" t="s">
        <v>656</v>
      </c>
      <c r="C303" s="44" t="s">
        <v>657</v>
      </c>
      <c r="D303" s="44">
        <v>0.556</v>
      </c>
      <c r="E303" s="44">
        <v>0.826</v>
      </c>
      <c r="F303" s="44">
        <v>1.0</v>
      </c>
      <c r="G303" s="44">
        <v>0.75</v>
      </c>
      <c r="H303" s="44" t="s">
        <v>15</v>
      </c>
      <c r="I303" s="44" t="s">
        <v>1860</v>
      </c>
      <c r="J303" s="44" t="s">
        <v>40</v>
      </c>
    </row>
    <row r="304" ht="15.75" customHeight="1">
      <c r="A304" s="44" t="s">
        <v>124</v>
      </c>
      <c r="B304" s="44" t="s">
        <v>660</v>
      </c>
      <c r="C304" s="44" t="s">
        <v>661</v>
      </c>
      <c r="D304" s="44">
        <v>0.714</v>
      </c>
      <c r="E304" s="44">
        <v>0.908</v>
      </c>
      <c r="F304" s="44">
        <v>0.806</v>
      </c>
      <c r="G304" s="44">
        <v>0.75</v>
      </c>
      <c r="H304" s="44" t="s">
        <v>15</v>
      </c>
      <c r="I304" s="44" t="s">
        <v>1861</v>
      </c>
      <c r="J304" s="44" t="s">
        <v>40</v>
      </c>
    </row>
    <row r="305" ht="15.75" customHeight="1">
      <c r="A305" s="44" t="s">
        <v>127</v>
      </c>
      <c r="B305" s="44" t="s">
        <v>662</v>
      </c>
      <c r="C305" s="44" t="s">
        <v>663</v>
      </c>
      <c r="D305" s="44">
        <v>1.0</v>
      </c>
      <c r="E305" s="44">
        <v>0.979</v>
      </c>
      <c r="F305" s="44">
        <v>1.0</v>
      </c>
      <c r="G305" s="44">
        <v>1.0</v>
      </c>
      <c r="H305" s="44" t="s">
        <v>15</v>
      </c>
      <c r="I305" s="44" t="s">
        <v>1862</v>
      </c>
      <c r="J305" s="44" t="s">
        <v>40</v>
      </c>
    </row>
    <row r="306" ht="15.75" customHeight="1">
      <c r="A306" s="44" t="s">
        <v>130</v>
      </c>
      <c r="B306" s="44" t="s">
        <v>664</v>
      </c>
      <c r="C306" s="44" t="s">
        <v>665</v>
      </c>
      <c r="D306" s="44">
        <v>0.583</v>
      </c>
      <c r="E306" s="44">
        <v>0.939</v>
      </c>
      <c r="F306" s="44">
        <v>1.0</v>
      </c>
      <c r="G306" s="44">
        <v>0.714</v>
      </c>
      <c r="H306" s="44" t="s">
        <v>15</v>
      </c>
      <c r="I306" s="44" t="s">
        <v>1863</v>
      </c>
      <c r="J306" s="44" t="s">
        <v>40</v>
      </c>
    </row>
    <row r="307" ht="15.75" customHeight="1">
      <c r="A307" s="44" t="s">
        <v>151</v>
      </c>
      <c r="B307" s="44" t="s">
        <v>676</v>
      </c>
      <c r="C307" s="44" t="s">
        <v>677</v>
      </c>
      <c r="D307" s="44">
        <v>0.714</v>
      </c>
      <c r="E307" s="44">
        <v>0.888</v>
      </c>
      <c r="F307" s="44">
        <v>1.0</v>
      </c>
      <c r="G307" s="44">
        <v>1.0</v>
      </c>
      <c r="H307" s="44" t="s">
        <v>15</v>
      </c>
      <c r="I307" s="44" t="s">
        <v>1864</v>
      </c>
      <c r="J307" s="44" t="s">
        <v>40</v>
      </c>
    </row>
    <row r="308" ht="15.75" customHeight="1">
      <c r="A308" s="44" t="s">
        <v>154</v>
      </c>
      <c r="B308" s="44" t="s">
        <v>678</v>
      </c>
      <c r="C308" s="44" t="s">
        <v>679</v>
      </c>
      <c r="D308" s="44">
        <v>0.75</v>
      </c>
      <c r="E308" s="44">
        <v>0.915</v>
      </c>
      <c r="F308" s="44">
        <v>1.0</v>
      </c>
      <c r="G308" s="44">
        <v>0.286</v>
      </c>
      <c r="H308" s="44" t="s">
        <v>15</v>
      </c>
      <c r="I308" s="44" t="s">
        <v>1865</v>
      </c>
      <c r="J308" s="44" t="s">
        <v>40</v>
      </c>
    </row>
    <row r="309" ht="15.75" customHeight="1">
      <c r="A309" s="44" t="s">
        <v>160</v>
      </c>
      <c r="B309" s="44" t="s">
        <v>682</v>
      </c>
      <c r="C309" s="44" t="s">
        <v>683</v>
      </c>
      <c r="D309" s="44">
        <v>0.727</v>
      </c>
      <c r="E309" s="44">
        <v>0.673</v>
      </c>
      <c r="F309" s="44">
        <v>0.95</v>
      </c>
      <c r="G309" s="44">
        <v>1.0</v>
      </c>
      <c r="H309" s="44" t="s">
        <v>15</v>
      </c>
      <c r="I309" s="44" t="s">
        <v>1866</v>
      </c>
      <c r="J309" s="44" t="s">
        <v>40</v>
      </c>
    </row>
    <row r="310" ht="15.75" customHeight="1">
      <c r="A310" s="44" t="s">
        <v>163</v>
      </c>
      <c r="B310" s="44" t="s">
        <v>684</v>
      </c>
      <c r="C310" s="44" t="s">
        <v>685</v>
      </c>
      <c r="D310" s="44">
        <v>1.0</v>
      </c>
      <c r="E310" s="44">
        <v>0.535</v>
      </c>
      <c r="F310" s="44">
        <v>1.0</v>
      </c>
      <c r="G310" s="44">
        <v>1.0</v>
      </c>
      <c r="H310" s="44" t="s">
        <v>15</v>
      </c>
      <c r="I310" s="44" t="s">
        <v>1867</v>
      </c>
      <c r="J310" s="44" t="s">
        <v>40</v>
      </c>
    </row>
    <row r="311" ht="15.75" customHeight="1">
      <c r="A311" s="44" t="s">
        <v>178</v>
      </c>
      <c r="B311" s="44" t="s">
        <v>696</v>
      </c>
      <c r="C311" s="44" t="s">
        <v>697</v>
      </c>
      <c r="D311" s="44">
        <v>0.889</v>
      </c>
      <c r="E311" s="44">
        <v>0.889</v>
      </c>
      <c r="F311" s="44">
        <v>0.589</v>
      </c>
      <c r="G311" s="44">
        <v>0.0</v>
      </c>
      <c r="H311" s="44" t="s">
        <v>16</v>
      </c>
      <c r="I311" s="44" t="s">
        <v>1868</v>
      </c>
      <c r="J311" s="44" t="s">
        <v>40</v>
      </c>
    </row>
    <row r="312" ht="15.75" customHeight="1">
      <c r="A312" s="44" t="s">
        <v>184</v>
      </c>
      <c r="B312" s="44" t="s">
        <v>700</v>
      </c>
      <c r="C312" s="44" t="s">
        <v>701</v>
      </c>
      <c r="D312" s="44">
        <v>1.0</v>
      </c>
      <c r="E312" s="44">
        <v>0.821</v>
      </c>
      <c r="F312" s="44">
        <v>0.639</v>
      </c>
      <c r="G312" s="44">
        <v>1.0</v>
      </c>
      <c r="H312" s="44" t="s">
        <v>16</v>
      </c>
      <c r="I312" s="44" t="s">
        <v>1869</v>
      </c>
      <c r="J312" s="44" t="s">
        <v>40</v>
      </c>
    </row>
    <row r="313" ht="15.75" customHeight="1">
      <c r="A313" s="44" t="s">
        <v>193</v>
      </c>
      <c r="B313" s="44" t="s">
        <v>712</v>
      </c>
      <c r="C313" s="44" t="s">
        <v>713</v>
      </c>
      <c r="D313" s="44">
        <v>1.0</v>
      </c>
      <c r="E313" s="44">
        <v>0.691</v>
      </c>
      <c r="F313" s="44">
        <v>0.95</v>
      </c>
      <c r="G313" s="44">
        <v>1.0</v>
      </c>
      <c r="H313" s="44" t="s">
        <v>16</v>
      </c>
      <c r="I313" s="44" t="s">
        <v>1870</v>
      </c>
      <c r="J313" s="44" t="s">
        <v>40</v>
      </c>
    </row>
    <row r="314" ht="15.75" customHeight="1">
      <c r="A314" s="44" t="s">
        <v>211</v>
      </c>
      <c r="B314" s="44" t="s">
        <v>718</v>
      </c>
      <c r="C314" s="44" t="s">
        <v>719</v>
      </c>
      <c r="D314" s="44">
        <v>0.444</v>
      </c>
      <c r="E314" s="44">
        <v>0.926</v>
      </c>
      <c r="F314" s="44">
        <v>1.0</v>
      </c>
      <c r="G314" s="44">
        <v>0.0</v>
      </c>
      <c r="H314" s="44" t="s">
        <v>16</v>
      </c>
      <c r="I314" s="44" t="s">
        <v>1871</v>
      </c>
      <c r="J314" s="44" t="s">
        <v>40</v>
      </c>
    </row>
    <row r="315" ht="15.75" customHeight="1">
      <c r="A315" s="44" t="s">
        <v>223</v>
      </c>
      <c r="B315" s="44" t="s">
        <v>726</v>
      </c>
      <c r="C315" s="44" t="s">
        <v>727</v>
      </c>
      <c r="D315" s="44">
        <v>0.778</v>
      </c>
      <c r="E315" s="44">
        <v>0.687</v>
      </c>
      <c r="F315" s="44">
        <v>0.756</v>
      </c>
      <c r="G315" s="44">
        <v>0.857</v>
      </c>
      <c r="H315" s="44" t="s">
        <v>16</v>
      </c>
      <c r="I315" s="44" t="s">
        <v>1872</v>
      </c>
      <c r="J315" s="44" t="s">
        <v>40</v>
      </c>
    </row>
    <row r="316" ht="15.75" customHeight="1">
      <c r="A316" s="44" t="s">
        <v>232</v>
      </c>
      <c r="B316" s="44" t="s">
        <v>732</v>
      </c>
      <c r="C316" s="44" t="s">
        <v>733</v>
      </c>
      <c r="D316" s="44">
        <v>0.583</v>
      </c>
      <c r="E316" s="44">
        <v>0.753</v>
      </c>
      <c r="F316" s="44">
        <v>0.2</v>
      </c>
      <c r="G316" s="44">
        <v>0.25</v>
      </c>
      <c r="H316" s="44" t="s">
        <v>17</v>
      </c>
      <c r="I316" s="44" t="s">
        <v>1873</v>
      </c>
      <c r="J316" s="44" t="s">
        <v>40</v>
      </c>
    </row>
    <row r="317" ht="15.75" customHeight="1">
      <c r="A317" s="44" t="s">
        <v>241</v>
      </c>
      <c r="B317" s="44" t="s">
        <v>738</v>
      </c>
      <c r="C317" s="44" t="s">
        <v>739</v>
      </c>
      <c r="D317" s="44">
        <v>0.5</v>
      </c>
      <c r="E317" s="44">
        <v>0.627</v>
      </c>
      <c r="F317" s="44">
        <v>0.333</v>
      </c>
      <c r="G317" s="44">
        <v>1.0</v>
      </c>
      <c r="H317" s="44" t="s">
        <v>17</v>
      </c>
      <c r="I317" s="44" t="s">
        <v>1874</v>
      </c>
      <c r="J317" s="44" t="s">
        <v>40</v>
      </c>
    </row>
    <row r="318" ht="15.75" customHeight="1">
      <c r="A318" s="44" t="s">
        <v>265</v>
      </c>
      <c r="B318" s="44" t="s">
        <v>748</v>
      </c>
      <c r="C318" s="44" t="s">
        <v>749</v>
      </c>
      <c r="D318" s="44">
        <v>1.0</v>
      </c>
      <c r="E318" s="44">
        <v>0.745</v>
      </c>
      <c r="F318" s="44">
        <v>0.25</v>
      </c>
      <c r="G318" s="44">
        <v>1.0</v>
      </c>
      <c r="H318" s="44" t="s">
        <v>17</v>
      </c>
      <c r="I318" s="44" t="s">
        <v>1875</v>
      </c>
      <c r="J318" s="44" t="s">
        <v>40</v>
      </c>
    </row>
    <row r="319" ht="15.75" customHeight="1">
      <c r="A319" s="44" t="s">
        <v>271</v>
      </c>
      <c r="B319" s="44" t="s">
        <v>752</v>
      </c>
      <c r="C319" s="44" t="s">
        <v>753</v>
      </c>
      <c r="D319" s="44">
        <v>1.0</v>
      </c>
      <c r="E319" s="44">
        <v>0.647</v>
      </c>
      <c r="F319" s="44">
        <v>1.0</v>
      </c>
      <c r="G319" s="44">
        <v>0.889</v>
      </c>
      <c r="H319" s="44" t="s">
        <v>17</v>
      </c>
      <c r="I319" s="44" t="s">
        <v>1876</v>
      </c>
      <c r="J319" s="44" t="s">
        <v>40</v>
      </c>
    </row>
    <row r="320" ht="15.75" customHeight="1">
      <c r="A320" s="44" t="s">
        <v>244</v>
      </c>
      <c r="B320" s="44" t="s">
        <v>754</v>
      </c>
      <c r="C320" s="44" t="s">
        <v>755</v>
      </c>
      <c r="D320" s="44">
        <v>0.714</v>
      </c>
      <c r="E320" s="44">
        <v>0.615</v>
      </c>
      <c r="F320" s="44">
        <v>1.0</v>
      </c>
      <c r="G320" s="44">
        <v>0.6</v>
      </c>
      <c r="H320" s="44" t="s">
        <v>17</v>
      </c>
      <c r="I320" s="44" t="s">
        <v>1877</v>
      </c>
      <c r="J320" s="44" t="s">
        <v>40</v>
      </c>
    </row>
    <row r="321" ht="15.75" customHeight="1">
      <c r="A321" s="44" t="s">
        <v>283</v>
      </c>
      <c r="B321" s="44" t="s">
        <v>766</v>
      </c>
      <c r="C321" s="44" t="s">
        <v>767</v>
      </c>
      <c r="D321" s="44">
        <v>0.923</v>
      </c>
      <c r="E321" s="44">
        <v>1.0</v>
      </c>
      <c r="F321" s="44">
        <v>0.7</v>
      </c>
      <c r="G321" s="44">
        <v>1.0</v>
      </c>
      <c r="H321" s="44" t="s">
        <v>17</v>
      </c>
      <c r="I321" s="44" t="s">
        <v>1878</v>
      </c>
      <c r="J321" s="44" t="s">
        <v>40</v>
      </c>
    </row>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3.5"/>
    <col customWidth="1" min="2" max="2" width="30.0"/>
    <col customWidth="1" min="3" max="3" width="19.63"/>
    <col customWidth="1" min="4" max="4" width="10.13"/>
    <col customWidth="1" min="5" max="5" width="15.25"/>
    <col customWidth="1" min="6" max="6" width="14.75"/>
    <col customWidth="1" min="7" max="7" width="12.25"/>
    <col customWidth="1" min="8" max="8" width="19.88"/>
    <col customWidth="1" min="9" max="9" width="39.75"/>
    <col customWidth="1" min="10" max="10" width="23.0"/>
    <col customWidth="1" min="11" max="11" width="35.0"/>
    <col customWidth="1" min="12" max="20" width="7.63"/>
  </cols>
  <sheetData>
    <row r="1">
      <c r="A1" s="55" t="s">
        <v>42</v>
      </c>
      <c r="B1" s="55" t="s">
        <v>43</v>
      </c>
      <c r="C1" s="55" t="s">
        <v>44</v>
      </c>
      <c r="D1" s="55" t="s">
        <v>3</v>
      </c>
      <c r="E1" s="55" t="s">
        <v>4</v>
      </c>
      <c r="F1" s="55" t="s">
        <v>5</v>
      </c>
      <c r="G1" s="55" t="s">
        <v>6</v>
      </c>
      <c r="H1" s="55" t="s">
        <v>1406</v>
      </c>
      <c r="I1" s="55" t="s">
        <v>1407</v>
      </c>
      <c r="J1" s="56" t="s">
        <v>1408</v>
      </c>
      <c r="K1" s="19" t="s">
        <v>20</v>
      </c>
    </row>
    <row r="2">
      <c r="A2" s="44" t="s">
        <v>139</v>
      </c>
      <c r="B2" s="44" t="s">
        <v>510</v>
      </c>
      <c r="C2" s="44" t="s">
        <v>511</v>
      </c>
      <c r="D2" s="44">
        <v>0.583</v>
      </c>
      <c r="E2" s="44">
        <v>1.0</v>
      </c>
      <c r="F2" s="44">
        <v>0.583</v>
      </c>
      <c r="G2" s="44">
        <v>0.0</v>
      </c>
      <c r="H2" s="44" t="s">
        <v>15</v>
      </c>
      <c r="I2" s="44" t="s">
        <v>1879</v>
      </c>
      <c r="J2" s="44" t="s">
        <v>28</v>
      </c>
      <c r="K2" s="44" t="str">
        <f t="shared" ref="K2:K29" si="1">IF(G2&lt;=0.5, IF(F2&lt;=0.5, "Hard Retrieval Miss", "Partial Recall Loss"), "Other Error")</f>
        <v>Partial Recall Loss</v>
      </c>
    </row>
    <row r="3">
      <c r="A3" s="44" t="s">
        <v>157</v>
      </c>
      <c r="B3" s="44" t="s">
        <v>522</v>
      </c>
      <c r="C3" s="44" t="s">
        <v>523</v>
      </c>
      <c r="D3" s="44">
        <v>0.714</v>
      </c>
      <c r="E3" s="44">
        <v>0.0</v>
      </c>
      <c r="F3" s="44">
        <v>1.0</v>
      </c>
      <c r="G3" s="44">
        <v>0.25</v>
      </c>
      <c r="H3" s="44" t="s">
        <v>15</v>
      </c>
      <c r="I3" s="44" t="s">
        <v>1880</v>
      </c>
      <c r="J3" s="44" t="s">
        <v>28</v>
      </c>
      <c r="K3" s="44" t="str">
        <f t="shared" si="1"/>
        <v>Partial Recall Loss</v>
      </c>
    </row>
    <row r="4">
      <c r="A4" s="44" t="s">
        <v>178</v>
      </c>
      <c r="B4" s="44" t="s">
        <v>536</v>
      </c>
      <c r="C4" s="44" t="s">
        <v>537</v>
      </c>
      <c r="D4" s="44">
        <v>0.571</v>
      </c>
      <c r="E4" s="44">
        <v>0.863</v>
      </c>
      <c r="F4" s="44">
        <v>0.0</v>
      </c>
      <c r="G4" s="44">
        <v>0.0</v>
      </c>
      <c r="H4" s="44" t="s">
        <v>16</v>
      </c>
      <c r="I4" s="44" t="s">
        <v>1881</v>
      </c>
      <c r="J4" s="44" t="s">
        <v>28</v>
      </c>
      <c r="K4" s="44" t="str">
        <f t="shared" si="1"/>
        <v>Hard Retrieval Miss</v>
      </c>
    </row>
    <row r="5">
      <c r="A5" s="44" t="s">
        <v>280</v>
      </c>
      <c r="B5" s="44" t="s">
        <v>604</v>
      </c>
      <c r="C5" s="44" t="s">
        <v>605</v>
      </c>
      <c r="D5" s="44">
        <v>0.727</v>
      </c>
      <c r="E5" s="44">
        <v>0.0</v>
      </c>
      <c r="F5" s="44">
        <v>0.0</v>
      </c>
      <c r="G5" s="44">
        <v>0.167</v>
      </c>
      <c r="H5" s="44" t="s">
        <v>17</v>
      </c>
      <c r="I5" s="44" t="s">
        <v>1882</v>
      </c>
      <c r="J5" s="44" t="s">
        <v>28</v>
      </c>
      <c r="K5" s="44" t="str">
        <f t="shared" si="1"/>
        <v>Hard Retrieval Miss</v>
      </c>
    </row>
    <row r="6">
      <c r="A6" s="44" t="s">
        <v>58</v>
      </c>
      <c r="B6" s="44" t="s">
        <v>294</v>
      </c>
      <c r="C6" s="44" t="s">
        <v>295</v>
      </c>
      <c r="D6" s="44">
        <v>0.5</v>
      </c>
      <c r="E6" s="44">
        <v>0.913</v>
      </c>
      <c r="F6" s="44">
        <v>1.0</v>
      </c>
      <c r="G6" s="44">
        <v>0.333</v>
      </c>
      <c r="H6" s="44" t="s">
        <v>14</v>
      </c>
      <c r="I6" s="44" t="s">
        <v>1883</v>
      </c>
      <c r="J6" s="44" t="s">
        <v>28</v>
      </c>
      <c r="K6" s="44" t="str">
        <f t="shared" si="1"/>
        <v>Partial Recall Loss</v>
      </c>
    </row>
    <row r="7">
      <c r="A7" s="44" t="s">
        <v>85</v>
      </c>
      <c r="B7" s="44" t="s">
        <v>312</v>
      </c>
      <c r="C7" s="44" t="s">
        <v>313</v>
      </c>
      <c r="D7" s="44">
        <v>0.75</v>
      </c>
      <c r="E7" s="44">
        <v>0.982</v>
      </c>
      <c r="F7" s="44">
        <v>0.5</v>
      </c>
      <c r="G7" s="44">
        <v>0.0</v>
      </c>
      <c r="H7" s="44" t="s">
        <v>14</v>
      </c>
      <c r="I7" s="44" t="s">
        <v>1884</v>
      </c>
      <c r="J7" s="44" t="s">
        <v>28</v>
      </c>
      <c r="K7" s="44" t="str">
        <f t="shared" si="1"/>
        <v>Hard Retrieval Miss</v>
      </c>
    </row>
    <row r="8">
      <c r="A8" s="44" t="s">
        <v>193</v>
      </c>
      <c r="B8" s="44" t="s">
        <v>385</v>
      </c>
      <c r="C8" s="44" t="s">
        <v>386</v>
      </c>
      <c r="D8" s="44">
        <v>0.75</v>
      </c>
      <c r="E8" s="44">
        <v>0.355</v>
      </c>
      <c r="F8" s="44">
        <v>0.756</v>
      </c>
      <c r="G8" s="44">
        <v>0.0</v>
      </c>
      <c r="H8" s="44" t="s">
        <v>16</v>
      </c>
      <c r="I8" s="44" t="s">
        <v>1885</v>
      </c>
      <c r="J8" s="44" t="s">
        <v>28</v>
      </c>
      <c r="K8" s="44" t="str">
        <f t="shared" si="1"/>
        <v>Partial Recall Loss</v>
      </c>
    </row>
    <row r="9">
      <c r="A9" s="44" t="s">
        <v>211</v>
      </c>
      <c r="B9" s="44" t="s">
        <v>397</v>
      </c>
      <c r="C9" s="44" t="s">
        <v>398</v>
      </c>
      <c r="D9" s="44">
        <v>0.75</v>
      </c>
      <c r="E9" s="44">
        <v>0.926</v>
      </c>
      <c r="F9" s="44">
        <v>0.806</v>
      </c>
      <c r="G9" s="44">
        <v>0.0</v>
      </c>
      <c r="H9" s="44" t="s">
        <v>16</v>
      </c>
      <c r="I9" s="44" t="s">
        <v>1886</v>
      </c>
      <c r="J9" s="44" t="s">
        <v>28</v>
      </c>
      <c r="K9" s="44" t="str">
        <f t="shared" si="1"/>
        <v>Partial Recall Loss</v>
      </c>
    </row>
    <row r="10">
      <c r="A10" s="44" t="s">
        <v>172</v>
      </c>
      <c r="B10" s="44" t="s">
        <v>850</v>
      </c>
      <c r="C10" s="44" t="s">
        <v>851</v>
      </c>
      <c r="D10" s="44">
        <v>0.625</v>
      </c>
      <c r="E10" s="44">
        <v>0.973</v>
      </c>
      <c r="F10" s="44">
        <v>1.0</v>
      </c>
      <c r="G10" s="44">
        <v>0.0</v>
      </c>
      <c r="H10" s="44" t="s">
        <v>16</v>
      </c>
      <c r="I10" s="44" t="s">
        <v>1887</v>
      </c>
      <c r="J10" s="44" t="s">
        <v>28</v>
      </c>
      <c r="K10" s="44" t="str">
        <f t="shared" si="1"/>
        <v>Partial Recall Loss</v>
      </c>
    </row>
    <row r="11">
      <c r="A11" s="44" t="s">
        <v>178</v>
      </c>
      <c r="B11" s="44" t="s">
        <v>854</v>
      </c>
      <c r="C11" s="44" t="s">
        <v>855</v>
      </c>
      <c r="D11" s="44">
        <v>0.889</v>
      </c>
      <c r="E11" s="44">
        <v>0.947</v>
      </c>
      <c r="F11" s="44">
        <v>0.5</v>
      </c>
      <c r="G11" s="44">
        <v>0.0</v>
      </c>
      <c r="H11" s="44" t="s">
        <v>16</v>
      </c>
      <c r="I11" s="44" t="s">
        <v>1888</v>
      </c>
      <c r="J11" s="44" t="s">
        <v>28</v>
      </c>
      <c r="K11" s="44" t="str">
        <f t="shared" si="1"/>
        <v>Hard Retrieval Miss</v>
      </c>
    </row>
    <row r="12">
      <c r="A12" s="44" t="s">
        <v>118</v>
      </c>
      <c r="B12" s="44" t="s">
        <v>1133</v>
      </c>
      <c r="C12" s="44" t="s">
        <v>1134</v>
      </c>
      <c r="D12" s="44">
        <v>0.75</v>
      </c>
      <c r="E12" s="44">
        <v>0.0</v>
      </c>
      <c r="F12" s="44">
        <v>0.0</v>
      </c>
      <c r="G12" s="44">
        <v>0.333</v>
      </c>
      <c r="H12" s="44" t="s">
        <v>15</v>
      </c>
      <c r="I12" s="44" t="s">
        <v>1889</v>
      </c>
      <c r="J12" s="44" t="s">
        <v>28</v>
      </c>
      <c r="K12" s="44" t="str">
        <f t="shared" si="1"/>
        <v>Hard Retrieval Miss</v>
      </c>
    </row>
    <row r="13">
      <c r="A13" s="44" t="s">
        <v>172</v>
      </c>
      <c r="B13" s="44" t="s">
        <v>1169</v>
      </c>
      <c r="C13" s="44" t="s">
        <v>1170</v>
      </c>
      <c r="D13" s="44">
        <v>1.0</v>
      </c>
      <c r="E13" s="44">
        <v>0.976</v>
      </c>
      <c r="F13" s="44">
        <v>1.0</v>
      </c>
      <c r="G13" s="44">
        <v>0.0</v>
      </c>
      <c r="H13" s="44" t="s">
        <v>16</v>
      </c>
      <c r="I13" s="44" t="s">
        <v>1890</v>
      </c>
      <c r="J13" s="44" t="s">
        <v>28</v>
      </c>
      <c r="K13" s="44" t="str">
        <f t="shared" si="1"/>
        <v>Partial Recall Loss</v>
      </c>
    </row>
    <row r="14">
      <c r="A14" s="44" t="s">
        <v>193</v>
      </c>
      <c r="B14" s="44" t="s">
        <v>1183</v>
      </c>
      <c r="C14" s="44" t="s">
        <v>1184</v>
      </c>
      <c r="D14" s="44">
        <v>0.615</v>
      </c>
      <c r="E14" s="44">
        <v>0.892</v>
      </c>
      <c r="F14" s="44">
        <v>0.5</v>
      </c>
      <c r="G14" s="44">
        <v>0.0</v>
      </c>
      <c r="H14" s="44" t="s">
        <v>16</v>
      </c>
      <c r="I14" s="44" t="s">
        <v>1891</v>
      </c>
      <c r="J14" s="44" t="s">
        <v>28</v>
      </c>
      <c r="K14" s="44" t="str">
        <f t="shared" si="1"/>
        <v>Hard Retrieval Miss</v>
      </c>
    </row>
    <row r="15">
      <c r="A15" s="44" t="s">
        <v>247</v>
      </c>
      <c r="B15" s="44" t="s">
        <v>1219</v>
      </c>
      <c r="C15" s="44" t="s">
        <v>1220</v>
      </c>
      <c r="D15" s="44">
        <v>0.75</v>
      </c>
      <c r="E15" s="44">
        <v>0.0</v>
      </c>
      <c r="F15" s="44">
        <v>0.0</v>
      </c>
      <c r="G15" s="44">
        <v>0.333</v>
      </c>
      <c r="H15" s="44" t="s">
        <v>17</v>
      </c>
      <c r="I15" s="44" t="s">
        <v>1892</v>
      </c>
      <c r="J15" s="44" t="s">
        <v>28</v>
      </c>
      <c r="K15" s="44" t="str">
        <f t="shared" si="1"/>
        <v>Hard Retrieval Miss</v>
      </c>
    </row>
    <row r="16">
      <c r="A16" s="44" t="s">
        <v>271</v>
      </c>
      <c r="B16" s="44" t="s">
        <v>1235</v>
      </c>
      <c r="C16" s="44" t="s">
        <v>1236</v>
      </c>
      <c r="D16" s="44">
        <v>0.778</v>
      </c>
      <c r="E16" s="44">
        <v>0.906</v>
      </c>
      <c r="F16" s="44">
        <v>1.0</v>
      </c>
      <c r="G16" s="44">
        <v>0.0</v>
      </c>
      <c r="H16" s="44" t="s">
        <v>17</v>
      </c>
      <c r="I16" s="44" t="s">
        <v>1893</v>
      </c>
      <c r="J16" s="44" t="s">
        <v>28</v>
      </c>
      <c r="K16" s="44" t="str">
        <f t="shared" si="1"/>
        <v>Partial Recall Loss</v>
      </c>
    </row>
    <row r="17">
      <c r="A17" s="44" t="s">
        <v>49</v>
      </c>
      <c r="B17" s="44" t="s">
        <v>929</v>
      </c>
      <c r="C17" s="44" t="s">
        <v>930</v>
      </c>
      <c r="D17" s="44">
        <v>0.636</v>
      </c>
      <c r="E17" s="44">
        <v>0.994</v>
      </c>
      <c r="F17" s="44">
        <v>0.95</v>
      </c>
      <c r="G17" s="44">
        <v>0.0</v>
      </c>
      <c r="H17" s="44" t="s">
        <v>14</v>
      </c>
      <c r="I17" s="44" t="s">
        <v>1894</v>
      </c>
      <c r="J17" s="44" t="s">
        <v>28</v>
      </c>
      <c r="K17" s="44" t="str">
        <f t="shared" si="1"/>
        <v>Partial Recall Loss</v>
      </c>
    </row>
    <row r="18">
      <c r="A18" s="44" t="s">
        <v>133</v>
      </c>
      <c r="B18" s="44" t="s">
        <v>985</v>
      </c>
      <c r="C18" s="44" t="s">
        <v>986</v>
      </c>
      <c r="D18" s="44">
        <v>0.833</v>
      </c>
      <c r="E18" s="44">
        <v>0.905</v>
      </c>
      <c r="F18" s="44">
        <v>0.95</v>
      </c>
      <c r="G18" s="44">
        <v>0.0</v>
      </c>
      <c r="H18" s="44" t="s">
        <v>15</v>
      </c>
      <c r="I18" s="44" t="s">
        <v>1895</v>
      </c>
      <c r="J18" s="44" t="s">
        <v>28</v>
      </c>
      <c r="K18" s="44" t="str">
        <f t="shared" si="1"/>
        <v>Partial Recall Loss</v>
      </c>
    </row>
    <row r="19">
      <c r="A19" s="44" t="s">
        <v>172</v>
      </c>
      <c r="B19" s="44" t="s">
        <v>1011</v>
      </c>
      <c r="C19" s="44" t="s">
        <v>1012</v>
      </c>
      <c r="D19" s="44">
        <v>0.688</v>
      </c>
      <c r="E19" s="44">
        <v>0.999</v>
      </c>
      <c r="F19" s="44">
        <v>0.533</v>
      </c>
      <c r="G19" s="44">
        <v>0.0</v>
      </c>
      <c r="H19" s="44" t="s">
        <v>16</v>
      </c>
      <c r="I19" s="44" t="s">
        <v>1896</v>
      </c>
      <c r="J19" s="44" t="s">
        <v>28</v>
      </c>
      <c r="K19" s="44" t="str">
        <f t="shared" si="1"/>
        <v>Partial Recall Loss</v>
      </c>
    </row>
    <row r="20">
      <c r="A20" s="44" t="s">
        <v>193</v>
      </c>
      <c r="B20" s="44" t="s">
        <v>1023</v>
      </c>
      <c r="C20" s="44" t="s">
        <v>1024</v>
      </c>
      <c r="D20" s="44">
        <v>0.75</v>
      </c>
      <c r="E20" s="44">
        <v>0.839</v>
      </c>
      <c r="F20" s="44">
        <v>0.7</v>
      </c>
      <c r="G20" s="44">
        <v>0.0</v>
      </c>
      <c r="H20" s="44" t="s">
        <v>16</v>
      </c>
      <c r="I20" s="44" t="s">
        <v>1897</v>
      </c>
      <c r="J20" s="44" t="s">
        <v>28</v>
      </c>
      <c r="K20" s="44" t="str">
        <f t="shared" si="1"/>
        <v>Partial Recall Loss</v>
      </c>
    </row>
    <row r="21" ht="15.75" customHeight="1">
      <c r="A21" s="44" t="s">
        <v>214</v>
      </c>
      <c r="B21" s="44" t="s">
        <v>1037</v>
      </c>
      <c r="C21" s="44" t="s">
        <v>1038</v>
      </c>
      <c r="D21" s="44">
        <v>1.0</v>
      </c>
      <c r="E21" s="44">
        <v>0.885</v>
      </c>
      <c r="F21" s="44">
        <v>0.679</v>
      </c>
      <c r="G21" s="44">
        <v>0.0</v>
      </c>
      <c r="H21" s="44" t="s">
        <v>16</v>
      </c>
      <c r="I21" s="44" t="s">
        <v>1898</v>
      </c>
      <c r="J21" s="44" t="s">
        <v>28</v>
      </c>
      <c r="K21" s="44" t="str">
        <f t="shared" si="1"/>
        <v>Partial Recall Loss</v>
      </c>
    </row>
    <row r="22" ht="15.75" customHeight="1">
      <c r="A22" s="44" t="s">
        <v>70</v>
      </c>
      <c r="B22" s="44" t="s">
        <v>71</v>
      </c>
      <c r="C22" s="44" t="s">
        <v>72</v>
      </c>
      <c r="D22" s="44">
        <v>0.6</v>
      </c>
      <c r="E22" s="44">
        <v>0.523</v>
      </c>
      <c r="F22" s="44">
        <v>0.583</v>
      </c>
      <c r="G22" s="44">
        <v>0.0</v>
      </c>
      <c r="H22" s="44" t="s">
        <v>14</v>
      </c>
      <c r="I22" s="44" t="s">
        <v>1899</v>
      </c>
      <c r="J22" s="44" t="s">
        <v>28</v>
      </c>
      <c r="K22" s="44" t="str">
        <f t="shared" si="1"/>
        <v>Partial Recall Loss</v>
      </c>
    </row>
    <row r="23" ht="15.75" customHeight="1">
      <c r="A23" s="44" t="s">
        <v>142</v>
      </c>
      <c r="B23" s="44" t="s">
        <v>143</v>
      </c>
      <c r="C23" s="44" t="s">
        <v>144</v>
      </c>
      <c r="D23" s="44">
        <v>1.0</v>
      </c>
      <c r="E23" s="44">
        <v>0.781</v>
      </c>
      <c r="F23" s="44">
        <v>0.0</v>
      </c>
      <c r="G23" s="44">
        <v>0.0</v>
      </c>
      <c r="H23" s="44" t="s">
        <v>15</v>
      </c>
      <c r="I23" s="44" t="s">
        <v>1900</v>
      </c>
      <c r="J23" s="44" t="s">
        <v>28</v>
      </c>
      <c r="K23" s="44" t="str">
        <f t="shared" si="1"/>
        <v>Hard Retrieval Miss</v>
      </c>
    </row>
    <row r="24" ht="15.75" customHeight="1">
      <c r="A24" s="44" t="s">
        <v>169</v>
      </c>
      <c r="B24" s="44" t="s">
        <v>170</v>
      </c>
      <c r="C24" s="44" t="s">
        <v>171</v>
      </c>
      <c r="D24" s="44">
        <v>0.733</v>
      </c>
      <c r="E24" s="44">
        <v>0.724</v>
      </c>
      <c r="F24" s="44">
        <v>0.5</v>
      </c>
      <c r="G24" s="44">
        <v>0.0</v>
      </c>
      <c r="H24" s="44" t="s">
        <v>16</v>
      </c>
      <c r="I24" s="44" t="s">
        <v>1901</v>
      </c>
      <c r="J24" s="44" t="s">
        <v>28</v>
      </c>
      <c r="K24" s="44" t="str">
        <f t="shared" si="1"/>
        <v>Hard Retrieval Miss</v>
      </c>
    </row>
    <row r="25" ht="15.75" customHeight="1">
      <c r="A25" s="44" t="s">
        <v>175</v>
      </c>
      <c r="B25" s="44" t="s">
        <v>176</v>
      </c>
      <c r="C25" s="44" t="s">
        <v>177</v>
      </c>
      <c r="D25" s="44">
        <v>0.667</v>
      </c>
      <c r="E25" s="44">
        <v>0.0</v>
      </c>
      <c r="F25" s="44">
        <v>0.0</v>
      </c>
      <c r="G25" s="44">
        <v>0.333</v>
      </c>
      <c r="H25" s="44" t="s">
        <v>16</v>
      </c>
      <c r="I25" s="44" t="s">
        <v>1902</v>
      </c>
      <c r="J25" s="44" t="s">
        <v>28</v>
      </c>
      <c r="K25" s="44" t="str">
        <f t="shared" si="1"/>
        <v>Hard Retrieval Miss</v>
      </c>
    </row>
    <row r="26" ht="15.75" customHeight="1">
      <c r="A26" s="44" t="s">
        <v>247</v>
      </c>
      <c r="B26" s="44" t="s">
        <v>248</v>
      </c>
      <c r="C26" s="44" t="s">
        <v>249</v>
      </c>
      <c r="D26" s="44">
        <v>1.0</v>
      </c>
      <c r="E26" s="44">
        <v>0.0</v>
      </c>
      <c r="F26" s="44">
        <v>0.0</v>
      </c>
      <c r="G26" s="44">
        <v>0.833</v>
      </c>
      <c r="H26" s="44" t="s">
        <v>17</v>
      </c>
      <c r="I26" s="44" t="s">
        <v>1903</v>
      </c>
      <c r="J26" s="44" t="s">
        <v>28</v>
      </c>
      <c r="K26" s="44" t="str">
        <f t="shared" si="1"/>
        <v>Other Error</v>
      </c>
    </row>
    <row r="27" ht="15.75" customHeight="1">
      <c r="A27" s="44" t="s">
        <v>253</v>
      </c>
      <c r="B27" s="44" t="s">
        <v>254</v>
      </c>
      <c r="C27" s="44" t="s">
        <v>255</v>
      </c>
      <c r="D27" s="44">
        <v>0.636</v>
      </c>
      <c r="E27" s="44">
        <v>0.94</v>
      </c>
      <c r="F27" s="44">
        <v>1.0</v>
      </c>
      <c r="G27" s="44">
        <v>0.25</v>
      </c>
      <c r="H27" s="44" t="s">
        <v>17</v>
      </c>
      <c r="I27" s="44" t="s">
        <v>1904</v>
      </c>
      <c r="J27" s="44" t="s">
        <v>28</v>
      </c>
      <c r="K27" s="44" t="str">
        <f t="shared" si="1"/>
        <v>Partial Recall Loss</v>
      </c>
    </row>
    <row r="28" ht="15.75" customHeight="1">
      <c r="A28" s="44" t="s">
        <v>79</v>
      </c>
      <c r="B28" s="44" t="s">
        <v>630</v>
      </c>
      <c r="C28" s="44" t="s">
        <v>631</v>
      </c>
      <c r="D28" s="44">
        <v>0.643</v>
      </c>
      <c r="E28" s="44">
        <v>0.912</v>
      </c>
      <c r="F28" s="44">
        <v>0.679</v>
      </c>
      <c r="G28" s="44">
        <v>0.0</v>
      </c>
      <c r="H28" s="44" t="s">
        <v>14</v>
      </c>
      <c r="I28" s="44" t="s">
        <v>1905</v>
      </c>
      <c r="J28" s="44" t="s">
        <v>28</v>
      </c>
      <c r="K28" s="44" t="str">
        <f t="shared" si="1"/>
        <v>Partial Recall Loss</v>
      </c>
    </row>
    <row r="29" ht="15.75" customHeight="1">
      <c r="A29" s="44" t="s">
        <v>172</v>
      </c>
      <c r="B29" s="44" t="s">
        <v>692</v>
      </c>
      <c r="C29" s="44" t="s">
        <v>693</v>
      </c>
      <c r="D29" s="44">
        <v>0.593</v>
      </c>
      <c r="E29" s="44">
        <v>0.899</v>
      </c>
      <c r="F29" s="44">
        <v>0.95</v>
      </c>
      <c r="G29" s="44">
        <v>0.0</v>
      </c>
      <c r="H29" s="44" t="s">
        <v>16</v>
      </c>
      <c r="I29" s="44" t="s">
        <v>1906</v>
      </c>
      <c r="J29" s="44" t="s">
        <v>28</v>
      </c>
      <c r="K29" s="44" t="str">
        <f t="shared" si="1"/>
        <v>Partial Recall Loss</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7.63"/>
    <col customWidth="1" min="4" max="4" width="10.13"/>
    <col customWidth="1" min="5" max="5" width="15.25"/>
    <col customWidth="1" min="6" max="6" width="14.75"/>
    <col customWidth="1" min="7" max="7" width="12.25"/>
    <col customWidth="1" min="8" max="8" width="19.88"/>
    <col customWidth="1" min="9" max="9" width="31.25"/>
    <col customWidth="1" min="10" max="10" width="37.25"/>
    <col customWidth="1" min="11" max="11" width="38.75"/>
    <col customWidth="1" min="12" max="20" width="7.63"/>
  </cols>
  <sheetData>
    <row r="1">
      <c r="A1" s="55" t="s">
        <v>42</v>
      </c>
      <c r="B1" s="55" t="s">
        <v>43</v>
      </c>
      <c r="C1" s="55" t="s">
        <v>44</v>
      </c>
      <c r="D1" s="55" t="s">
        <v>3</v>
      </c>
      <c r="E1" s="55" t="s">
        <v>4</v>
      </c>
      <c r="F1" s="55" t="s">
        <v>5</v>
      </c>
      <c r="G1" s="55" t="s">
        <v>6</v>
      </c>
      <c r="H1" s="55" t="s">
        <v>1406</v>
      </c>
      <c r="I1" s="55" t="s">
        <v>1407</v>
      </c>
      <c r="J1" s="56" t="s">
        <v>1408</v>
      </c>
      <c r="K1" s="19" t="s">
        <v>20</v>
      </c>
    </row>
    <row r="2">
      <c r="A2" s="44" t="s">
        <v>73</v>
      </c>
      <c r="B2" s="44" t="s">
        <v>466</v>
      </c>
      <c r="C2" s="44" t="s">
        <v>467</v>
      </c>
      <c r="D2" s="44">
        <v>0.938</v>
      </c>
      <c r="E2" s="44">
        <v>0.0</v>
      </c>
      <c r="F2" s="44">
        <v>0.0</v>
      </c>
      <c r="G2" s="44">
        <v>1.0</v>
      </c>
      <c r="H2" s="44" t="s">
        <v>14</v>
      </c>
      <c r="I2" s="44" t="s">
        <v>1907</v>
      </c>
      <c r="J2" s="44" t="s">
        <v>34</v>
      </c>
      <c r="K2" s="44" t="str">
        <f t="shared" ref="K2:K47" si="1">IF(D2&gt;=0.5,
    IF(E2&lt;=0.5, "Intent Drift",
    IF(AND(E2&gt;0.5, E2&lt;0.8, D2&gt;=0.8, F2&gt;=0.8, G2&gt;=0.8), "Scope Drift",
    "Other Error")),
"Other Error")</f>
        <v>Intent Drift</v>
      </c>
    </row>
    <row r="3">
      <c r="A3" s="44" t="s">
        <v>88</v>
      </c>
      <c r="B3" s="44" t="s">
        <v>476</v>
      </c>
      <c r="C3" s="44" t="s">
        <v>477</v>
      </c>
      <c r="D3" s="44">
        <v>0.917</v>
      </c>
      <c r="E3" s="44">
        <v>0.0</v>
      </c>
      <c r="F3" s="44">
        <v>0.0</v>
      </c>
      <c r="G3" s="44">
        <v>1.0</v>
      </c>
      <c r="H3" s="44" t="s">
        <v>14</v>
      </c>
      <c r="I3" s="44" t="s">
        <v>1908</v>
      </c>
      <c r="J3" s="44" t="s">
        <v>34</v>
      </c>
      <c r="K3" s="44" t="str">
        <f t="shared" si="1"/>
        <v>Intent Drift</v>
      </c>
    </row>
    <row r="4">
      <c r="A4" s="44" t="s">
        <v>106</v>
      </c>
      <c r="B4" s="44" t="s">
        <v>490</v>
      </c>
      <c r="C4" s="44" t="s">
        <v>491</v>
      </c>
      <c r="D4" s="44">
        <v>0.5</v>
      </c>
      <c r="E4" s="44">
        <v>0.0</v>
      </c>
      <c r="F4" s="44">
        <v>0.0</v>
      </c>
      <c r="G4" s="44">
        <v>0.8</v>
      </c>
      <c r="H4" s="44" t="s">
        <v>15</v>
      </c>
      <c r="I4" s="44" t="s">
        <v>1909</v>
      </c>
      <c r="J4" s="44" t="s">
        <v>34</v>
      </c>
      <c r="K4" s="44" t="str">
        <f t="shared" si="1"/>
        <v>Intent Drift</v>
      </c>
    </row>
    <row r="5">
      <c r="A5" s="44" t="s">
        <v>121</v>
      </c>
      <c r="B5" s="44" t="s">
        <v>498</v>
      </c>
      <c r="C5" s="44" t="s">
        <v>499</v>
      </c>
      <c r="D5" s="44">
        <v>0.667</v>
      </c>
      <c r="E5" s="44">
        <v>0.0</v>
      </c>
      <c r="F5" s="44">
        <v>0.0</v>
      </c>
      <c r="G5" s="44">
        <v>1.0</v>
      </c>
      <c r="H5" s="44" t="s">
        <v>15</v>
      </c>
      <c r="I5" s="44" t="s">
        <v>1910</v>
      </c>
      <c r="J5" s="44" t="s">
        <v>34</v>
      </c>
      <c r="K5" s="44" t="str">
        <f t="shared" si="1"/>
        <v>Intent Drift</v>
      </c>
    </row>
    <row r="6">
      <c r="A6" s="44" t="s">
        <v>145</v>
      </c>
      <c r="B6" s="44" t="s">
        <v>514</v>
      </c>
      <c r="C6" s="44" t="s">
        <v>515</v>
      </c>
      <c r="D6" s="44">
        <v>1.0</v>
      </c>
      <c r="E6" s="44">
        <v>0.0</v>
      </c>
      <c r="F6" s="44">
        <v>0.0</v>
      </c>
      <c r="G6" s="44">
        <v>0.0</v>
      </c>
      <c r="H6" s="44" t="s">
        <v>15</v>
      </c>
      <c r="I6" s="44" t="s">
        <v>1911</v>
      </c>
      <c r="J6" s="44" t="s">
        <v>34</v>
      </c>
      <c r="K6" s="44" t="str">
        <f t="shared" si="1"/>
        <v>Intent Drift</v>
      </c>
    </row>
    <row r="7">
      <c r="A7" s="44" t="s">
        <v>220</v>
      </c>
      <c r="B7" s="44" t="s">
        <v>564</v>
      </c>
      <c r="C7" s="44" t="s">
        <v>565</v>
      </c>
      <c r="D7" s="44">
        <v>0.769</v>
      </c>
      <c r="E7" s="44">
        <v>0.358</v>
      </c>
      <c r="F7" s="44">
        <v>1.0</v>
      </c>
      <c r="G7" s="44">
        <v>0.111</v>
      </c>
      <c r="H7" s="44" t="s">
        <v>16</v>
      </c>
      <c r="I7" s="44" t="s">
        <v>1912</v>
      </c>
      <c r="J7" s="44" t="s">
        <v>34</v>
      </c>
      <c r="K7" s="44" t="str">
        <f t="shared" si="1"/>
        <v>Intent Drift</v>
      </c>
    </row>
    <row r="8">
      <c r="A8" s="44" t="s">
        <v>226</v>
      </c>
      <c r="B8" s="44" t="s">
        <v>568</v>
      </c>
      <c r="C8" s="44" t="s">
        <v>569</v>
      </c>
      <c r="D8" s="44">
        <v>0.778</v>
      </c>
      <c r="E8" s="44">
        <v>0.0</v>
      </c>
      <c r="F8" s="44">
        <v>0.0</v>
      </c>
      <c r="G8" s="44">
        <v>0.6</v>
      </c>
      <c r="H8" s="44" t="s">
        <v>17</v>
      </c>
      <c r="I8" s="44" t="s">
        <v>1913</v>
      </c>
      <c r="J8" s="44" t="s">
        <v>34</v>
      </c>
      <c r="K8" s="44" t="str">
        <f t="shared" si="1"/>
        <v>Intent Drift</v>
      </c>
    </row>
    <row r="9">
      <c r="A9" s="44" t="s">
        <v>238</v>
      </c>
      <c r="B9" s="44" t="s">
        <v>576</v>
      </c>
      <c r="C9" s="44" t="s">
        <v>577</v>
      </c>
      <c r="D9" s="44">
        <v>1.0</v>
      </c>
      <c r="E9" s="44">
        <v>0.0</v>
      </c>
      <c r="F9" s="44">
        <v>0.0</v>
      </c>
      <c r="G9" s="44">
        <v>0.0</v>
      </c>
      <c r="H9" s="44" t="s">
        <v>17</v>
      </c>
      <c r="I9" s="44" t="s">
        <v>1914</v>
      </c>
      <c r="J9" s="44" t="s">
        <v>34</v>
      </c>
      <c r="K9" s="44" t="str">
        <f t="shared" si="1"/>
        <v>Intent Drift</v>
      </c>
    </row>
    <row r="10">
      <c r="A10" s="44" t="s">
        <v>256</v>
      </c>
      <c r="B10" s="44" t="s">
        <v>588</v>
      </c>
      <c r="C10" s="44" t="s">
        <v>589</v>
      </c>
      <c r="D10" s="44">
        <v>0.625</v>
      </c>
      <c r="E10" s="44">
        <v>0.0</v>
      </c>
      <c r="F10" s="44">
        <v>0.333</v>
      </c>
      <c r="G10" s="44">
        <v>0.75</v>
      </c>
      <c r="H10" s="44" t="s">
        <v>17</v>
      </c>
      <c r="I10" s="44" t="s">
        <v>1915</v>
      </c>
      <c r="J10" s="44" t="s">
        <v>34</v>
      </c>
      <c r="K10" s="44" t="str">
        <f t="shared" si="1"/>
        <v>Intent Drift</v>
      </c>
    </row>
    <row r="11">
      <c r="A11" s="44" t="s">
        <v>265</v>
      </c>
      <c r="B11" s="44" t="s">
        <v>594</v>
      </c>
      <c r="C11" s="44" t="s">
        <v>595</v>
      </c>
      <c r="D11" s="44">
        <v>0.625</v>
      </c>
      <c r="E11" s="44">
        <v>0.388</v>
      </c>
      <c r="F11" s="44">
        <v>0.5</v>
      </c>
      <c r="G11" s="44">
        <v>1.0</v>
      </c>
      <c r="H11" s="44" t="s">
        <v>17</v>
      </c>
      <c r="I11" s="44" t="s">
        <v>1916</v>
      </c>
      <c r="J11" s="44" t="s">
        <v>34</v>
      </c>
      <c r="K11" s="44" t="str">
        <f t="shared" si="1"/>
        <v>Intent Drift</v>
      </c>
    </row>
    <row r="12">
      <c r="A12" s="44" t="s">
        <v>49</v>
      </c>
      <c r="B12" s="44" t="s">
        <v>288</v>
      </c>
      <c r="C12" s="44" t="s">
        <v>289</v>
      </c>
      <c r="D12" s="44">
        <v>1.0</v>
      </c>
      <c r="E12" s="44">
        <v>0.0</v>
      </c>
      <c r="F12" s="44">
        <v>0.333</v>
      </c>
      <c r="G12" s="44">
        <v>0.8</v>
      </c>
      <c r="H12" s="44" t="s">
        <v>14</v>
      </c>
      <c r="I12" s="44" t="s">
        <v>1917</v>
      </c>
      <c r="J12" s="44" t="s">
        <v>34</v>
      </c>
      <c r="K12" s="44" t="str">
        <f t="shared" si="1"/>
        <v>Intent Drift</v>
      </c>
    </row>
    <row r="13">
      <c r="A13" s="44" t="s">
        <v>79</v>
      </c>
      <c r="B13" s="44" t="s">
        <v>308</v>
      </c>
      <c r="C13" s="44" t="s">
        <v>309</v>
      </c>
      <c r="D13" s="44">
        <v>0.571</v>
      </c>
      <c r="E13" s="44">
        <v>0.0</v>
      </c>
      <c r="F13" s="44">
        <v>0.0</v>
      </c>
      <c r="G13" s="44">
        <v>1.0</v>
      </c>
      <c r="H13" s="44" t="s">
        <v>14</v>
      </c>
      <c r="I13" s="44" t="s">
        <v>1918</v>
      </c>
      <c r="J13" s="44" t="s">
        <v>34</v>
      </c>
      <c r="K13" s="44" t="str">
        <f t="shared" si="1"/>
        <v>Intent Drift</v>
      </c>
    </row>
    <row r="14">
      <c r="A14" s="44" t="s">
        <v>88</v>
      </c>
      <c r="B14" s="44" t="s">
        <v>314</v>
      </c>
      <c r="C14" s="44" t="s">
        <v>315</v>
      </c>
      <c r="D14" s="44">
        <v>0.875</v>
      </c>
      <c r="E14" s="44">
        <v>0.0</v>
      </c>
      <c r="F14" s="44">
        <v>0.0</v>
      </c>
      <c r="G14" s="44">
        <v>1.0</v>
      </c>
      <c r="H14" s="44" t="s">
        <v>14</v>
      </c>
      <c r="I14" s="44" t="s">
        <v>1919</v>
      </c>
      <c r="J14" s="44" t="s">
        <v>34</v>
      </c>
      <c r="K14" s="44" t="str">
        <f t="shared" si="1"/>
        <v>Intent Drift</v>
      </c>
    </row>
    <row r="15">
      <c r="A15" s="44" t="s">
        <v>106</v>
      </c>
      <c r="B15" s="44" t="s">
        <v>328</v>
      </c>
      <c r="C15" s="44" t="s">
        <v>329</v>
      </c>
      <c r="D15" s="44">
        <v>0.786</v>
      </c>
      <c r="E15" s="44">
        <v>0.0</v>
      </c>
      <c r="F15" s="44">
        <v>0.0</v>
      </c>
      <c r="G15" s="44">
        <v>0.667</v>
      </c>
      <c r="H15" s="44" t="s">
        <v>15</v>
      </c>
      <c r="I15" s="44" t="s">
        <v>1920</v>
      </c>
      <c r="J15" s="44" t="s">
        <v>34</v>
      </c>
      <c r="K15" s="44" t="str">
        <f t="shared" si="1"/>
        <v>Intent Drift</v>
      </c>
    </row>
    <row r="16">
      <c r="A16" s="44" t="s">
        <v>145</v>
      </c>
      <c r="B16" s="44" t="s">
        <v>352</v>
      </c>
      <c r="C16" s="44" t="s">
        <v>353</v>
      </c>
      <c r="D16" s="44">
        <v>0.583</v>
      </c>
      <c r="E16" s="44">
        <v>0.0</v>
      </c>
      <c r="F16" s="44">
        <v>0.0</v>
      </c>
      <c r="G16" s="44">
        <v>0.8</v>
      </c>
      <c r="H16" s="44" t="s">
        <v>15</v>
      </c>
      <c r="I16" s="44" t="s">
        <v>1921</v>
      </c>
      <c r="J16" s="44" t="s">
        <v>34</v>
      </c>
      <c r="K16" s="44" t="str">
        <f t="shared" si="1"/>
        <v>Intent Drift</v>
      </c>
    </row>
    <row r="17">
      <c r="A17" s="44" t="s">
        <v>226</v>
      </c>
      <c r="B17" s="44" t="s">
        <v>407</v>
      </c>
      <c r="C17" s="44" t="s">
        <v>408</v>
      </c>
      <c r="D17" s="44">
        <v>0.688</v>
      </c>
      <c r="E17" s="44">
        <v>0.0</v>
      </c>
      <c r="F17" s="44">
        <v>0.0</v>
      </c>
      <c r="G17" s="44">
        <v>0.857</v>
      </c>
      <c r="H17" s="44" t="s">
        <v>17</v>
      </c>
      <c r="I17" s="44" t="s">
        <v>1922</v>
      </c>
      <c r="J17" s="44" t="s">
        <v>34</v>
      </c>
      <c r="K17" s="44" t="str">
        <f t="shared" si="1"/>
        <v>Intent Drift</v>
      </c>
    </row>
    <row r="18">
      <c r="A18" s="44" t="s">
        <v>247</v>
      </c>
      <c r="B18" s="44" t="s">
        <v>421</v>
      </c>
      <c r="C18" s="44" t="s">
        <v>422</v>
      </c>
      <c r="D18" s="44">
        <v>0.778</v>
      </c>
      <c r="E18" s="44">
        <v>0.0</v>
      </c>
      <c r="F18" s="44">
        <v>0.2</v>
      </c>
      <c r="G18" s="44">
        <v>0.4</v>
      </c>
      <c r="H18" s="44" t="s">
        <v>17</v>
      </c>
      <c r="I18" s="44" t="s">
        <v>1923</v>
      </c>
      <c r="J18" s="44" t="s">
        <v>34</v>
      </c>
      <c r="K18" s="44" t="str">
        <f t="shared" si="1"/>
        <v>Intent Drift</v>
      </c>
    </row>
    <row r="19">
      <c r="A19" s="44" t="s">
        <v>277</v>
      </c>
      <c r="B19" s="44" t="s">
        <v>441</v>
      </c>
      <c r="C19" s="44" t="s">
        <v>442</v>
      </c>
      <c r="D19" s="44">
        <v>0.529</v>
      </c>
      <c r="E19" s="44">
        <v>0.0</v>
      </c>
      <c r="F19" s="44">
        <v>0.0</v>
      </c>
      <c r="G19" s="44">
        <v>0.857</v>
      </c>
      <c r="H19" s="44" t="s">
        <v>17</v>
      </c>
      <c r="I19" s="44" t="s">
        <v>1924</v>
      </c>
      <c r="J19" s="44" t="s">
        <v>34</v>
      </c>
      <c r="K19" s="44" t="str">
        <f t="shared" si="1"/>
        <v>Intent Drift</v>
      </c>
    </row>
    <row r="20">
      <c r="A20" s="44" t="s">
        <v>133</v>
      </c>
      <c r="B20" s="44" t="s">
        <v>822</v>
      </c>
      <c r="C20" s="44" t="s">
        <v>823</v>
      </c>
      <c r="D20" s="44">
        <v>1.0</v>
      </c>
      <c r="E20" s="44">
        <v>0.0</v>
      </c>
      <c r="F20" s="44">
        <v>0.0</v>
      </c>
      <c r="G20" s="44">
        <v>0.333</v>
      </c>
      <c r="H20" s="44" t="s">
        <v>15</v>
      </c>
      <c r="I20" s="44" t="s">
        <v>1925</v>
      </c>
      <c r="J20" s="44" t="s">
        <v>34</v>
      </c>
      <c r="K20" s="44" t="str">
        <f t="shared" si="1"/>
        <v>Intent Drift</v>
      </c>
    </row>
    <row r="21" ht="15.75" customHeight="1">
      <c r="A21" s="44" t="s">
        <v>229</v>
      </c>
      <c r="B21" s="44" t="s">
        <v>889</v>
      </c>
      <c r="C21" s="44" t="s">
        <v>890</v>
      </c>
      <c r="D21" s="44">
        <v>0.556</v>
      </c>
      <c r="E21" s="44">
        <v>0.0</v>
      </c>
      <c r="F21" s="44">
        <v>0.0</v>
      </c>
      <c r="G21" s="44">
        <v>0.6</v>
      </c>
      <c r="H21" s="44" t="s">
        <v>17</v>
      </c>
      <c r="I21" s="44" t="s">
        <v>1926</v>
      </c>
      <c r="J21" s="44" t="s">
        <v>34</v>
      </c>
      <c r="K21" s="44" t="str">
        <f t="shared" si="1"/>
        <v>Intent Drift</v>
      </c>
    </row>
    <row r="22" ht="15.75" customHeight="1">
      <c r="A22" s="44" t="s">
        <v>241</v>
      </c>
      <c r="B22" s="44" t="s">
        <v>897</v>
      </c>
      <c r="C22" s="44" t="s">
        <v>898</v>
      </c>
      <c r="D22" s="44">
        <v>0.875</v>
      </c>
      <c r="E22" s="44">
        <v>0.0</v>
      </c>
      <c r="F22" s="44">
        <v>0.0</v>
      </c>
      <c r="G22" s="44">
        <v>0.4</v>
      </c>
      <c r="H22" s="44" t="s">
        <v>17</v>
      </c>
      <c r="I22" s="44" t="s">
        <v>1927</v>
      </c>
      <c r="J22" s="44" t="s">
        <v>34</v>
      </c>
      <c r="K22" s="44" t="str">
        <f t="shared" si="1"/>
        <v>Intent Drift</v>
      </c>
    </row>
    <row r="23" ht="15.75" customHeight="1">
      <c r="A23" s="44" t="s">
        <v>253</v>
      </c>
      <c r="B23" s="44" t="s">
        <v>903</v>
      </c>
      <c r="C23" s="44" t="s">
        <v>904</v>
      </c>
      <c r="D23" s="44">
        <v>0.846</v>
      </c>
      <c r="E23" s="44">
        <v>0.0</v>
      </c>
      <c r="F23" s="44">
        <v>0.0</v>
      </c>
      <c r="G23" s="44">
        <v>0.143</v>
      </c>
      <c r="H23" s="44" t="s">
        <v>17</v>
      </c>
      <c r="I23" s="44" t="s">
        <v>1928</v>
      </c>
      <c r="J23" s="44" t="s">
        <v>34</v>
      </c>
      <c r="K23" s="44" t="str">
        <f t="shared" si="1"/>
        <v>Intent Drift</v>
      </c>
    </row>
    <row r="24" ht="15.75" customHeight="1">
      <c r="A24" s="44" t="s">
        <v>64</v>
      </c>
      <c r="B24" s="44" t="s">
        <v>1095</v>
      </c>
      <c r="C24" s="44" t="s">
        <v>1096</v>
      </c>
      <c r="D24" s="44">
        <v>1.0</v>
      </c>
      <c r="E24" s="44">
        <v>0.474</v>
      </c>
      <c r="F24" s="44">
        <v>1.0</v>
      </c>
      <c r="G24" s="44">
        <v>0.857</v>
      </c>
      <c r="H24" s="44" t="s">
        <v>14</v>
      </c>
      <c r="I24" s="44" t="s">
        <v>1929</v>
      </c>
      <c r="J24" s="44" t="s">
        <v>34</v>
      </c>
      <c r="K24" s="44" t="str">
        <f t="shared" si="1"/>
        <v>Intent Drift</v>
      </c>
    </row>
    <row r="25" ht="15.75" customHeight="1">
      <c r="A25" s="44" t="s">
        <v>229</v>
      </c>
      <c r="B25" s="44" t="s">
        <v>1205</v>
      </c>
      <c r="C25" s="44" t="s">
        <v>1206</v>
      </c>
      <c r="D25" s="44">
        <v>0.875</v>
      </c>
      <c r="E25" s="44">
        <v>0.0</v>
      </c>
      <c r="F25" s="44">
        <v>0.0</v>
      </c>
      <c r="G25" s="44">
        <v>1.0</v>
      </c>
      <c r="H25" s="44" t="s">
        <v>17</v>
      </c>
      <c r="I25" s="44" t="s">
        <v>1930</v>
      </c>
      <c r="J25" s="44" t="s">
        <v>34</v>
      </c>
      <c r="K25" s="44" t="str">
        <f t="shared" si="1"/>
        <v>Intent Drift</v>
      </c>
    </row>
    <row r="26" ht="15.75" customHeight="1">
      <c r="A26" s="44" t="s">
        <v>241</v>
      </c>
      <c r="B26" s="44" t="s">
        <v>1215</v>
      </c>
      <c r="C26" s="44" t="s">
        <v>1216</v>
      </c>
      <c r="D26" s="44">
        <v>1.0</v>
      </c>
      <c r="E26" s="44">
        <v>0.0</v>
      </c>
      <c r="F26" s="44">
        <v>0.0</v>
      </c>
      <c r="G26" s="44">
        <v>0.833</v>
      </c>
      <c r="H26" s="44" t="s">
        <v>17</v>
      </c>
      <c r="I26" s="44" t="s">
        <v>1931</v>
      </c>
      <c r="J26" s="44" t="s">
        <v>34</v>
      </c>
      <c r="K26" s="44" t="str">
        <f t="shared" si="1"/>
        <v>Intent Drift</v>
      </c>
    </row>
    <row r="27" ht="15.75" customHeight="1">
      <c r="A27" s="44" t="s">
        <v>118</v>
      </c>
      <c r="B27" s="44" t="s">
        <v>975</v>
      </c>
      <c r="C27" s="44" t="s">
        <v>976</v>
      </c>
      <c r="D27" s="44">
        <v>1.0</v>
      </c>
      <c r="E27" s="44">
        <v>0.0</v>
      </c>
      <c r="F27" s="44">
        <v>0.0</v>
      </c>
      <c r="G27" s="44">
        <v>0.833</v>
      </c>
      <c r="H27" s="44" t="s">
        <v>15</v>
      </c>
      <c r="I27" s="44" t="s">
        <v>1932</v>
      </c>
      <c r="J27" s="44" t="s">
        <v>34</v>
      </c>
      <c r="K27" s="44" t="str">
        <f t="shared" si="1"/>
        <v>Intent Drift</v>
      </c>
    </row>
    <row r="28" ht="15.75" customHeight="1">
      <c r="A28" s="44" t="s">
        <v>226</v>
      </c>
      <c r="B28" s="44" t="s">
        <v>1045</v>
      </c>
      <c r="C28" s="44" t="s">
        <v>1046</v>
      </c>
      <c r="D28" s="44">
        <v>0.571</v>
      </c>
      <c r="E28" s="44">
        <v>0.0</v>
      </c>
      <c r="F28" s="44">
        <v>0.583</v>
      </c>
      <c r="G28" s="44">
        <v>1.0</v>
      </c>
      <c r="H28" s="44" t="s">
        <v>17</v>
      </c>
      <c r="I28" s="44" t="s">
        <v>1933</v>
      </c>
      <c r="J28" s="44" t="s">
        <v>34</v>
      </c>
      <c r="K28" s="44" t="str">
        <f t="shared" si="1"/>
        <v>Intent Drift</v>
      </c>
    </row>
    <row r="29" ht="15.75" customHeight="1">
      <c r="A29" s="44" t="s">
        <v>106</v>
      </c>
      <c r="B29" s="44" t="s">
        <v>1287</v>
      </c>
      <c r="C29" s="44" t="s">
        <v>1288</v>
      </c>
      <c r="D29" s="44">
        <v>0.889</v>
      </c>
      <c r="E29" s="44">
        <v>0.0</v>
      </c>
      <c r="F29" s="44">
        <v>0.0</v>
      </c>
      <c r="G29" s="44">
        <v>0.667</v>
      </c>
      <c r="H29" s="44" t="s">
        <v>15</v>
      </c>
      <c r="I29" s="44" t="s">
        <v>1934</v>
      </c>
      <c r="J29" s="44" t="s">
        <v>34</v>
      </c>
      <c r="K29" s="44" t="str">
        <f t="shared" si="1"/>
        <v>Intent Drift</v>
      </c>
    </row>
    <row r="30" ht="15.75" customHeight="1">
      <c r="A30" s="44" t="s">
        <v>106</v>
      </c>
      <c r="B30" s="44" t="s">
        <v>107</v>
      </c>
      <c r="C30" s="44" t="s">
        <v>108</v>
      </c>
      <c r="D30" s="44">
        <v>0.909</v>
      </c>
      <c r="E30" s="44">
        <v>0.0</v>
      </c>
      <c r="F30" s="44">
        <v>0.0</v>
      </c>
      <c r="G30" s="44">
        <v>0.5</v>
      </c>
      <c r="H30" s="44" t="s">
        <v>15</v>
      </c>
      <c r="I30" s="44" t="s">
        <v>1935</v>
      </c>
      <c r="J30" s="44" t="s">
        <v>34</v>
      </c>
      <c r="K30" s="44" t="str">
        <f t="shared" si="1"/>
        <v>Intent Drift</v>
      </c>
    </row>
    <row r="31" ht="15.75" customHeight="1">
      <c r="A31" s="44" t="s">
        <v>133</v>
      </c>
      <c r="B31" s="44" t="s">
        <v>134</v>
      </c>
      <c r="C31" s="44" t="s">
        <v>135</v>
      </c>
      <c r="D31" s="44">
        <v>0.636</v>
      </c>
      <c r="E31" s="44">
        <v>0.0</v>
      </c>
      <c r="F31" s="44">
        <v>0.0</v>
      </c>
      <c r="G31" s="44">
        <v>0.833</v>
      </c>
      <c r="H31" s="44" t="s">
        <v>15</v>
      </c>
      <c r="I31" s="44" t="s">
        <v>1936</v>
      </c>
      <c r="J31" s="44" t="s">
        <v>34</v>
      </c>
      <c r="K31" s="44" t="str">
        <f t="shared" si="1"/>
        <v>Intent Drift</v>
      </c>
    </row>
    <row r="32" ht="15.75" customHeight="1">
      <c r="A32" s="44" t="s">
        <v>196</v>
      </c>
      <c r="B32" s="44" t="s">
        <v>197</v>
      </c>
      <c r="C32" s="44" t="s">
        <v>198</v>
      </c>
      <c r="D32" s="44">
        <v>1.0</v>
      </c>
      <c r="E32" s="44">
        <v>0.0</v>
      </c>
      <c r="F32" s="44">
        <v>0.0</v>
      </c>
      <c r="G32" s="44">
        <v>0.571</v>
      </c>
      <c r="H32" s="44" t="s">
        <v>16</v>
      </c>
      <c r="I32" s="44" t="s">
        <v>1937</v>
      </c>
      <c r="J32" s="44" t="s">
        <v>34</v>
      </c>
      <c r="K32" s="44" t="str">
        <f t="shared" si="1"/>
        <v>Intent Drift</v>
      </c>
    </row>
    <row r="33" ht="15.75" customHeight="1">
      <c r="A33" s="44" t="s">
        <v>220</v>
      </c>
      <c r="B33" s="44" t="s">
        <v>221</v>
      </c>
      <c r="C33" s="44" t="s">
        <v>222</v>
      </c>
      <c r="D33" s="44">
        <v>0.667</v>
      </c>
      <c r="E33" s="44">
        <v>0.719</v>
      </c>
      <c r="F33" s="44">
        <v>1.0</v>
      </c>
      <c r="G33" s="44">
        <v>0.5</v>
      </c>
      <c r="H33" s="44" t="s">
        <v>16</v>
      </c>
      <c r="I33" s="44" t="s">
        <v>1938</v>
      </c>
      <c r="J33" s="44" t="s">
        <v>34</v>
      </c>
      <c r="K33" s="44" t="str">
        <f t="shared" si="1"/>
        <v>Other Error</v>
      </c>
    </row>
    <row r="34" ht="15.75" customHeight="1">
      <c r="A34" s="44" t="s">
        <v>241</v>
      </c>
      <c r="B34" s="44" t="s">
        <v>242</v>
      </c>
      <c r="C34" s="44" t="s">
        <v>243</v>
      </c>
      <c r="D34" s="44">
        <v>0.917</v>
      </c>
      <c r="E34" s="44">
        <v>0.0</v>
      </c>
      <c r="F34" s="44">
        <v>0.0</v>
      </c>
      <c r="G34" s="44">
        <v>0.833</v>
      </c>
      <c r="H34" s="44" t="s">
        <v>17</v>
      </c>
      <c r="I34" s="44" t="s">
        <v>1939</v>
      </c>
      <c r="J34" s="44" t="s">
        <v>34</v>
      </c>
      <c r="K34" s="44" t="str">
        <f t="shared" si="1"/>
        <v>Intent Drift</v>
      </c>
    </row>
    <row r="35" ht="15.75" customHeight="1">
      <c r="A35" s="44" t="s">
        <v>244</v>
      </c>
      <c r="B35" s="44" t="s">
        <v>245</v>
      </c>
      <c r="C35" s="44" t="s">
        <v>246</v>
      </c>
      <c r="D35" s="44">
        <v>0.667</v>
      </c>
      <c r="E35" s="44">
        <v>0.637</v>
      </c>
      <c r="F35" s="44">
        <v>0.0</v>
      </c>
      <c r="G35" s="44">
        <v>0.75</v>
      </c>
      <c r="H35" s="44" t="s">
        <v>17</v>
      </c>
      <c r="I35" s="44" t="s">
        <v>1940</v>
      </c>
      <c r="J35" s="44" t="s">
        <v>34</v>
      </c>
      <c r="K35" s="44" t="str">
        <f t="shared" si="1"/>
        <v>Other Error</v>
      </c>
    </row>
    <row r="36" ht="15.75" customHeight="1">
      <c r="A36" s="44" t="s">
        <v>250</v>
      </c>
      <c r="B36" s="44" t="s">
        <v>251</v>
      </c>
      <c r="C36" s="44" t="s">
        <v>252</v>
      </c>
      <c r="D36" s="44">
        <v>0.692</v>
      </c>
      <c r="E36" s="44">
        <v>0.0</v>
      </c>
      <c r="F36" s="44">
        <v>0.0</v>
      </c>
      <c r="G36" s="44">
        <v>0.857</v>
      </c>
      <c r="H36" s="44" t="s">
        <v>17</v>
      </c>
      <c r="I36" s="44" t="s">
        <v>1941</v>
      </c>
      <c r="J36" s="44" t="s">
        <v>34</v>
      </c>
      <c r="K36" s="44" t="str">
        <f t="shared" si="1"/>
        <v>Intent Drift</v>
      </c>
    </row>
    <row r="37" ht="15.75" customHeight="1">
      <c r="A37" s="44" t="s">
        <v>268</v>
      </c>
      <c r="B37" s="44" t="s">
        <v>269</v>
      </c>
      <c r="C37" s="44" t="s">
        <v>270</v>
      </c>
      <c r="D37" s="44">
        <v>0.909</v>
      </c>
      <c r="E37" s="44">
        <v>0.551</v>
      </c>
      <c r="F37" s="44">
        <v>1.0</v>
      </c>
      <c r="G37" s="44">
        <v>0.444</v>
      </c>
      <c r="H37" s="44" t="s">
        <v>17</v>
      </c>
      <c r="I37" s="44" t="s">
        <v>1942</v>
      </c>
      <c r="J37" s="44" t="s">
        <v>34</v>
      </c>
      <c r="K37" s="44" t="str">
        <f t="shared" si="1"/>
        <v>Other Error</v>
      </c>
    </row>
    <row r="38" ht="15.75" customHeight="1">
      <c r="A38" s="44" t="s">
        <v>271</v>
      </c>
      <c r="B38" s="44" t="s">
        <v>272</v>
      </c>
      <c r="C38" s="44" t="s">
        <v>273</v>
      </c>
      <c r="D38" s="44">
        <v>0.778</v>
      </c>
      <c r="E38" s="44">
        <v>0.492</v>
      </c>
      <c r="F38" s="44">
        <v>1.0</v>
      </c>
      <c r="G38" s="44">
        <v>0.75</v>
      </c>
      <c r="H38" s="44" t="s">
        <v>17</v>
      </c>
      <c r="I38" s="44" t="s">
        <v>1943</v>
      </c>
      <c r="J38" s="44" t="s">
        <v>34</v>
      </c>
      <c r="K38" s="44" t="str">
        <f t="shared" si="1"/>
        <v>Intent Drift</v>
      </c>
    </row>
    <row r="39" ht="15.75" customHeight="1">
      <c r="A39" s="44" t="s">
        <v>49</v>
      </c>
      <c r="B39" s="44" t="s">
        <v>610</v>
      </c>
      <c r="C39" s="44" t="s">
        <v>611</v>
      </c>
      <c r="D39" s="44">
        <v>1.0</v>
      </c>
      <c r="E39" s="44">
        <v>0.0</v>
      </c>
      <c r="F39" s="44">
        <v>0.75</v>
      </c>
      <c r="G39" s="44">
        <v>0.667</v>
      </c>
      <c r="H39" s="44" t="s">
        <v>14</v>
      </c>
      <c r="I39" s="44" t="s">
        <v>1944</v>
      </c>
      <c r="J39" s="44" t="s">
        <v>34</v>
      </c>
      <c r="K39" s="44" t="str">
        <f t="shared" si="1"/>
        <v>Intent Drift</v>
      </c>
    </row>
    <row r="40" ht="15.75" customHeight="1">
      <c r="A40" s="44" t="s">
        <v>145</v>
      </c>
      <c r="B40" s="44" t="s">
        <v>672</v>
      </c>
      <c r="C40" s="44" t="s">
        <v>673</v>
      </c>
      <c r="D40" s="44">
        <v>0.688</v>
      </c>
      <c r="E40" s="44">
        <v>0.0</v>
      </c>
      <c r="F40" s="44">
        <v>0.533</v>
      </c>
      <c r="G40" s="44">
        <v>0.875</v>
      </c>
      <c r="H40" s="44" t="s">
        <v>15</v>
      </c>
      <c r="I40" s="44" t="s">
        <v>1945</v>
      </c>
      <c r="J40" s="44" t="s">
        <v>34</v>
      </c>
      <c r="K40" s="44" t="str">
        <f t="shared" si="1"/>
        <v>Intent Drift</v>
      </c>
    </row>
    <row r="41" ht="15.75" customHeight="1">
      <c r="A41" s="44" t="s">
        <v>157</v>
      </c>
      <c r="B41" s="44" t="s">
        <v>680</v>
      </c>
      <c r="C41" s="44" t="s">
        <v>681</v>
      </c>
      <c r="D41" s="44">
        <v>0.524</v>
      </c>
      <c r="E41" s="44">
        <v>0.0</v>
      </c>
      <c r="F41" s="44">
        <v>0.0</v>
      </c>
      <c r="G41" s="44">
        <v>1.0</v>
      </c>
      <c r="H41" s="44" t="s">
        <v>15</v>
      </c>
      <c r="I41" s="44" t="s">
        <v>1946</v>
      </c>
      <c r="J41" s="44" t="s">
        <v>34</v>
      </c>
      <c r="K41" s="44" t="str">
        <f t="shared" si="1"/>
        <v>Intent Drift</v>
      </c>
    </row>
    <row r="42" ht="15.75" customHeight="1">
      <c r="A42" s="44" t="s">
        <v>181</v>
      </c>
      <c r="B42" s="44" t="s">
        <v>698</v>
      </c>
      <c r="C42" s="44" t="s">
        <v>699</v>
      </c>
      <c r="D42" s="44">
        <v>1.0</v>
      </c>
      <c r="E42" s="44">
        <v>0.0</v>
      </c>
      <c r="F42" s="44">
        <v>0.0</v>
      </c>
      <c r="G42" s="44">
        <v>0.75</v>
      </c>
      <c r="H42" s="44" t="s">
        <v>16</v>
      </c>
      <c r="I42" s="44" t="s">
        <v>1947</v>
      </c>
      <c r="J42" s="44" t="s">
        <v>34</v>
      </c>
      <c r="K42" s="44" t="str">
        <f t="shared" si="1"/>
        <v>Intent Drift</v>
      </c>
    </row>
    <row r="43" ht="15.75" customHeight="1">
      <c r="A43" s="44" t="s">
        <v>226</v>
      </c>
      <c r="B43" s="44" t="s">
        <v>728</v>
      </c>
      <c r="C43" s="44" t="s">
        <v>729</v>
      </c>
      <c r="D43" s="44">
        <v>0.632</v>
      </c>
      <c r="E43" s="44">
        <v>0.0</v>
      </c>
      <c r="F43" s="44">
        <v>0.583</v>
      </c>
      <c r="G43" s="44">
        <v>0.286</v>
      </c>
      <c r="H43" s="44" t="s">
        <v>17</v>
      </c>
      <c r="I43" s="44" t="s">
        <v>1948</v>
      </c>
      <c r="J43" s="44" t="s">
        <v>34</v>
      </c>
      <c r="K43" s="44" t="str">
        <f t="shared" si="1"/>
        <v>Intent Drift</v>
      </c>
    </row>
    <row r="44" ht="15.75" customHeight="1">
      <c r="A44" s="44" t="s">
        <v>229</v>
      </c>
      <c r="B44" s="44" t="s">
        <v>730</v>
      </c>
      <c r="C44" s="44" t="s">
        <v>731</v>
      </c>
      <c r="D44" s="44">
        <v>0.65</v>
      </c>
      <c r="E44" s="44">
        <v>0.0</v>
      </c>
      <c r="F44" s="44">
        <v>0.0</v>
      </c>
      <c r="G44" s="44">
        <v>0.6</v>
      </c>
      <c r="H44" s="44" t="s">
        <v>17</v>
      </c>
      <c r="I44" s="44" t="s">
        <v>1949</v>
      </c>
      <c r="J44" s="44" t="s">
        <v>34</v>
      </c>
      <c r="K44" s="44" t="str">
        <f t="shared" si="1"/>
        <v>Intent Drift</v>
      </c>
    </row>
    <row r="45" ht="15.75" customHeight="1">
      <c r="A45" s="44" t="s">
        <v>250</v>
      </c>
      <c r="B45" s="44" t="s">
        <v>742</v>
      </c>
      <c r="C45" s="44" t="s">
        <v>743</v>
      </c>
      <c r="D45" s="44">
        <v>0.583</v>
      </c>
      <c r="E45" s="44">
        <v>0.0</v>
      </c>
      <c r="F45" s="44">
        <v>0.0</v>
      </c>
      <c r="G45" s="44">
        <v>0.5</v>
      </c>
      <c r="H45" s="44" t="s">
        <v>17</v>
      </c>
      <c r="I45" s="44" t="s">
        <v>1950</v>
      </c>
      <c r="J45" s="44" t="s">
        <v>34</v>
      </c>
      <c r="K45" s="44" t="str">
        <f t="shared" si="1"/>
        <v>Intent Drift</v>
      </c>
    </row>
    <row r="46" ht="15.75" customHeight="1">
      <c r="A46" s="44" t="s">
        <v>259</v>
      </c>
      <c r="B46" s="44" t="s">
        <v>746</v>
      </c>
      <c r="C46" s="44" t="s">
        <v>747</v>
      </c>
      <c r="D46" s="44">
        <v>0.889</v>
      </c>
      <c r="E46" s="44">
        <v>0.431</v>
      </c>
      <c r="F46" s="44">
        <v>0.804</v>
      </c>
      <c r="G46" s="44">
        <v>1.0</v>
      </c>
      <c r="H46" s="44" t="s">
        <v>17</v>
      </c>
      <c r="I46" s="44" t="s">
        <v>1951</v>
      </c>
      <c r="J46" s="44" t="s">
        <v>34</v>
      </c>
      <c r="K46" s="44" t="str">
        <f t="shared" si="1"/>
        <v>Intent Drift</v>
      </c>
    </row>
    <row r="47" ht="15.75" customHeight="1">
      <c r="A47" s="44" t="s">
        <v>253</v>
      </c>
      <c r="B47" s="44" t="s">
        <v>756</v>
      </c>
      <c r="C47" s="44" t="s">
        <v>757</v>
      </c>
      <c r="D47" s="44">
        <v>1.0</v>
      </c>
      <c r="E47" s="44">
        <v>0.0</v>
      </c>
      <c r="F47" s="44">
        <v>1.0</v>
      </c>
      <c r="G47" s="44">
        <v>0.875</v>
      </c>
      <c r="H47" s="44" t="s">
        <v>17</v>
      </c>
      <c r="I47" s="44" t="s">
        <v>1952</v>
      </c>
      <c r="J47" s="44" t="s">
        <v>34</v>
      </c>
      <c r="K47" s="44" t="str">
        <f t="shared" si="1"/>
        <v>Intent Drift</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7.63"/>
    <col customWidth="1" min="4" max="7" width="18.13"/>
    <col customWidth="1" min="8" max="8" width="19.88"/>
    <col customWidth="1" min="9" max="9" width="26.25"/>
    <col customWidth="1" min="10" max="10" width="33.38"/>
    <col customWidth="1" min="11" max="11" width="33.63"/>
    <col customWidth="1" min="12" max="20" width="7.63"/>
  </cols>
  <sheetData>
    <row r="1">
      <c r="A1" s="55" t="s">
        <v>42</v>
      </c>
      <c r="B1" s="55" t="s">
        <v>43</v>
      </c>
      <c r="C1" s="55" t="s">
        <v>44</v>
      </c>
      <c r="D1" s="55" t="s">
        <v>3</v>
      </c>
      <c r="E1" s="55" t="s">
        <v>4</v>
      </c>
      <c r="F1" s="55" t="s">
        <v>5</v>
      </c>
      <c r="G1" s="55" t="s">
        <v>6</v>
      </c>
      <c r="H1" s="55" t="s">
        <v>1406</v>
      </c>
      <c r="I1" s="55" t="s">
        <v>1407</v>
      </c>
      <c r="J1" s="56" t="s">
        <v>1408</v>
      </c>
      <c r="K1" s="19" t="s">
        <v>20</v>
      </c>
    </row>
    <row r="2">
      <c r="A2" s="50" t="s">
        <v>97</v>
      </c>
      <c r="B2" s="50" t="s">
        <v>482</v>
      </c>
      <c r="C2" s="50" t="s">
        <v>483</v>
      </c>
      <c r="D2" s="54">
        <v>0.583</v>
      </c>
      <c r="E2" s="54">
        <v>0.78</v>
      </c>
      <c r="F2" s="54">
        <v>0.5</v>
      </c>
      <c r="G2" s="54">
        <v>1.0</v>
      </c>
      <c r="H2" s="50" t="s">
        <v>14</v>
      </c>
      <c r="I2" s="50" t="s">
        <v>1953</v>
      </c>
      <c r="J2" s="50" t="s">
        <v>37</v>
      </c>
      <c r="K2" s="44" t="str">
        <f t="shared" ref="K2:K97" si="1">IF(AND(E2&gt;0.5, E2&lt;0.8, D2&gt;=0.5),
    IF(AND(D2&gt;=0.8, G2&gt;=0.8), "Dimension Omission",
    IF(G2&gt;=0.5, "Partial Coverage",
    "Other Error")),
"Other Error")</f>
        <v>Partial Coverage</v>
      </c>
    </row>
    <row r="3">
      <c r="A3" s="50" t="s">
        <v>109</v>
      </c>
      <c r="B3" s="50" t="s">
        <v>492</v>
      </c>
      <c r="C3" s="50" t="s">
        <v>493</v>
      </c>
      <c r="D3" s="54">
        <v>0.727</v>
      </c>
      <c r="E3" s="54">
        <v>0.589</v>
      </c>
      <c r="F3" s="54">
        <v>1.0</v>
      </c>
      <c r="G3" s="54">
        <v>1.0</v>
      </c>
      <c r="H3" s="50" t="s">
        <v>15</v>
      </c>
      <c r="I3" s="50" t="s">
        <v>1954</v>
      </c>
      <c r="J3" s="50" t="s">
        <v>37</v>
      </c>
      <c r="K3" s="44" t="str">
        <f t="shared" si="1"/>
        <v>Partial Coverage</v>
      </c>
    </row>
    <row r="4">
      <c r="A4" s="50" t="s">
        <v>148</v>
      </c>
      <c r="B4" s="50" t="s">
        <v>516</v>
      </c>
      <c r="C4" s="50" t="s">
        <v>517</v>
      </c>
      <c r="D4" s="54">
        <v>0.625</v>
      </c>
      <c r="E4" s="54">
        <v>0.774</v>
      </c>
      <c r="F4" s="54">
        <v>1.0</v>
      </c>
      <c r="G4" s="54">
        <v>0.429</v>
      </c>
      <c r="H4" s="50" t="s">
        <v>15</v>
      </c>
      <c r="I4" s="50" t="s">
        <v>1955</v>
      </c>
      <c r="J4" s="50" t="s">
        <v>37</v>
      </c>
      <c r="K4" s="44" t="str">
        <f t="shared" si="1"/>
        <v>Other Error</v>
      </c>
    </row>
    <row r="5">
      <c r="A5" s="50" t="s">
        <v>163</v>
      </c>
      <c r="B5" s="50" t="s">
        <v>526</v>
      </c>
      <c r="C5" s="50" t="s">
        <v>527</v>
      </c>
      <c r="D5" s="54">
        <v>0.571</v>
      </c>
      <c r="E5" s="54">
        <v>0.535</v>
      </c>
      <c r="F5" s="54">
        <v>1.0</v>
      </c>
      <c r="G5" s="54">
        <v>0.857</v>
      </c>
      <c r="H5" s="50" t="s">
        <v>15</v>
      </c>
      <c r="I5" s="50" t="s">
        <v>1956</v>
      </c>
      <c r="J5" s="50" t="s">
        <v>37</v>
      </c>
      <c r="K5" s="44" t="str">
        <f t="shared" si="1"/>
        <v>Partial Coverage</v>
      </c>
    </row>
    <row r="6">
      <c r="A6" s="50" t="s">
        <v>184</v>
      </c>
      <c r="B6" s="50" t="s">
        <v>540</v>
      </c>
      <c r="C6" s="50" t="s">
        <v>541</v>
      </c>
      <c r="D6" s="54">
        <v>0.75</v>
      </c>
      <c r="E6" s="54">
        <v>0.872</v>
      </c>
      <c r="F6" s="54">
        <v>1.0</v>
      </c>
      <c r="G6" s="54">
        <v>0.889</v>
      </c>
      <c r="H6" s="50" t="s">
        <v>16</v>
      </c>
      <c r="I6" s="50" t="s">
        <v>1957</v>
      </c>
      <c r="J6" s="50" t="s">
        <v>37</v>
      </c>
      <c r="K6" s="44" t="str">
        <f t="shared" si="1"/>
        <v>Other Error</v>
      </c>
    </row>
    <row r="7">
      <c r="A7" s="50" t="s">
        <v>196</v>
      </c>
      <c r="B7" s="50" t="s">
        <v>548</v>
      </c>
      <c r="C7" s="50" t="s">
        <v>549</v>
      </c>
      <c r="D7" s="54">
        <v>0.571</v>
      </c>
      <c r="E7" s="54">
        <v>0.775</v>
      </c>
      <c r="F7" s="54">
        <v>1.0</v>
      </c>
      <c r="G7" s="54">
        <v>0.333</v>
      </c>
      <c r="H7" s="50" t="s">
        <v>16</v>
      </c>
      <c r="I7" s="50" t="s">
        <v>1958</v>
      </c>
      <c r="J7" s="50" t="s">
        <v>37</v>
      </c>
      <c r="K7" s="44" t="str">
        <f t="shared" si="1"/>
        <v>Other Error</v>
      </c>
    </row>
    <row r="8">
      <c r="A8" s="50" t="s">
        <v>199</v>
      </c>
      <c r="B8" s="50" t="s">
        <v>550</v>
      </c>
      <c r="C8" s="50" t="s">
        <v>551</v>
      </c>
      <c r="D8" s="54">
        <v>1.0</v>
      </c>
      <c r="E8" s="54">
        <v>0.966</v>
      </c>
      <c r="F8" s="54">
        <v>0.833</v>
      </c>
      <c r="G8" s="54">
        <v>0.6</v>
      </c>
      <c r="H8" s="50" t="s">
        <v>16</v>
      </c>
      <c r="I8" s="50" t="s">
        <v>1959</v>
      </c>
      <c r="J8" s="50" t="s">
        <v>37</v>
      </c>
      <c r="K8" s="44" t="str">
        <f t="shared" si="1"/>
        <v>Other Error</v>
      </c>
    </row>
    <row r="9">
      <c r="A9" s="50" t="s">
        <v>268</v>
      </c>
      <c r="B9" s="50" t="s">
        <v>596</v>
      </c>
      <c r="C9" s="50" t="s">
        <v>597</v>
      </c>
      <c r="D9" s="54">
        <v>1.0</v>
      </c>
      <c r="E9" s="54">
        <v>0.531</v>
      </c>
      <c r="F9" s="54">
        <v>1.0</v>
      </c>
      <c r="G9" s="54">
        <v>1.0</v>
      </c>
      <c r="H9" s="50" t="s">
        <v>17</v>
      </c>
      <c r="I9" s="50" t="s">
        <v>1960</v>
      </c>
      <c r="J9" s="50" t="s">
        <v>37</v>
      </c>
      <c r="K9" s="44" t="str">
        <f t="shared" si="1"/>
        <v>Dimension Omission</v>
      </c>
    </row>
    <row r="10">
      <c r="A10" s="50" t="s">
        <v>271</v>
      </c>
      <c r="B10" s="50" t="s">
        <v>598</v>
      </c>
      <c r="C10" s="50" t="s">
        <v>599</v>
      </c>
      <c r="D10" s="54">
        <v>0.786</v>
      </c>
      <c r="E10" s="54">
        <v>0.575</v>
      </c>
      <c r="F10" s="54">
        <v>1.0</v>
      </c>
      <c r="G10" s="54">
        <v>1.0</v>
      </c>
      <c r="H10" s="50" t="s">
        <v>17</v>
      </c>
      <c r="I10" s="50" t="s">
        <v>1961</v>
      </c>
      <c r="J10" s="50" t="s">
        <v>37</v>
      </c>
      <c r="K10" s="44" t="str">
        <f t="shared" si="1"/>
        <v>Partial Coverage</v>
      </c>
    </row>
    <row r="11">
      <c r="A11" s="50" t="s">
        <v>52</v>
      </c>
      <c r="B11" s="50" t="s">
        <v>290</v>
      </c>
      <c r="C11" s="50" t="s">
        <v>291</v>
      </c>
      <c r="D11" s="54">
        <v>0.6</v>
      </c>
      <c r="E11" s="54">
        <v>0.827</v>
      </c>
      <c r="F11" s="54">
        <v>1.0</v>
      </c>
      <c r="G11" s="54">
        <v>0.333</v>
      </c>
      <c r="H11" s="50" t="s">
        <v>14</v>
      </c>
      <c r="I11" s="50" t="s">
        <v>1962</v>
      </c>
      <c r="J11" s="50" t="s">
        <v>37</v>
      </c>
      <c r="K11" s="44" t="str">
        <f t="shared" si="1"/>
        <v>Other Error</v>
      </c>
    </row>
    <row r="12">
      <c r="A12" s="50" t="s">
        <v>73</v>
      </c>
      <c r="B12" s="50" t="s">
        <v>304</v>
      </c>
      <c r="C12" s="50" t="s">
        <v>305</v>
      </c>
      <c r="D12" s="54">
        <v>0.778</v>
      </c>
      <c r="E12" s="54">
        <v>0.849</v>
      </c>
      <c r="F12" s="54">
        <v>0.417</v>
      </c>
      <c r="G12" s="54">
        <v>0.833</v>
      </c>
      <c r="H12" s="50" t="s">
        <v>14</v>
      </c>
      <c r="I12" s="50" t="s">
        <v>1963</v>
      </c>
      <c r="J12" s="50" t="s">
        <v>37</v>
      </c>
      <c r="K12" s="44" t="str">
        <f t="shared" si="1"/>
        <v>Other Error</v>
      </c>
    </row>
    <row r="13">
      <c r="A13" s="50" t="s">
        <v>76</v>
      </c>
      <c r="B13" s="50" t="s">
        <v>306</v>
      </c>
      <c r="C13" s="50" t="s">
        <v>307</v>
      </c>
      <c r="D13" s="54">
        <v>1.0</v>
      </c>
      <c r="E13" s="54">
        <v>0.852</v>
      </c>
      <c r="F13" s="54">
        <v>1.0</v>
      </c>
      <c r="G13" s="54">
        <v>1.0</v>
      </c>
      <c r="H13" s="50" t="s">
        <v>14</v>
      </c>
      <c r="I13" s="50" t="s">
        <v>1964</v>
      </c>
      <c r="J13" s="50" t="s">
        <v>37</v>
      </c>
      <c r="K13" s="44" t="str">
        <f t="shared" si="1"/>
        <v>Other Error</v>
      </c>
    </row>
    <row r="14">
      <c r="A14" s="50" t="s">
        <v>100</v>
      </c>
      <c r="B14" s="50" t="s">
        <v>318</v>
      </c>
      <c r="C14" s="50" t="s">
        <v>319</v>
      </c>
      <c r="D14" s="54">
        <v>0.636</v>
      </c>
      <c r="E14" s="54">
        <v>0.965</v>
      </c>
      <c r="F14" s="54">
        <v>0.0</v>
      </c>
      <c r="G14" s="54">
        <v>1.0</v>
      </c>
      <c r="H14" s="50" t="s">
        <v>14</v>
      </c>
      <c r="I14" s="50" t="s">
        <v>1965</v>
      </c>
      <c r="J14" s="50" t="s">
        <v>37</v>
      </c>
      <c r="K14" s="44" t="str">
        <f t="shared" si="1"/>
        <v>Other Error</v>
      </c>
    </row>
    <row r="15">
      <c r="A15" s="50" t="s">
        <v>112</v>
      </c>
      <c r="B15" s="50" t="s">
        <v>332</v>
      </c>
      <c r="C15" s="50" t="s">
        <v>333</v>
      </c>
      <c r="D15" s="54">
        <v>0.467</v>
      </c>
      <c r="E15" s="54">
        <v>0.947</v>
      </c>
      <c r="F15" s="54">
        <v>1.0</v>
      </c>
      <c r="G15" s="54">
        <v>0.556</v>
      </c>
      <c r="H15" s="50" t="s">
        <v>15</v>
      </c>
      <c r="I15" s="50" t="s">
        <v>1966</v>
      </c>
      <c r="J15" s="50" t="s">
        <v>37</v>
      </c>
      <c r="K15" s="44" t="str">
        <f t="shared" si="1"/>
        <v>Other Error</v>
      </c>
    </row>
    <row r="16">
      <c r="A16" s="50" t="s">
        <v>127</v>
      </c>
      <c r="B16" s="50" t="s">
        <v>340</v>
      </c>
      <c r="C16" s="50" t="s">
        <v>341</v>
      </c>
      <c r="D16" s="54">
        <v>0.818</v>
      </c>
      <c r="E16" s="54">
        <v>0.997</v>
      </c>
      <c r="F16" s="54">
        <v>1.0</v>
      </c>
      <c r="G16" s="54">
        <v>1.0</v>
      </c>
      <c r="H16" s="50" t="s">
        <v>15</v>
      </c>
      <c r="I16" s="50" t="s">
        <v>1967</v>
      </c>
      <c r="J16" s="50" t="s">
        <v>37</v>
      </c>
      <c r="K16" s="44" t="str">
        <f t="shared" si="1"/>
        <v>Other Error</v>
      </c>
    </row>
    <row r="17">
      <c r="A17" s="50" t="s">
        <v>130</v>
      </c>
      <c r="B17" s="50" t="s">
        <v>342</v>
      </c>
      <c r="C17" s="50" t="s">
        <v>343</v>
      </c>
      <c r="D17" s="54">
        <v>0.667</v>
      </c>
      <c r="E17" s="54">
        <v>0.788</v>
      </c>
      <c r="F17" s="54">
        <v>1.0</v>
      </c>
      <c r="G17" s="54">
        <v>1.0</v>
      </c>
      <c r="H17" s="50" t="s">
        <v>15</v>
      </c>
      <c r="I17" s="50" t="s">
        <v>1968</v>
      </c>
      <c r="J17" s="50" t="s">
        <v>37</v>
      </c>
      <c r="K17" s="44" t="str">
        <f t="shared" si="1"/>
        <v>Partial Coverage</v>
      </c>
    </row>
    <row r="18">
      <c r="A18" s="50" t="s">
        <v>139</v>
      </c>
      <c r="B18" s="50" t="s">
        <v>348</v>
      </c>
      <c r="C18" s="50" t="s">
        <v>349</v>
      </c>
      <c r="D18" s="54">
        <v>0.667</v>
      </c>
      <c r="E18" s="54">
        <v>0.703</v>
      </c>
      <c r="F18" s="54">
        <v>1.0</v>
      </c>
      <c r="G18" s="54">
        <v>1.0</v>
      </c>
      <c r="H18" s="50" t="s">
        <v>15</v>
      </c>
      <c r="I18" s="50" t="s">
        <v>1969</v>
      </c>
      <c r="J18" s="50" t="s">
        <v>37</v>
      </c>
      <c r="K18" s="44" t="str">
        <f t="shared" si="1"/>
        <v>Partial Coverage</v>
      </c>
    </row>
    <row r="19">
      <c r="A19" s="50" t="s">
        <v>154</v>
      </c>
      <c r="B19" s="50" t="s">
        <v>358</v>
      </c>
      <c r="C19" s="50" t="s">
        <v>359</v>
      </c>
      <c r="D19" s="54">
        <v>1.0</v>
      </c>
      <c r="E19" s="54">
        <v>0.85</v>
      </c>
      <c r="F19" s="54">
        <v>1.0</v>
      </c>
      <c r="G19" s="54">
        <v>0.778</v>
      </c>
      <c r="H19" s="50" t="s">
        <v>15</v>
      </c>
      <c r="I19" s="50" t="s">
        <v>1970</v>
      </c>
      <c r="J19" s="50" t="s">
        <v>37</v>
      </c>
      <c r="K19" s="44" t="str">
        <f t="shared" si="1"/>
        <v>Other Error</v>
      </c>
    </row>
    <row r="20">
      <c r="A20" s="50" t="s">
        <v>157</v>
      </c>
      <c r="B20" s="50" t="s">
        <v>360</v>
      </c>
      <c r="C20" s="50" t="s">
        <v>361</v>
      </c>
      <c r="D20" s="54">
        <v>0.692</v>
      </c>
      <c r="E20" s="54">
        <v>0.545</v>
      </c>
      <c r="F20" s="54">
        <v>0.417</v>
      </c>
      <c r="G20" s="54">
        <v>0.6</v>
      </c>
      <c r="H20" s="50" t="s">
        <v>15</v>
      </c>
      <c r="I20" s="50" t="s">
        <v>1971</v>
      </c>
      <c r="J20" s="50" t="s">
        <v>37</v>
      </c>
      <c r="K20" s="44" t="str">
        <f t="shared" si="1"/>
        <v>Partial Coverage</v>
      </c>
    </row>
    <row r="21" ht="15.75" customHeight="1">
      <c r="A21" s="50" t="s">
        <v>187</v>
      </c>
      <c r="B21" s="50" t="s">
        <v>381</v>
      </c>
      <c r="C21" s="50" t="s">
        <v>382</v>
      </c>
      <c r="D21" s="54">
        <v>0.583</v>
      </c>
      <c r="E21" s="54">
        <v>0.995</v>
      </c>
      <c r="F21" s="54">
        <v>0.25</v>
      </c>
      <c r="G21" s="54">
        <v>1.0</v>
      </c>
      <c r="H21" s="50" t="s">
        <v>16</v>
      </c>
      <c r="I21" s="50" t="s">
        <v>1972</v>
      </c>
      <c r="J21" s="50" t="s">
        <v>37</v>
      </c>
      <c r="K21" s="44" t="str">
        <f t="shared" si="1"/>
        <v>Other Error</v>
      </c>
    </row>
    <row r="22" ht="15.75" customHeight="1">
      <c r="A22" s="50" t="s">
        <v>196</v>
      </c>
      <c r="B22" s="50" t="s">
        <v>387</v>
      </c>
      <c r="C22" s="50" t="s">
        <v>388</v>
      </c>
      <c r="D22" s="54">
        <v>0.875</v>
      </c>
      <c r="E22" s="54">
        <v>0.858</v>
      </c>
      <c r="F22" s="54">
        <v>0.804</v>
      </c>
      <c r="G22" s="54">
        <v>0.833</v>
      </c>
      <c r="H22" s="50" t="s">
        <v>16</v>
      </c>
      <c r="I22" s="50" t="s">
        <v>1973</v>
      </c>
      <c r="J22" s="50" t="s">
        <v>37</v>
      </c>
      <c r="K22" s="44" t="str">
        <f t="shared" si="1"/>
        <v>Other Error</v>
      </c>
    </row>
    <row r="23" ht="15.75" customHeight="1">
      <c r="A23" s="50" t="s">
        <v>199</v>
      </c>
      <c r="B23" s="50" t="s">
        <v>389</v>
      </c>
      <c r="C23" s="50" t="s">
        <v>390</v>
      </c>
      <c r="D23" s="54">
        <v>0.9</v>
      </c>
      <c r="E23" s="54">
        <v>0.818</v>
      </c>
      <c r="F23" s="54">
        <v>0.5</v>
      </c>
      <c r="G23" s="54">
        <v>1.0</v>
      </c>
      <c r="H23" s="50" t="s">
        <v>16</v>
      </c>
      <c r="I23" s="50" t="s">
        <v>1974</v>
      </c>
      <c r="J23" s="50" t="s">
        <v>37</v>
      </c>
      <c r="K23" s="44" t="str">
        <f t="shared" si="1"/>
        <v>Other Error</v>
      </c>
    </row>
    <row r="24" ht="15.75" customHeight="1">
      <c r="A24" s="50" t="s">
        <v>208</v>
      </c>
      <c r="B24" s="50" t="s">
        <v>395</v>
      </c>
      <c r="C24" s="50" t="s">
        <v>396</v>
      </c>
      <c r="D24" s="54">
        <v>0.818</v>
      </c>
      <c r="E24" s="54">
        <v>0.776</v>
      </c>
      <c r="F24" s="54">
        <v>1.0</v>
      </c>
      <c r="G24" s="54">
        <v>1.0</v>
      </c>
      <c r="H24" s="50" t="s">
        <v>16</v>
      </c>
      <c r="I24" s="50" t="s">
        <v>1975</v>
      </c>
      <c r="J24" s="50" t="s">
        <v>37</v>
      </c>
      <c r="K24" s="44" t="str">
        <f t="shared" si="1"/>
        <v>Dimension Omission</v>
      </c>
    </row>
    <row r="25" ht="15.75" customHeight="1">
      <c r="A25" s="50" t="s">
        <v>238</v>
      </c>
      <c r="B25" s="50" t="s">
        <v>415</v>
      </c>
      <c r="C25" s="50" t="s">
        <v>416</v>
      </c>
      <c r="D25" s="54">
        <v>0.7</v>
      </c>
      <c r="E25" s="54">
        <v>0.423</v>
      </c>
      <c r="F25" s="54">
        <v>0.45</v>
      </c>
      <c r="G25" s="54">
        <v>0.75</v>
      </c>
      <c r="H25" s="50" t="s">
        <v>17</v>
      </c>
      <c r="I25" s="50" t="s">
        <v>1976</v>
      </c>
      <c r="J25" s="50" t="s">
        <v>37</v>
      </c>
      <c r="K25" s="44" t="str">
        <f t="shared" si="1"/>
        <v>Other Error</v>
      </c>
    </row>
    <row r="26" ht="15.75" customHeight="1">
      <c r="A26" s="50" t="s">
        <v>241</v>
      </c>
      <c r="B26" s="50" t="s">
        <v>417</v>
      </c>
      <c r="C26" s="50" t="s">
        <v>418</v>
      </c>
      <c r="D26" s="54">
        <v>0.429</v>
      </c>
      <c r="E26" s="54">
        <v>0.979</v>
      </c>
      <c r="F26" s="54">
        <v>0.25</v>
      </c>
      <c r="G26" s="54">
        <v>1.0</v>
      </c>
      <c r="H26" s="50" t="s">
        <v>17</v>
      </c>
      <c r="I26" s="50" t="s">
        <v>1977</v>
      </c>
      <c r="J26" s="50" t="s">
        <v>37</v>
      </c>
      <c r="K26" s="44" t="str">
        <f t="shared" si="1"/>
        <v>Other Error</v>
      </c>
    </row>
    <row r="27" ht="15.75" customHeight="1">
      <c r="A27" s="50" t="s">
        <v>250</v>
      </c>
      <c r="B27" s="50" t="s">
        <v>423</v>
      </c>
      <c r="C27" s="50" t="s">
        <v>424</v>
      </c>
      <c r="D27" s="54">
        <v>0.81</v>
      </c>
      <c r="E27" s="54">
        <v>0.893</v>
      </c>
      <c r="F27" s="54">
        <v>0.333</v>
      </c>
      <c r="G27" s="54">
        <v>0.286</v>
      </c>
      <c r="H27" s="50" t="s">
        <v>17</v>
      </c>
      <c r="I27" s="50" t="s">
        <v>1978</v>
      </c>
      <c r="J27" s="50" t="s">
        <v>37</v>
      </c>
      <c r="K27" s="44" t="str">
        <f t="shared" si="1"/>
        <v>Other Error</v>
      </c>
    </row>
    <row r="28" ht="15.75" customHeight="1">
      <c r="A28" s="50" t="s">
        <v>256</v>
      </c>
      <c r="B28" s="50" t="s">
        <v>427</v>
      </c>
      <c r="C28" s="50" t="s">
        <v>428</v>
      </c>
      <c r="D28" s="54">
        <v>0.75</v>
      </c>
      <c r="E28" s="54">
        <v>0.814</v>
      </c>
      <c r="F28" s="54">
        <v>0.333</v>
      </c>
      <c r="G28" s="54">
        <v>0.6</v>
      </c>
      <c r="H28" s="50" t="s">
        <v>17</v>
      </c>
      <c r="I28" s="50" t="s">
        <v>1979</v>
      </c>
      <c r="J28" s="50" t="s">
        <v>37</v>
      </c>
      <c r="K28" s="44" t="str">
        <f t="shared" si="1"/>
        <v>Other Error</v>
      </c>
    </row>
    <row r="29" ht="15.75" customHeight="1">
      <c r="A29" s="50" t="s">
        <v>262</v>
      </c>
      <c r="B29" s="50" t="s">
        <v>431</v>
      </c>
      <c r="C29" s="50" t="s">
        <v>432</v>
      </c>
      <c r="D29" s="54">
        <v>0.556</v>
      </c>
      <c r="E29" s="54">
        <v>1.0</v>
      </c>
      <c r="F29" s="54">
        <v>0.833</v>
      </c>
      <c r="G29" s="54">
        <v>0.2</v>
      </c>
      <c r="H29" s="50" t="s">
        <v>17</v>
      </c>
      <c r="I29" s="50" t="s">
        <v>1980</v>
      </c>
      <c r="J29" s="50" t="s">
        <v>37</v>
      </c>
      <c r="K29" s="44" t="str">
        <f t="shared" si="1"/>
        <v>Other Error</v>
      </c>
    </row>
    <row r="30" ht="15.75" customHeight="1">
      <c r="A30" s="50" t="s">
        <v>274</v>
      </c>
      <c r="B30" s="50" t="s">
        <v>439</v>
      </c>
      <c r="C30" s="50" t="s">
        <v>440</v>
      </c>
      <c r="D30" s="54">
        <v>0.5</v>
      </c>
      <c r="E30" s="54">
        <v>0.624</v>
      </c>
      <c r="F30" s="54">
        <v>0.0</v>
      </c>
      <c r="G30" s="54">
        <v>1.0</v>
      </c>
      <c r="H30" s="50" t="s">
        <v>17</v>
      </c>
      <c r="I30" s="50" t="s">
        <v>1981</v>
      </c>
      <c r="J30" s="50" t="s">
        <v>37</v>
      </c>
      <c r="K30" s="44" t="str">
        <f t="shared" si="1"/>
        <v>Partial Coverage</v>
      </c>
    </row>
    <row r="31" ht="15.75" customHeight="1">
      <c r="A31" s="50" t="s">
        <v>46</v>
      </c>
      <c r="B31" s="50" t="s">
        <v>768</v>
      </c>
      <c r="C31" s="50" t="s">
        <v>769</v>
      </c>
      <c r="D31" s="54">
        <v>1.0</v>
      </c>
      <c r="E31" s="54">
        <v>0.989</v>
      </c>
      <c r="F31" s="54">
        <v>1.0</v>
      </c>
      <c r="G31" s="54">
        <v>0.75</v>
      </c>
      <c r="H31" s="50" t="s">
        <v>14</v>
      </c>
      <c r="I31" s="50" t="s">
        <v>1982</v>
      </c>
      <c r="J31" s="50" t="s">
        <v>37</v>
      </c>
      <c r="K31" s="44" t="str">
        <f t="shared" si="1"/>
        <v>Other Error</v>
      </c>
    </row>
    <row r="32" ht="15.75" customHeight="1">
      <c r="A32" s="50" t="s">
        <v>64</v>
      </c>
      <c r="B32" s="50" t="s">
        <v>778</v>
      </c>
      <c r="C32" s="50" t="s">
        <v>779</v>
      </c>
      <c r="D32" s="54">
        <v>0.778</v>
      </c>
      <c r="E32" s="54">
        <v>0.713</v>
      </c>
      <c r="F32" s="54">
        <v>0.583</v>
      </c>
      <c r="G32" s="54">
        <v>1.0</v>
      </c>
      <c r="H32" s="50" t="s">
        <v>14</v>
      </c>
      <c r="I32" s="50" t="s">
        <v>1983</v>
      </c>
      <c r="J32" s="50" t="s">
        <v>37</v>
      </c>
      <c r="K32" s="44" t="str">
        <f t="shared" si="1"/>
        <v>Partial Coverage</v>
      </c>
    </row>
    <row r="33" ht="15.75" customHeight="1">
      <c r="A33" s="50" t="s">
        <v>103</v>
      </c>
      <c r="B33" s="50" t="s">
        <v>806</v>
      </c>
      <c r="C33" s="50" t="s">
        <v>807</v>
      </c>
      <c r="D33" s="54">
        <v>1.0</v>
      </c>
      <c r="E33" s="54">
        <v>0.994</v>
      </c>
      <c r="F33" s="54">
        <v>1.0</v>
      </c>
      <c r="G33" s="54">
        <v>0.75</v>
      </c>
      <c r="H33" s="50" t="s">
        <v>15</v>
      </c>
      <c r="I33" s="50" t="s">
        <v>1984</v>
      </c>
      <c r="J33" s="50" t="s">
        <v>37</v>
      </c>
      <c r="K33" s="44" t="str">
        <f t="shared" si="1"/>
        <v>Other Error</v>
      </c>
    </row>
    <row r="34" ht="15.75" customHeight="1">
      <c r="A34" s="50" t="s">
        <v>109</v>
      </c>
      <c r="B34" s="50" t="s">
        <v>810</v>
      </c>
      <c r="C34" s="50" t="s">
        <v>811</v>
      </c>
      <c r="D34" s="54">
        <v>0.545</v>
      </c>
      <c r="E34" s="54">
        <v>0.744</v>
      </c>
      <c r="F34" s="54">
        <v>0.833</v>
      </c>
      <c r="G34" s="54">
        <v>0.6</v>
      </c>
      <c r="H34" s="50" t="s">
        <v>15</v>
      </c>
      <c r="I34" s="50" t="s">
        <v>1985</v>
      </c>
      <c r="J34" s="50" t="s">
        <v>37</v>
      </c>
      <c r="K34" s="44" t="str">
        <f t="shared" si="1"/>
        <v>Partial Coverage</v>
      </c>
    </row>
    <row r="35" ht="15.75" customHeight="1">
      <c r="A35" s="50" t="s">
        <v>112</v>
      </c>
      <c r="B35" s="50" t="s">
        <v>812</v>
      </c>
      <c r="C35" s="50" t="s">
        <v>813</v>
      </c>
      <c r="D35" s="54">
        <v>1.0</v>
      </c>
      <c r="E35" s="54">
        <v>0.987</v>
      </c>
      <c r="F35" s="54">
        <v>1.0</v>
      </c>
      <c r="G35" s="54">
        <v>0.429</v>
      </c>
      <c r="H35" s="50" t="s">
        <v>15</v>
      </c>
      <c r="I35" s="50" t="s">
        <v>1986</v>
      </c>
      <c r="J35" s="50" t="s">
        <v>37</v>
      </c>
      <c r="K35" s="44" t="str">
        <f t="shared" si="1"/>
        <v>Other Error</v>
      </c>
    </row>
    <row r="36" ht="15.75" customHeight="1">
      <c r="A36" s="50" t="s">
        <v>130</v>
      </c>
      <c r="B36" s="50" t="s">
        <v>820</v>
      </c>
      <c r="C36" s="50" t="s">
        <v>821</v>
      </c>
      <c r="D36" s="54">
        <v>0.5</v>
      </c>
      <c r="E36" s="54">
        <v>0.708</v>
      </c>
      <c r="F36" s="54">
        <v>1.0</v>
      </c>
      <c r="G36" s="54">
        <v>0.6</v>
      </c>
      <c r="H36" s="50" t="s">
        <v>15</v>
      </c>
      <c r="I36" s="50" t="s">
        <v>1987</v>
      </c>
      <c r="J36" s="50" t="s">
        <v>37</v>
      </c>
      <c r="K36" s="44" t="str">
        <f t="shared" si="1"/>
        <v>Partial Coverage</v>
      </c>
    </row>
    <row r="37" ht="15.75" customHeight="1">
      <c r="A37" s="50" t="s">
        <v>136</v>
      </c>
      <c r="B37" s="50" t="s">
        <v>824</v>
      </c>
      <c r="C37" s="50" t="s">
        <v>825</v>
      </c>
      <c r="D37" s="54">
        <v>0.625</v>
      </c>
      <c r="E37" s="54">
        <v>0.961</v>
      </c>
      <c r="F37" s="54">
        <v>1.0</v>
      </c>
      <c r="G37" s="54">
        <v>0.833</v>
      </c>
      <c r="H37" s="50" t="s">
        <v>15</v>
      </c>
      <c r="I37" s="50" t="s">
        <v>1988</v>
      </c>
      <c r="J37" s="50" t="s">
        <v>37</v>
      </c>
      <c r="K37" s="44" t="str">
        <f t="shared" si="1"/>
        <v>Other Error</v>
      </c>
    </row>
    <row r="38" ht="15.75" customHeight="1">
      <c r="A38" s="50" t="s">
        <v>145</v>
      </c>
      <c r="B38" s="50" t="s">
        <v>830</v>
      </c>
      <c r="C38" s="50" t="s">
        <v>831</v>
      </c>
      <c r="D38" s="54">
        <v>0.545</v>
      </c>
      <c r="E38" s="54">
        <v>0.703</v>
      </c>
      <c r="F38" s="54">
        <v>1.0</v>
      </c>
      <c r="G38" s="54">
        <v>0.8</v>
      </c>
      <c r="H38" s="50" t="s">
        <v>15</v>
      </c>
      <c r="I38" s="50" t="s">
        <v>1989</v>
      </c>
      <c r="J38" s="50" t="s">
        <v>37</v>
      </c>
      <c r="K38" s="44" t="str">
        <f t="shared" si="1"/>
        <v>Partial Coverage</v>
      </c>
    </row>
    <row r="39" ht="15.75" customHeight="1">
      <c r="A39" s="50" t="s">
        <v>154</v>
      </c>
      <c r="B39" s="50" t="s">
        <v>838</v>
      </c>
      <c r="C39" s="50" t="s">
        <v>839</v>
      </c>
      <c r="D39" s="54">
        <v>1.0</v>
      </c>
      <c r="E39" s="54">
        <v>0.815</v>
      </c>
      <c r="F39" s="54">
        <v>1.0</v>
      </c>
      <c r="G39" s="54">
        <v>0.714</v>
      </c>
      <c r="H39" s="50" t="s">
        <v>15</v>
      </c>
      <c r="I39" s="50" t="s">
        <v>1990</v>
      </c>
      <c r="J39" s="50" t="s">
        <v>37</v>
      </c>
      <c r="K39" s="44" t="str">
        <f t="shared" si="1"/>
        <v>Other Error</v>
      </c>
    </row>
    <row r="40" ht="15.75" customHeight="1">
      <c r="A40" s="50" t="s">
        <v>217</v>
      </c>
      <c r="B40" s="50" t="s">
        <v>881</v>
      </c>
      <c r="C40" s="50" t="s">
        <v>882</v>
      </c>
      <c r="D40" s="54">
        <v>0.875</v>
      </c>
      <c r="E40" s="54">
        <v>0.934</v>
      </c>
      <c r="F40" s="54">
        <v>0.0</v>
      </c>
      <c r="G40" s="54">
        <v>0.0</v>
      </c>
      <c r="H40" s="50" t="s">
        <v>16</v>
      </c>
      <c r="I40" s="50" t="s">
        <v>1991</v>
      </c>
      <c r="J40" s="50" t="s">
        <v>37</v>
      </c>
      <c r="K40" s="44" t="str">
        <f t="shared" si="1"/>
        <v>Other Error</v>
      </c>
    </row>
    <row r="41" ht="15.75" customHeight="1">
      <c r="A41" s="50" t="s">
        <v>154</v>
      </c>
      <c r="B41" s="50" t="s">
        <v>1157</v>
      </c>
      <c r="C41" s="50" t="s">
        <v>1158</v>
      </c>
      <c r="D41" s="54">
        <v>1.0</v>
      </c>
      <c r="E41" s="54">
        <v>0.949</v>
      </c>
      <c r="F41" s="54">
        <v>1.0</v>
      </c>
      <c r="G41" s="54">
        <v>0.833</v>
      </c>
      <c r="H41" s="50" t="s">
        <v>15</v>
      </c>
      <c r="I41" s="50" t="s">
        <v>1992</v>
      </c>
      <c r="J41" s="50" t="s">
        <v>37</v>
      </c>
      <c r="K41" s="44" t="str">
        <f t="shared" si="1"/>
        <v>Other Error</v>
      </c>
    </row>
    <row r="42" ht="15.75" customHeight="1">
      <c r="A42" s="50" t="s">
        <v>199</v>
      </c>
      <c r="B42" s="50" t="s">
        <v>1187</v>
      </c>
      <c r="C42" s="50" t="s">
        <v>1188</v>
      </c>
      <c r="D42" s="54">
        <v>1.0</v>
      </c>
      <c r="E42" s="54">
        <v>0.987</v>
      </c>
      <c r="F42" s="54">
        <v>0.333</v>
      </c>
      <c r="G42" s="54">
        <v>0.833</v>
      </c>
      <c r="H42" s="50" t="s">
        <v>16</v>
      </c>
      <c r="I42" s="50" t="s">
        <v>1993</v>
      </c>
      <c r="J42" s="50" t="s">
        <v>37</v>
      </c>
      <c r="K42" s="44" t="str">
        <f t="shared" si="1"/>
        <v>Other Error</v>
      </c>
    </row>
    <row r="43" ht="15.75" customHeight="1">
      <c r="A43" s="50" t="s">
        <v>274</v>
      </c>
      <c r="B43" s="50" t="s">
        <v>1237</v>
      </c>
      <c r="C43" s="50" t="s">
        <v>1238</v>
      </c>
      <c r="D43" s="54">
        <v>0.769</v>
      </c>
      <c r="E43" s="54">
        <v>0.675</v>
      </c>
      <c r="F43" s="54">
        <v>0.833</v>
      </c>
      <c r="G43" s="54">
        <v>0.8</v>
      </c>
      <c r="H43" s="50" t="s">
        <v>17</v>
      </c>
      <c r="I43" s="50" t="s">
        <v>1994</v>
      </c>
      <c r="J43" s="50" t="s">
        <v>37</v>
      </c>
      <c r="K43" s="44" t="str">
        <f t="shared" si="1"/>
        <v>Partial Coverage</v>
      </c>
    </row>
    <row r="44" ht="15.75" customHeight="1">
      <c r="A44" s="50" t="s">
        <v>64</v>
      </c>
      <c r="B44" s="50" t="s">
        <v>939</v>
      </c>
      <c r="C44" s="50" t="s">
        <v>940</v>
      </c>
      <c r="D44" s="54">
        <v>0.9</v>
      </c>
      <c r="E44" s="54">
        <v>0.711</v>
      </c>
      <c r="F44" s="54">
        <v>0.478</v>
      </c>
      <c r="G44" s="54">
        <v>0.2</v>
      </c>
      <c r="H44" s="50" t="s">
        <v>14</v>
      </c>
      <c r="I44" s="50" t="s">
        <v>1995</v>
      </c>
      <c r="J44" s="50" t="s">
        <v>37</v>
      </c>
      <c r="K44" s="44" t="str">
        <f t="shared" si="1"/>
        <v>Other Error</v>
      </c>
    </row>
    <row r="45" ht="15.75" customHeight="1">
      <c r="A45" s="50" t="s">
        <v>67</v>
      </c>
      <c r="B45" s="50" t="s">
        <v>941</v>
      </c>
      <c r="C45" s="50" t="s">
        <v>942</v>
      </c>
      <c r="D45" s="54">
        <v>0.931</v>
      </c>
      <c r="E45" s="54">
        <v>0.842</v>
      </c>
      <c r="F45" s="54">
        <v>1.0</v>
      </c>
      <c r="G45" s="54">
        <v>0.6</v>
      </c>
      <c r="H45" s="50" t="s">
        <v>14</v>
      </c>
      <c r="I45" s="50" t="s">
        <v>1996</v>
      </c>
      <c r="J45" s="50" t="s">
        <v>37</v>
      </c>
      <c r="K45" s="44" t="str">
        <f t="shared" si="1"/>
        <v>Other Error</v>
      </c>
    </row>
    <row r="46" ht="15.75" customHeight="1">
      <c r="A46" s="50" t="s">
        <v>115</v>
      </c>
      <c r="B46" s="50" t="s">
        <v>965</v>
      </c>
      <c r="C46" s="50" t="s">
        <v>966</v>
      </c>
      <c r="D46" s="54">
        <v>0.733</v>
      </c>
      <c r="E46" s="54">
        <v>0.979</v>
      </c>
      <c r="F46" s="54">
        <v>1.0</v>
      </c>
      <c r="G46" s="54">
        <v>0.8</v>
      </c>
      <c r="H46" s="50" t="s">
        <v>14</v>
      </c>
      <c r="I46" s="50" t="s">
        <v>1997</v>
      </c>
      <c r="J46" s="50" t="s">
        <v>37</v>
      </c>
      <c r="K46" s="44" t="str">
        <f t="shared" si="1"/>
        <v>Other Error</v>
      </c>
    </row>
    <row r="47" ht="15.75" customHeight="1">
      <c r="A47" s="50" t="s">
        <v>103</v>
      </c>
      <c r="B47" s="50" t="s">
        <v>967</v>
      </c>
      <c r="C47" s="50" t="s">
        <v>968</v>
      </c>
      <c r="D47" s="54">
        <v>1.0</v>
      </c>
      <c r="E47" s="54">
        <v>0.976</v>
      </c>
      <c r="F47" s="54">
        <v>1.0</v>
      </c>
      <c r="G47" s="54">
        <v>0.8</v>
      </c>
      <c r="H47" s="50" t="s">
        <v>15</v>
      </c>
      <c r="I47" s="50" t="s">
        <v>1998</v>
      </c>
      <c r="J47" s="50" t="s">
        <v>37</v>
      </c>
      <c r="K47" s="44" t="str">
        <f t="shared" si="1"/>
        <v>Other Error</v>
      </c>
    </row>
    <row r="48" ht="15.75" customHeight="1">
      <c r="A48" s="50" t="s">
        <v>112</v>
      </c>
      <c r="B48" s="50" t="s">
        <v>971</v>
      </c>
      <c r="C48" s="50" t="s">
        <v>972</v>
      </c>
      <c r="D48" s="54">
        <v>1.0</v>
      </c>
      <c r="E48" s="54">
        <v>0.987</v>
      </c>
      <c r="F48" s="54">
        <v>1.0</v>
      </c>
      <c r="G48" s="54">
        <v>1.0</v>
      </c>
      <c r="H48" s="50" t="s">
        <v>15</v>
      </c>
      <c r="I48" s="50" t="s">
        <v>1999</v>
      </c>
      <c r="J48" s="50" t="s">
        <v>37</v>
      </c>
      <c r="K48" s="44" t="str">
        <f t="shared" si="1"/>
        <v>Other Error</v>
      </c>
    </row>
    <row r="49" ht="15.75" customHeight="1">
      <c r="A49" s="50" t="s">
        <v>106</v>
      </c>
      <c r="B49" s="50" t="s">
        <v>973</v>
      </c>
      <c r="C49" s="50" t="s">
        <v>974</v>
      </c>
      <c r="D49" s="54">
        <v>0.875</v>
      </c>
      <c r="E49" s="54">
        <v>0.998</v>
      </c>
      <c r="F49" s="54">
        <v>0.45</v>
      </c>
      <c r="G49" s="54">
        <v>0.286</v>
      </c>
      <c r="H49" s="50" t="s">
        <v>15</v>
      </c>
      <c r="I49" s="50" t="s">
        <v>2000</v>
      </c>
      <c r="J49" s="50" t="s">
        <v>37</v>
      </c>
      <c r="K49" s="44" t="str">
        <f t="shared" si="1"/>
        <v>Other Error</v>
      </c>
    </row>
    <row r="50" ht="15.75" customHeight="1">
      <c r="A50" s="50" t="s">
        <v>124</v>
      </c>
      <c r="B50" s="50" t="s">
        <v>979</v>
      </c>
      <c r="C50" s="50" t="s">
        <v>980</v>
      </c>
      <c r="D50" s="54">
        <v>0.944</v>
      </c>
      <c r="E50" s="54">
        <v>0.909</v>
      </c>
      <c r="F50" s="54">
        <v>0.804</v>
      </c>
      <c r="G50" s="54">
        <v>0.8</v>
      </c>
      <c r="H50" s="50" t="s">
        <v>15</v>
      </c>
      <c r="I50" s="50" t="s">
        <v>2001</v>
      </c>
      <c r="J50" s="50" t="s">
        <v>37</v>
      </c>
      <c r="K50" s="44" t="str">
        <f t="shared" si="1"/>
        <v>Other Error</v>
      </c>
    </row>
    <row r="51" ht="15.75" customHeight="1">
      <c r="A51" s="50" t="s">
        <v>139</v>
      </c>
      <c r="B51" s="50" t="s">
        <v>989</v>
      </c>
      <c r="C51" s="50" t="s">
        <v>990</v>
      </c>
      <c r="D51" s="54">
        <v>0.6</v>
      </c>
      <c r="E51" s="54">
        <v>0.916</v>
      </c>
      <c r="F51" s="54">
        <v>1.0</v>
      </c>
      <c r="G51" s="54">
        <v>1.0</v>
      </c>
      <c r="H51" s="50" t="s">
        <v>15</v>
      </c>
      <c r="I51" s="50" t="s">
        <v>2002</v>
      </c>
      <c r="J51" s="50" t="s">
        <v>37</v>
      </c>
      <c r="K51" s="44" t="str">
        <f t="shared" si="1"/>
        <v>Other Error</v>
      </c>
    </row>
    <row r="52" ht="15.75" customHeight="1">
      <c r="A52" s="50" t="s">
        <v>196</v>
      </c>
      <c r="B52" s="50" t="s">
        <v>1025</v>
      </c>
      <c r="C52" s="50" t="s">
        <v>1026</v>
      </c>
      <c r="D52" s="54">
        <v>0.643</v>
      </c>
      <c r="E52" s="54">
        <v>0.945</v>
      </c>
      <c r="F52" s="54">
        <v>0.756</v>
      </c>
      <c r="G52" s="54">
        <v>0.5</v>
      </c>
      <c r="H52" s="50" t="s">
        <v>16</v>
      </c>
      <c r="I52" s="50" t="s">
        <v>2003</v>
      </c>
      <c r="J52" s="50" t="s">
        <v>37</v>
      </c>
      <c r="K52" s="44" t="str">
        <f t="shared" si="1"/>
        <v>Other Error</v>
      </c>
    </row>
    <row r="53" ht="15.75" customHeight="1">
      <c r="A53" s="50" t="s">
        <v>220</v>
      </c>
      <c r="B53" s="50" t="s">
        <v>1039</v>
      </c>
      <c r="C53" s="50" t="s">
        <v>1040</v>
      </c>
      <c r="D53" s="54">
        <v>0.889</v>
      </c>
      <c r="E53" s="54">
        <v>0.932</v>
      </c>
      <c r="F53" s="54">
        <v>1.0</v>
      </c>
      <c r="G53" s="54">
        <v>1.0</v>
      </c>
      <c r="H53" s="50" t="s">
        <v>16</v>
      </c>
      <c r="I53" s="50" t="s">
        <v>2004</v>
      </c>
      <c r="J53" s="50" t="s">
        <v>37</v>
      </c>
      <c r="K53" s="44" t="str">
        <f t="shared" si="1"/>
        <v>Other Error</v>
      </c>
    </row>
    <row r="54" ht="15.75" customHeight="1">
      <c r="A54" s="50" t="s">
        <v>184</v>
      </c>
      <c r="B54" s="50" t="s">
        <v>1043</v>
      </c>
      <c r="C54" s="50" t="s">
        <v>1044</v>
      </c>
      <c r="D54" s="54">
        <v>0.733</v>
      </c>
      <c r="E54" s="54">
        <v>0.938</v>
      </c>
      <c r="F54" s="54">
        <v>0.95</v>
      </c>
      <c r="G54" s="54">
        <v>0.4</v>
      </c>
      <c r="H54" s="50" t="s">
        <v>16</v>
      </c>
      <c r="I54" s="50" t="s">
        <v>2005</v>
      </c>
      <c r="J54" s="50" t="s">
        <v>37</v>
      </c>
      <c r="K54" s="44" t="str">
        <f t="shared" si="1"/>
        <v>Other Error</v>
      </c>
    </row>
    <row r="55" ht="15.75" customHeight="1">
      <c r="A55" s="50" t="s">
        <v>229</v>
      </c>
      <c r="B55" s="50" t="s">
        <v>1047</v>
      </c>
      <c r="C55" s="50" t="s">
        <v>1048</v>
      </c>
      <c r="D55" s="54">
        <v>1.0</v>
      </c>
      <c r="E55" s="54">
        <v>0.992</v>
      </c>
      <c r="F55" s="54">
        <v>0.0</v>
      </c>
      <c r="G55" s="54">
        <v>0.833</v>
      </c>
      <c r="H55" s="50" t="s">
        <v>17</v>
      </c>
      <c r="I55" s="50" t="s">
        <v>2006</v>
      </c>
      <c r="J55" s="50" t="s">
        <v>37</v>
      </c>
      <c r="K55" s="44" t="str">
        <f t="shared" si="1"/>
        <v>Other Error</v>
      </c>
    </row>
    <row r="56" ht="15.75" customHeight="1">
      <c r="A56" s="50" t="s">
        <v>232</v>
      </c>
      <c r="B56" s="50" t="s">
        <v>1049</v>
      </c>
      <c r="C56" s="50" t="s">
        <v>1050</v>
      </c>
      <c r="D56" s="54">
        <v>1.0</v>
      </c>
      <c r="E56" s="54">
        <v>0.992</v>
      </c>
      <c r="F56" s="54">
        <v>0.333</v>
      </c>
      <c r="G56" s="54">
        <v>1.0</v>
      </c>
      <c r="H56" s="50" t="s">
        <v>17</v>
      </c>
      <c r="I56" s="50" t="s">
        <v>2007</v>
      </c>
      <c r="J56" s="50" t="s">
        <v>37</v>
      </c>
      <c r="K56" s="44" t="str">
        <f t="shared" si="1"/>
        <v>Other Error</v>
      </c>
    </row>
    <row r="57" ht="15.75" customHeight="1">
      <c r="A57" s="50" t="s">
        <v>256</v>
      </c>
      <c r="B57" s="50" t="s">
        <v>1065</v>
      </c>
      <c r="C57" s="50" t="s">
        <v>1066</v>
      </c>
      <c r="D57" s="54">
        <v>1.0</v>
      </c>
      <c r="E57" s="54">
        <v>1.0</v>
      </c>
      <c r="F57" s="54">
        <v>0.533</v>
      </c>
      <c r="G57" s="54">
        <v>0.75</v>
      </c>
      <c r="H57" s="50" t="s">
        <v>17</v>
      </c>
      <c r="I57" s="50" t="s">
        <v>2008</v>
      </c>
      <c r="J57" s="50" t="s">
        <v>37</v>
      </c>
      <c r="K57" s="44" t="str">
        <f t="shared" si="1"/>
        <v>Other Error</v>
      </c>
    </row>
    <row r="58" ht="15.75" customHeight="1">
      <c r="A58" s="50" t="s">
        <v>268</v>
      </c>
      <c r="B58" s="50" t="s">
        <v>1073</v>
      </c>
      <c r="C58" s="50" t="s">
        <v>1074</v>
      </c>
      <c r="D58" s="54">
        <v>0.81</v>
      </c>
      <c r="E58" s="54">
        <v>0.859</v>
      </c>
      <c r="F58" s="54">
        <v>1.0</v>
      </c>
      <c r="G58" s="54">
        <v>1.0</v>
      </c>
      <c r="H58" s="50" t="s">
        <v>17</v>
      </c>
      <c r="I58" s="50" t="s">
        <v>2009</v>
      </c>
      <c r="J58" s="50" t="s">
        <v>37</v>
      </c>
      <c r="K58" s="44" t="str">
        <f t="shared" si="1"/>
        <v>Other Error</v>
      </c>
    </row>
    <row r="59" ht="15.75" customHeight="1">
      <c r="A59" s="50" t="s">
        <v>271</v>
      </c>
      <c r="B59" s="50" t="s">
        <v>1075</v>
      </c>
      <c r="C59" s="50" t="s">
        <v>1076</v>
      </c>
      <c r="D59" s="54">
        <v>0.765</v>
      </c>
      <c r="E59" s="54">
        <v>0.906</v>
      </c>
      <c r="F59" s="54">
        <v>1.0</v>
      </c>
      <c r="G59" s="54">
        <v>0.571</v>
      </c>
      <c r="H59" s="50" t="s">
        <v>17</v>
      </c>
      <c r="I59" s="50" t="s">
        <v>2010</v>
      </c>
      <c r="J59" s="50" t="s">
        <v>37</v>
      </c>
      <c r="K59" s="44" t="str">
        <f t="shared" si="1"/>
        <v>Other Error</v>
      </c>
    </row>
    <row r="60" ht="15.75" customHeight="1">
      <c r="A60" s="50" t="s">
        <v>277</v>
      </c>
      <c r="B60" s="50" t="s">
        <v>1079</v>
      </c>
      <c r="C60" s="50" t="s">
        <v>1080</v>
      </c>
      <c r="D60" s="54">
        <v>0.875</v>
      </c>
      <c r="E60" s="54">
        <v>0.721</v>
      </c>
      <c r="F60" s="54">
        <v>0.325</v>
      </c>
      <c r="G60" s="54">
        <v>1.0</v>
      </c>
      <c r="H60" s="50" t="s">
        <v>17</v>
      </c>
      <c r="I60" s="50" t="s">
        <v>2011</v>
      </c>
      <c r="J60" s="50" t="s">
        <v>37</v>
      </c>
      <c r="K60" s="44" t="str">
        <f t="shared" si="1"/>
        <v>Dimension Omission</v>
      </c>
    </row>
    <row r="61" ht="15.75" customHeight="1">
      <c r="A61" s="50" t="s">
        <v>112</v>
      </c>
      <c r="B61" s="50" t="s">
        <v>1291</v>
      </c>
      <c r="C61" s="50" t="s">
        <v>1292</v>
      </c>
      <c r="D61" s="54">
        <v>1.0</v>
      </c>
      <c r="E61" s="54">
        <v>0.987</v>
      </c>
      <c r="F61" s="54">
        <v>1.0</v>
      </c>
      <c r="G61" s="54">
        <v>0.8</v>
      </c>
      <c r="H61" s="50" t="s">
        <v>15</v>
      </c>
      <c r="I61" s="50" t="s">
        <v>2012</v>
      </c>
      <c r="J61" s="50" t="s">
        <v>37</v>
      </c>
      <c r="K61" s="44" t="str">
        <f t="shared" si="1"/>
        <v>Other Error</v>
      </c>
    </row>
    <row r="62" ht="15.75" customHeight="1">
      <c r="A62" s="50" t="s">
        <v>118</v>
      </c>
      <c r="B62" s="50" t="s">
        <v>1293</v>
      </c>
      <c r="C62" s="50" t="s">
        <v>1294</v>
      </c>
      <c r="D62" s="54">
        <v>0.727</v>
      </c>
      <c r="E62" s="54">
        <v>0.591</v>
      </c>
      <c r="F62" s="54">
        <v>0.887</v>
      </c>
      <c r="G62" s="54">
        <v>0.857</v>
      </c>
      <c r="H62" s="50" t="s">
        <v>15</v>
      </c>
      <c r="I62" s="50" t="s">
        <v>2013</v>
      </c>
      <c r="J62" s="50" t="s">
        <v>37</v>
      </c>
      <c r="K62" s="44" t="str">
        <f t="shared" si="1"/>
        <v>Partial Coverage</v>
      </c>
    </row>
    <row r="63" ht="15.75" customHeight="1">
      <c r="A63" s="50" t="s">
        <v>124</v>
      </c>
      <c r="B63" s="50" t="s">
        <v>1297</v>
      </c>
      <c r="C63" s="50" t="s">
        <v>1298</v>
      </c>
      <c r="D63" s="54">
        <v>1.0</v>
      </c>
      <c r="E63" s="54">
        <v>0.996</v>
      </c>
      <c r="F63" s="54">
        <v>1.0</v>
      </c>
      <c r="G63" s="54">
        <v>0.8</v>
      </c>
      <c r="H63" s="50" t="s">
        <v>15</v>
      </c>
      <c r="I63" s="50" t="s">
        <v>2014</v>
      </c>
      <c r="J63" s="50" t="s">
        <v>37</v>
      </c>
      <c r="K63" s="44" t="str">
        <f t="shared" si="1"/>
        <v>Other Error</v>
      </c>
    </row>
    <row r="64" ht="15.75" customHeight="1">
      <c r="A64" s="50" t="s">
        <v>127</v>
      </c>
      <c r="B64" s="50" t="s">
        <v>1299</v>
      </c>
      <c r="C64" s="50" t="s">
        <v>1300</v>
      </c>
      <c r="D64" s="54">
        <v>0.857</v>
      </c>
      <c r="E64" s="54">
        <v>0.756</v>
      </c>
      <c r="F64" s="54">
        <v>1.0</v>
      </c>
      <c r="G64" s="54">
        <v>1.0</v>
      </c>
      <c r="H64" s="50" t="s">
        <v>15</v>
      </c>
      <c r="I64" s="50" t="s">
        <v>2015</v>
      </c>
      <c r="J64" s="50" t="s">
        <v>37</v>
      </c>
      <c r="K64" s="44" t="str">
        <f t="shared" si="1"/>
        <v>Dimension Omission</v>
      </c>
    </row>
    <row r="65" ht="15.75" customHeight="1">
      <c r="A65" s="50" t="s">
        <v>133</v>
      </c>
      <c r="B65" s="50" t="s">
        <v>1308</v>
      </c>
      <c r="C65" s="50" t="s">
        <v>1309</v>
      </c>
      <c r="D65" s="54">
        <v>0.714</v>
      </c>
      <c r="E65" s="54">
        <v>0.873</v>
      </c>
      <c r="F65" s="54">
        <v>1.0</v>
      </c>
      <c r="G65" s="54">
        <v>1.0</v>
      </c>
      <c r="H65" s="50" t="s">
        <v>15</v>
      </c>
      <c r="I65" s="50" t="s">
        <v>2016</v>
      </c>
      <c r="J65" s="50" t="s">
        <v>37</v>
      </c>
      <c r="K65" s="44" t="str">
        <f t="shared" si="1"/>
        <v>Other Error</v>
      </c>
    </row>
    <row r="66" ht="15.75" customHeight="1">
      <c r="A66" s="50" t="s">
        <v>166</v>
      </c>
      <c r="B66" s="50" t="s">
        <v>1326</v>
      </c>
      <c r="C66" s="50" t="s">
        <v>1327</v>
      </c>
      <c r="D66" s="54">
        <v>0.667</v>
      </c>
      <c r="E66" s="54">
        <v>0.986</v>
      </c>
      <c r="F66" s="54">
        <v>1.0</v>
      </c>
      <c r="G66" s="54">
        <v>0.667</v>
      </c>
      <c r="H66" s="50" t="s">
        <v>16</v>
      </c>
      <c r="I66" s="50" t="s">
        <v>2017</v>
      </c>
      <c r="J66" s="50" t="s">
        <v>37</v>
      </c>
      <c r="K66" s="44" t="str">
        <f t="shared" si="1"/>
        <v>Other Error</v>
      </c>
    </row>
    <row r="67" ht="15.75" customHeight="1">
      <c r="A67" s="50" t="s">
        <v>175</v>
      </c>
      <c r="B67" s="50" t="s">
        <v>1332</v>
      </c>
      <c r="C67" s="50" t="s">
        <v>1333</v>
      </c>
      <c r="D67" s="54">
        <v>1.0</v>
      </c>
      <c r="E67" s="54">
        <v>0.888</v>
      </c>
      <c r="F67" s="54">
        <v>0.833</v>
      </c>
      <c r="G67" s="54">
        <v>0.1</v>
      </c>
      <c r="H67" s="50" t="s">
        <v>16</v>
      </c>
      <c r="I67" s="50" t="s">
        <v>2018</v>
      </c>
      <c r="J67" s="50" t="s">
        <v>37</v>
      </c>
      <c r="K67" s="44" t="str">
        <f t="shared" si="1"/>
        <v>Other Error</v>
      </c>
    </row>
    <row r="68" ht="15.75" customHeight="1">
      <c r="A68" s="50" t="s">
        <v>214</v>
      </c>
      <c r="B68" s="50" t="s">
        <v>1358</v>
      </c>
      <c r="C68" s="50" t="s">
        <v>1359</v>
      </c>
      <c r="D68" s="54">
        <v>0.917</v>
      </c>
      <c r="E68" s="54">
        <v>0.946</v>
      </c>
      <c r="F68" s="54">
        <v>1.0</v>
      </c>
      <c r="G68" s="54">
        <v>1.0</v>
      </c>
      <c r="H68" s="50" t="s">
        <v>16</v>
      </c>
      <c r="I68" s="50" t="s">
        <v>2019</v>
      </c>
      <c r="J68" s="50" t="s">
        <v>37</v>
      </c>
      <c r="K68" s="44" t="str">
        <f t="shared" si="1"/>
        <v>Other Error</v>
      </c>
    </row>
    <row r="69" ht="15.75" customHeight="1">
      <c r="A69" s="50" t="s">
        <v>226</v>
      </c>
      <c r="B69" s="50" t="s">
        <v>1366</v>
      </c>
      <c r="C69" s="50" t="s">
        <v>1367</v>
      </c>
      <c r="D69" s="54">
        <v>0.667</v>
      </c>
      <c r="E69" s="54">
        <v>0.991</v>
      </c>
      <c r="F69" s="54">
        <v>1.0</v>
      </c>
      <c r="G69" s="54">
        <v>0.0</v>
      </c>
      <c r="H69" s="50" t="s">
        <v>17</v>
      </c>
      <c r="I69" s="50" t="s">
        <v>2020</v>
      </c>
      <c r="J69" s="50" t="s">
        <v>37</v>
      </c>
      <c r="K69" s="44" t="str">
        <f t="shared" si="1"/>
        <v>Other Error</v>
      </c>
    </row>
    <row r="70" ht="15.75" customHeight="1">
      <c r="A70" s="50" t="s">
        <v>244</v>
      </c>
      <c r="B70" s="50" t="s">
        <v>1378</v>
      </c>
      <c r="C70" s="50" t="s">
        <v>1379</v>
      </c>
      <c r="D70" s="54">
        <v>1.0</v>
      </c>
      <c r="E70" s="54">
        <v>0.999</v>
      </c>
      <c r="F70" s="54">
        <v>0.333</v>
      </c>
      <c r="G70" s="54">
        <v>1.0</v>
      </c>
      <c r="H70" s="50" t="s">
        <v>17</v>
      </c>
      <c r="I70" s="50" t="s">
        <v>2021</v>
      </c>
      <c r="J70" s="50" t="s">
        <v>37</v>
      </c>
      <c r="K70" s="44" t="str">
        <f t="shared" si="1"/>
        <v>Other Error</v>
      </c>
    </row>
    <row r="71" ht="15.75" customHeight="1">
      <c r="A71" s="50" t="s">
        <v>253</v>
      </c>
      <c r="B71" s="50" t="s">
        <v>1384</v>
      </c>
      <c r="C71" s="50" t="s">
        <v>1385</v>
      </c>
      <c r="D71" s="54">
        <v>0.923</v>
      </c>
      <c r="E71" s="54">
        <v>0.975</v>
      </c>
      <c r="F71" s="54">
        <v>0.25</v>
      </c>
      <c r="G71" s="54">
        <v>0.571</v>
      </c>
      <c r="H71" s="50" t="s">
        <v>17</v>
      </c>
      <c r="I71" s="50" t="s">
        <v>2022</v>
      </c>
      <c r="J71" s="50" t="s">
        <v>37</v>
      </c>
      <c r="K71" s="44" t="str">
        <f t="shared" si="1"/>
        <v>Other Error</v>
      </c>
    </row>
    <row r="72" ht="15.75" customHeight="1">
      <c r="A72" s="50" t="s">
        <v>259</v>
      </c>
      <c r="B72" s="50" t="s">
        <v>1388</v>
      </c>
      <c r="C72" s="50" t="s">
        <v>1389</v>
      </c>
      <c r="D72" s="54">
        <v>0.933</v>
      </c>
      <c r="E72" s="54">
        <v>0.996</v>
      </c>
      <c r="F72" s="54">
        <v>1.0</v>
      </c>
      <c r="G72" s="54">
        <v>0.833</v>
      </c>
      <c r="H72" s="50" t="s">
        <v>17</v>
      </c>
      <c r="I72" s="50" t="s">
        <v>2023</v>
      </c>
      <c r="J72" s="50" t="s">
        <v>37</v>
      </c>
      <c r="K72" s="44" t="str">
        <f t="shared" si="1"/>
        <v>Other Error</v>
      </c>
    </row>
    <row r="73" ht="15.75" customHeight="1">
      <c r="A73" s="50" t="s">
        <v>268</v>
      </c>
      <c r="B73" s="50" t="s">
        <v>1394</v>
      </c>
      <c r="C73" s="50" t="s">
        <v>1395</v>
      </c>
      <c r="D73" s="54">
        <v>1.0</v>
      </c>
      <c r="E73" s="54">
        <v>1.0</v>
      </c>
      <c r="F73" s="54">
        <v>0.95</v>
      </c>
      <c r="G73" s="54">
        <v>0.875</v>
      </c>
      <c r="H73" s="50" t="s">
        <v>17</v>
      </c>
      <c r="I73" s="50" t="s">
        <v>2024</v>
      </c>
      <c r="J73" s="50" t="s">
        <v>37</v>
      </c>
      <c r="K73" s="44" t="str">
        <f t="shared" si="1"/>
        <v>Other Error</v>
      </c>
    </row>
    <row r="74" ht="15.75" customHeight="1">
      <c r="A74" s="50" t="s">
        <v>277</v>
      </c>
      <c r="B74" s="50" t="s">
        <v>1400</v>
      </c>
      <c r="C74" s="50" t="s">
        <v>1401</v>
      </c>
      <c r="D74" s="54">
        <v>1.0</v>
      </c>
      <c r="E74" s="54">
        <v>0.951</v>
      </c>
      <c r="F74" s="54">
        <v>1.0</v>
      </c>
      <c r="G74" s="54">
        <v>1.0</v>
      </c>
      <c r="H74" s="50" t="s">
        <v>17</v>
      </c>
      <c r="I74" s="50" t="s">
        <v>2025</v>
      </c>
      <c r="J74" s="50" t="s">
        <v>37</v>
      </c>
      <c r="K74" s="44" t="str">
        <f t="shared" si="1"/>
        <v>Other Error</v>
      </c>
    </row>
    <row r="75" ht="15.75" customHeight="1">
      <c r="A75" s="50" t="s">
        <v>46</v>
      </c>
      <c r="B75" s="50" t="s">
        <v>47</v>
      </c>
      <c r="C75" s="50" t="s">
        <v>48</v>
      </c>
      <c r="D75" s="54">
        <v>1.0</v>
      </c>
      <c r="E75" s="54">
        <v>0.901</v>
      </c>
      <c r="F75" s="54">
        <v>1.0</v>
      </c>
      <c r="G75" s="54">
        <v>0.875</v>
      </c>
      <c r="H75" s="50" t="s">
        <v>14</v>
      </c>
      <c r="I75" s="50" t="s">
        <v>2026</v>
      </c>
      <c r="J75" s="50" t="s">
        <v>37</v>
      </c>
      <c r="K75" s="44" t="str">
        <f t="shared" si="1"/>
        <v>Other Error</v>
      </c>
    </row>
    <row r="76" ht="15.75" customHeight="1">
      <c r="A76" s="50" t="s">
        <v>103</v>
      </c>
      <c r="B76" s="50" t="s">
        <v>104</v>
      </c>
      <c r="C76" s="50" t="s">
        <v>105</v>
      </c>
      <c r="D76" s="54">
        <v>1.0</v>
      </c>
      <c r="E76" s="54">
        <v>0.987</v>
      </c>
      <c r="F76" s="54">
        <v>1.0</v>
      </c>
      <c r="G76" s="54">
        <v>1.0</v>
      </c>
      <c r="H76" s="50" t="s">
        <v>15</v>
      </c>
      <c r="I76" s="50" t="s">
        <v>2027</v>
      </c>
      <c r="J76" s="50" t="s">
        <v>37</v>
      </c>
      <c r="K76" s="44" t="str">
        <f t="shared" si="1"/>
        <v>Other Error</v>
      </c>
    </row>
    <row r="77" ht="15.75" customHeight="1">
      <c r="A77" s="50" t="s">
        <v>112</v>
      </c>
      <c r="B77" s="50" t="s">
        <v>113</v>
      </c>
      <c r="C77" s="50" t="s">
        <v>114</v>
      </c>
      <c r="D77" s="54">
        <v>0.733</v>
      </c>
      <c r="E77" s="54">
        <v>0.947</v>
      </c>
      <c r="F77" s="54">
        <v>0.833</v>
      </c>
      <c r="G77" s="54">
        <v>0.714</v>
      </c>
      <c r="H77" s="50" t="s">
        <v>15</v>
      </c>
      <c r="I77" s="50" t="s">
        <v>2028</v>
      </c>
      <c r="J77" s="50" t="s">
        <v>37</v>
      </c>
      <c r="K77" s="44" t="str">
        <f t="shared" si="1"/>
        <v>Other Error</v>
      </c>
    </row>
    <row r="78" ht="15.75" customHeight="1">
      <c r="A78" s="50" t="s">
        <v>136</v>
      </c>
      <c r="B78" s="50" t="s">
        <v>137</v>
      </c>
      <c r="C78" s="50" t="s">
        <v>138</v>
      </c>
      <c r="D78" s="54">
        <v>0.909</v>
      </c>
      <c r="E78" s="54">
        <v>0.61</v>
      </c>
      <c r="F78" s="54">
        <v>0.833</v>
      </c>
      <c r="G78" s="54">
        <v>0.8</v>
      </c>
      <c r="H78" s="50" t="s">
        <v>15</v>
      </c>
      <c r="I78" s="50" t="s">
        <v>2029</v>
      </c>
      <c r="J78" s="50" t="s">
        <v>37</v>
      </c>
      <c r="K78" s="44" t="str">
        <f t="shared" si="1"/>
        <v>Dimension Omission</v>
      </c>
    </row>
    <row r="79" ht="15.75" customHeight="1">
      <c r="A79" s="50" t="s">
        <v>139</v>
      </c>
      <c r="B79" s="50" t="s">
        <v>140</v>
      </c>
      <c r="C79" s="50" t="s">
        <v>141</v>
      </c>
      <c r="D79" s="54">
        <v>0.875</v>
      </c>
      <c r="E79" s="54">
        <v>1.0</v>
      </c>
      <c r="F79" s="54">
        <v>0.583</v>
      </c>
      <c r="G79" s="54">
        <v>0.4</v>
      </c>
      <c r="H79" s="50" t="s">
        <v>15</v>
      </c>
      <c r="I79" s="50" t="s">
        <v>2030</v>
      </c>
      <c r="J79" s="50" t="s">
        <v>37</v>
      </c>
      <c r="K79" s="44" t="str">
        <f t="shared" si="1"/>
        <v>Other Error</v>
      </c>
    </row>
    <row r="80" ht="15.75" customHeight="1">
      <c r="A80" s="50" t="s">
        <v>157</v>
      </c>
      <c r="B80" s="50" t="s">
        <v>158</v>
      </c>
      <c r="C80" s="50" t="s">
        <v>159</v>
      </c>
      <c r="D80" s="54">
        <v>1.0</v>
      </c>
      <c r="E80" s="54">
        <v>0.529</v>
      </c>
      <c r="F80" s="54">
        <v>0.583</v>
      </c>
      <c r="G80" s="54">
        <v>1.0</v>
      </c>
      <c r="H80" s="50" t="s">
        <v>15</v>
      </c>
      <c r="I80" s="50" t="s">
        <v>2031</v>
      </c>
      <c r="J80" s="50" t="s">
        <v>37</v>
      </c>
      <c r="K80" s="44" t="str">
        <f t="shared" si="1"/>
        <v>Dimension Omission</v>
      </c>
    </row>
    <row r="81" ht="15.75" customHeight="1">
      <c r="A81" s="50" t="s">
        <v>181</v>
      </c>
      <c r="B81" s="50" t="s">
        <v>182</v>
      </c>
      <c r="C81" s="50" t="s">
        <v>183</v>
      </c>
      <c r="D81" s="54">
        <v>1.0</v>
      </c>
      <c r="E81" s="54">
        <v>0.889</v>
      </c>
      <c r="F81" s="54">
        <v>1.0</v>
      </c>
      <c r="G81" s="54">
        <v>1.0</v>
      </c>
      <c r="H81" s="50" t="s">
        <v>16</v>
      </c>
      <c r="I81" s="50" t="s">
        <v>2032</v>
      </c>
      <c r="J81" s="50" t="s">
        <v>37</v>
      </c>
      <c r="K81" s="44" t="str">
        <f t="shared" si="1"/>
        <v>Other Error</v>
      </c>
    </row>
    <row r="82" ht="15.75" customHeight="1">
      <c r="A82" s="50" t="s">
        <v>214</v>
      </c>
      <c r="B82" s="50" t="s">
        <v>215</v>
      </c>
      <c r="C82" s="50" t="s">
        <v>216</v>
      </c>
      <c r="D82" s="54">
        <v>1.0</v>
      </c>
      <c r="E82" s="54">
        <v>0.741</v>
      </c>
      <c r="F82" s="54">
        <v>0.833</v>
      </c>
      <c r="G82" s="54">
        <v>1.0</v>
      </c>
      <c r="H82" s="50" t="s">
        <v>16</v>
      </c>
      <c r="I82" s="50" t="s">
        <v>2033</v>
      </c>
      <c r="J82" s="50" t="s">
        <v>37</v>
      </c>
      <c r="K82" s="44" t="str">
        <f t="shared" si="1"/>
        <v>Dimension Omission</v>
      </c>
    </row>
    <row r="83" ht="15.75" customHeight="1">
      <c r="A83" s="50" t="s">
        <v>97</v>
      </c>
      <c r="B83" s="50" t="s">
        <v>642</v>
      </c>
      <c r="C83" s="50" t="s">
        <v>643</v>
      </c>
      <c r="D83" s="54">
        <v>0.625</v>
      </c>
      <c r="E83" s="54">
        <v>0.902</v>
      </c>
      <c r="F83" s="54">
        <v>0.589</v>
      </c>
      <c r="G83" s="54">
        <v>0.75</v>
      </c>
      <c r="H83" s="50" t="s">
        <v>14</v>
      </c>
      <c r="I83" s="50" t="s">
        <v>2034</v>
      </c>
      <c r="J83" s="50" t="s">
        <v>37</v>
      </c>
      <c r="K83" s="44" t="str">
        <f t="shared" si="1"/>
        <v>Other Error</v>
      </c>
    </row>
    <row r="84" ht="15.75" customHeight="1">
      <c r="A84" s="50" t="s">
        <v>112</v>
      </c>
      <c r="B84" s="50" t="s">
        <v>654</v>
      </c>
      <c r="C84" s="50" t="s">
        <v>655</v>
      </c>
      <c r="D84" s="54">
        <v>0.667</v>
      </c>
      <c r="E84" s="54">
        <v>0.947</v>
      </c>
      <c r="F84" s="54">
        <v>1.0</v>
      </c>
      <c r="G84" s="54">
        <v>0.167</v>
      </c>
      <c r="H84" s="50" t="s">
        <v>15</v>
      </c>
      <c r="I84" s="50" t="s">
        <v>2035</v>
      </c>
      <c r="J84" s="50" t="s">
        <v>37</v>
      </c>
      <c r="K84" s="44" t="str">
        <f t="shared" si="1"/>
        <v>Other Error</v>
      </c>
    </row>
    <row r="85" ht="15.75" customHeight="1">
      <c r="A85" s="50" t="s">
        <v>136</v>
      </c>
      <c r="B85" s="50" t="s">
        <v>666</v>
      </c>
      <c r="C85" s="50" t="s">
        <v>667</v>
      </c>
      <c r="D85" s="54">
        <v>0.75</v>
      </c>
      <c r="E85" s="54">
        <v>0.996</v>
      </c>
      <c r="F85" s="54">
        <v>1.0</v>
      </c>
      <c r="G85" s="54">
        <v>0.75</v>
      </c>
      <c r="H85" s="50" t="s">
        <v>15</v>
      </c>
      <c r="I85" s="50" t="s">
        <v>2036</v>
      </c>
      <c r="J85" s="50" t="s">
        <v>37</v>
      </c>
      <c r="K85" s="44" t="str">
        <f t="shared" si="1"/>
        <v>Other Error</v>
      </c>
    </row>
    <row r="86" ht="15.75" customHeight="1">
      <c r="A86" s="50" t="s">
        <v>133</v>
      </c>
      <c r="B86" s="50" t="s">
        <v>686</v>
      </c>
      <c r="C86" s="50" t="s">
        <v>687</v>
      </c>
      <c r="D86" s="54">
        <v>0.5</v>
      </c>
      <c r="E86" s="54">
        <v>0.905</v>
      </c>
      <c r="F86" s="54">
        <v>0.804</v>
      </c>
      <c r="G86" s="54">
        <v>0.667</v>
      </c>
      <c r="H86" s="50" t="s">
        <v>15</v>
      </c>
      <c r="I86" s="50" t="s">
        <v>2037</v>
      </c>
      <c r="J86" s="50" t="s">
        <v>37</v>
      </c>
      <c r="K86" s="44" t="str">
        <f t="shared" si="1"/>
        <v>Other Error</v>
      </c>
    </row>
    <row r="87" ht="15.75" customHeight="1">
      <c r="A87" s="50" t="s">
        <v>169</v>
      </c>
      <c r="B87" s="50" t="s">
        <v>690</v>
      </c>
      <c r="C87" s="50" t="s">
        <v>691</v>
      </c>
      <c r="D87" s="54">
        <v>0.5</v>
      </c>
      <c r="E87" s="54">
        <v>0.693</v>
      </c>
      <c r="F87" s="54">
        <v>0.45</v>
      </c>
      <c r="G87" s="54">
        <v>0.6</v>
      </c>
      <c r="H87" s="50" t="s">
        <v>16</v>
      </c>
      <c r="I87" s="50" t="s">
        <v>2038</v>
      </c>
      <c r="J87" s="50" t="s">
        <v>37</v>
      </c>
      <c r="K87" s="44" t="str">
        <f t="shared" si="1"/>
        <v>Partial Coverage</v>
      </c>
    </row>
    <row r="88" ht="15.75" customHeight="1">
      <c r="A88" s="50" t="s">
        <v>187</v>
      </c>
      <c r="B88" s="50" t="s">
        <v>702</v>
      </c>
      <c r="C88" s="50" t="s">
        <v>703</v>
      </c>
      <c r="D88" s="54">
        <v>0.667</v>
      </c>
      <c r="E88" s="54">
        <v>0.754</v>
      </c>
      <c r="F88" s="54">
        <v>1.0</v>
      </c>
      <c r="G88" s="54">
        <v>1.0</v>
      </c>
      <c r="H88" s="50" t="s">
        <v>16</v>
      </c>
      <c r="I88" s="50" t="s">
        <v>2039</v>
      </c>
      <c r="J88" s="50" t="s">
        <v>37</v>
      </c>
      <c r="K88" s="44" t="str">
        <f t="shared" si="1"/>
        <v>Partial Coverage</v>
      </c>
    </row>
    <row r="89" ht="15.75" customHeight="1">
      <c r="A89" s="50" t="s">
        <v>199</v>
      </c>
      <c r="B89" s="50" t="s">
        <v>706</v>
      </c>
      <c r="C89" s="50" t="s">
        <v>707</v>
      </c>
      <c r="D89" s="54">
        <v>0.583</v>
      </c>
      <c r="E89" s="54">
        <v>0.862</v>
      </c>
      <c r="F89" s="54">
        <v>0.589</v>
      </c>
      <c r="G89" s="54">
        <v>1.0</v>
      </c>
      <c r="H89" s="50" t="s">
        <v>16</v>
      </c>
      <c r="I89" s="50" t="s">
        <v>2040</v>
      </c>
      <c r="J89" s="50" t="s">
        <v>37</v>
      </c>
      <c r="K89" s="44" t="str">
        <f t="shared" si="1"/>
        <v>Other Error</v>
      </c>
    </row>
    <row r="90" ht="15.75" customHeight="1">
      <c r="A90" s="50" t="s">
        <v>202</v>
      </c>
      <c r="B90" s="50" t="s">
        <v>708</v>
      </c>
      <c r="C90" s="50" t="s">
        <v>709</v>
      </c>
      <c r="D90" s="54">
        <v>0.571</v>
      </c>
      <c r="E90" s="54">
        <v>0.708</v>
      </c>
      <c r="F90" s="54">
        <v>0.25</v>
      </c>
      <c r="G90" s="54">
        <v>0.0</v>
      </c>
      <c r="H90" s="50" t="s">
        <v>16</v>
      </c>
      <c r="I90" s="50" t="s">
        <v>2041</v>
      </c>
      <c r="J90" s="50" t="s">
        <v>37</v>
      </c>
      <c r="K90" s="44" t="str">
        <f t="shared" si="1"/>
        <v>Other Error</v>
      </c>
    </row>
    <row r="91" ht="15.75" customHeight="1">
      <c r="A91" s="50" t="s">
        <v>196</v>
      </c>
      <c r="B91" s="50" t="s">
        <v>714</v>
      </c>
      <c r="C91" s="50" t="s">
        <v>715</v>
      </c>
      <c r="D91" s="54">
        <v>0.615</v>
      </c>
      <c r="E91" s="54">
        <v>0.711</v>
      </c>
      <c r="F91" s="54">
        <v>1.0</v>
      </c>
      <c r="G91" s="54">
        <v>1.0</v>
      </c>
      <c r="H91" s="50" t="s">
        <v>16</v>
      </c>
      <c r="I91" s="50" t="s">
        <v>2042</v>
      </c>
      <c r="J91" s="50" t="s">
        <v>37</v>
      </c>
      <c r="K91" s="44" t="str">
        <f t="shared" si="1"/>
        <v>Partial Coverage</v>
      </c>
    </row>
    <row r="92" ht="15.75" customHeight="1">
      <c r="A92" s="50" t="s">
        <v>208</v>
      </c>
      <c r="B92" s="50" t="s">
        <v>716</v>
      </c>
      <c r="C92" s="50" t="s">
        <v>717</v>
      </c>
      <c r="D92" s="54">
        <v>1.0</v>
      </c>
      <c r="E92" s="54">
        <v>0.672</v>
      </c>
      <c r="F92" s="54">
        <v>0.833</v>
      </c>
      <c r="G92" s="54">
        <v>1.0</v>
      </c>
      <c r="H92" s="50" t="s">
        <v>16</v>
      </c>
      <c r="I92" s="50" t="s">
        <v>2043</v>
      </c>
      <c r="J92" s="50" t="s">
        <v>37</v>
      </c>
      <c r="K92" s="44" t="str">
        <f t="shared" si="1"/>
        <v>Dimension Omission</v>
      </c>
    </row>
    <row r="93" ht="15.75" customHeight="1">
      <c r="A93" s="50" t="s">
        <v>214</v>
      </c>
      <c r="B93" s="50" t="s">
        <v>720</v>
      </c>
      <c r="C93" s="50" t="s">
        <v>721</v>
      </c>
      <c r="D93" s="54">
        <v>1.0</v>
      </c>
      <c r="E93" s="54">
        <v>0.675</v>
      </c>
      <c r="F93" s="54">
        <v>0.417</v>
      </c>
      <c r="G93" s="54">
        <v>1.0</v>
      </c>
      <c r="H93" s="50" t="s">
        <v>16</v>
      </c>
      <c r="I93" s="50" t="s">
        <v>2044</v>
      </c>
      <c r="J93" s="50" t="s">
        <v>37</v>
      </c>
      <c r="K93" s="44" t="str">
        <f t="shared" si="1"/>
        <v>Dimension Omission</v>
      </c>
    </row>
    <row r="94" ht="15.75" customHeight="1">
      <c r="A94" s="50" t="s">
        <v>217</v>
      </c>
      <c r="B94" s="50" t="s">
        <v>722</v>
      </c>
      <c r="C94" s="50" t="s">
        <v>723</v>
      </c>
      <c r="D94" s="54">
        <v>1.0</v>
      </c>
      <c r="E94" s="54">
        <v>0.803</v>
      </c>
      <c r="F94" s="54">
        <v>0.0</v>
      </c>
      <c r="G94" s="54">
        <v>0.0</v>
      </c>
      <c r="H94" s="50" t="s">
        <v>16</v>
      </c>
      <c r="I94" s="50" t="s">
        <v>2045</v>
      </c>
      <c r="J94" s="50" t="s">
        <v>37</v>
      </c>
      <c r="K94" s="44" t="str">
        <f t="shared" si="1"/>
        <v>Other Error</v>
      </c>
    </row>
    <row r="95" ht="15.75" customHeight="1">
      <c r="A95" s="50" t="s">
        <v>235</v>
      </c>
      <c r="B95" s="50" t="s">
        <v>734</v>
      </c>
      <c r="C95" s="50" t="s">
        <v>735</v>
      </c>
      <c r="D95" s="54">
        <v>0.818</v>
      </c>
      <c r="E95" s="54">
        <v>1.0</v>
      </c>
      <c r="F95" s="54">
        <v>1.0</v>
      </c>
      <c r="G95" s="54">
        <v>0.875</v>
      </c>
      <c r="H95" s="50" t="s">
        <v>17</v>
      </c>
      <c r="I95" s="50" t="s">
        <v>2046</v>
      </c>
      <c r="J95" s="50" t="s">
        <v>37</v>
      </c>
      <c r="K95" s="44" t="str">
        <f t="shared" si="1"/>
        <v>Other Error</v>
      </c>
    </row>
    <row r="96" ht="15.75" customHeight="1">
      <c r="A96" s="50" t="s">
        <v>256</v>
      </c>
      <c r="B96" s="50" t="s">
        <v>744</v>
      </c>
      <c r="C96" s="50" t="s">
        <v>745</v>
      </c>
      <c r="D96" s="54">
        <v>0.667</v>
      </c>
      <c r="E96" s="54">
        <v>0.816</v>
      </c>
      <c r="F96" s="54">
        <v>0.333</v>
      </c>
      <c r="G96" s="54">
        <v>1.0</v>
      </c>
      <c r="H96" s="50" t="s">
        <v>17</v>
      </c>
      <c r="I96" s="50" t="s">
        <v>2047</v>
      </c>
      <c r="J96" s="50" t="s">
        <v>37</v>
      </c>
      <c r="K96" s="44" t="str">
        <f t="shared" si="1"/>
        <v>Other Error</v>
      </c>
    </row>
    <row r="97" ht="15.75" customHeight="1">
      <c r="A97" s="50" t="s">
        <v>280</v>
      </c>
      <c r="B97" s="50" t="s">
        <v>764</v>
      </c>
      <c r="C97" s="50" t="s">
        <v>765</v>
      </c>
      <c r="D97" s="54">
        <v>0.571</v>
      </c>
      <c r="E97" s="54">
        <v>0.486</v>
      </c>
      <c r="F97" s="54">
        <v>0.2</v>
      </c>
      <c r="G97" s="54">
        <v>1.0</v>
      </c>
      <c r="H97" s="50" t="s">
        <v>17</v>
      </c>
      <c r="I97" s="50" t="s">
        <v>2048</v>
      </c>
      <c r="J97" s="50" t="s">
        <v>37</v>
      </c>
      <c r="K97" s="44" t="str">
        <f t="shared" si="1"/>
        <v>Other Error</v>
      </c>
    </row>
    <row r="98" ht="15.75" customHeight="1">
      <c r="D98" s="54"/>
      <c r="E98" s="54"/>
      <c r="F98" s="54"/>
      <c r="G98" s="54"/>
    </row>
    <row r="99" ht="15.75" customHeight="1">
      <c r="D99" s="54"/>
      <c r="E99" s="54"/>
      <c r="F99" s="54"/>
      <c r="G99" s="54"/>
    </row>
    <row r="100" ht="15.75" customHeight="1">
      <c r="D100" s="54"/>
      <c r="E100" s="54"/>
      <c r="F100" s="54"/>
      <c r="G100" s="54"/>
    </row>
    <row r="101" ht="15.75" customHeight="1">
      <c r="D101" s="54"/>
      <c r="E101" s="54"/>
      <c r="F101" s="54"/>
      <c r="G101" s="54"/>
    </row>
    <row r="102" ht="15.75" customHeight="1">
      <c r="D102" s="54"/>
      <c r="E102" s="54"/>
      <c r="F102" s="54"/>
      <c r="G102" s="54"/>
    </row>
    <row r="103" ht="15.75" customHeight="1">
      <c r="D103" s="54"/>
      <c r="E103" s="54"/>
      <c r="F103" s="54"/>
      <c r="G103" s="54"/>
    </row>
    <row r="104" ht="15.75" customHeight="1">
      <c r="D104" s="54"/>
      <c r="E104" s="54"/>
      <c r="F104" s="54"/>
      <c r="G104" s="54"/>
    </row>
    <row r="105" ht="15.75" customHeight="1">
      <c r="D105" s="54"/>
      <c r="E105" s="54"/>
      <c r="F105" s="54"/>
      <c r="G105" s="54"/>
    </row>
    <row r="106" ht="15.75" customHeight="1">
      <c r="D106" s="54"/>
      <c r="E106" s="54"/>
      <c r="F106" s="54"/>
      <c r="G106" s="54"/>
    </row>
    <row r="107" ht="15.75" customHeight="1">
      <c r="D107" s="54"/>
      <c r="E107" s="54"/>
      <c r="F107" s="54"/>
      <c r="G107" s="54"/>
    </row>
    <row r="108" ht="15.75" customHeight="1">
      <c r="D108" s="54"/>
      <c r="E108" s="54"/>
      <c r="F108" s="54"/>
      <c r="G108" s="54"/>
    </row>
    <row r="109" ht="15.75" customHeight="1">
      <c r="D109" s="54"/>
      <c r="E109" s="54"/>
      <c r="F109" s="54"/>
      <c r="G109" s="54"/>
    </row>
    <row r="110" ht="15.75" customHeight="1">
      <c r="D110" s="54"/>
      <c r="E110" s="54"/>
      <c r="F110" s="54"/>
      <c r="G110" s="54"/>
    </row>
    <row r="111" ht="15.75" customHeight="1">
      <c r="D111" s="54"/>
      <c r="E111" s="54"/>
      <c r="F111" s="54"/>
      <c r="G111" s="54"/>
    </row>
    <row r="112" ht="15.75" customHeight="1">
      <c r="D112" s="54"/>
      <c r="E112" s="54"/>
      <c r="F112" s="54"/>
      <c r="G112" s="54"/>
    </row>
    <row r="113" ht="15.75" customHeight="1">
      <c r="D113" s="54"/>
      <c r="E113" s="54"/>
      <c r="F113" s="54"/>
      <c r="G113" s="54"/>
    </row>
    <row r="114" ht="15.75" customHeight="1">
      <c r="D114" s="54"/>
      <c r="E114" s="54"/>
      <c r="F114" s="54"/>
      <c r="G114" s="54"/>
    </row>
    <row r="115" ht="15.75" customHeight="1">
      <c r="D115" s="54"/>
      <c r="E115" s="54"/>
      <c r="F115" s="54"/>
      <c r="G115" s="54"/>
    </row>
    <row r="116" ht="15.75" customHeight="1">
      <c r="D116" s="54"/>
      <c r="E116" s="54"/>
      <c r="F116" s="54"/>
      <c r="G116" s="54"/>
    </row>
    <row r="117" ht="15.75" customHeight="1">
      <c r="D117" s="54"/>
      <c r="E117" s="54"/>
      <c r="F117" s="54"/>
      <c r="G117" s="54"/>
    </row>
    <row r="118" ht="15.75" customHeight="1">
      <c r="D118" s="54"/>
      <c r="E118" s="54"/>
      <c r="F118" s="54"/>
      <c r="G118" s="54"/>
    </row>
    <row r="119" ht="15.75" customHeight="1">
      <c r="D119" s="54"/>
      <c r="E119" s="54"/>
      <c r="F119" s="54"/>
      <c r="G119" s="54"/>
    </row>
    <row r="120" ht="15.75" customHeight="1">
      <c r="D120" s="54"/>
      <c r="E120" s="54"/>
      <c r="F120" s="54"/>
      <c r="G120" s="54"/>
    </row>
    <row r="121" ht="15.75" customHeight="1">
      <c r="D121" s="54"/>
      <c r="E121" s="54"/>
      <c r="F121" s="54"/>
      <c r="G121" s="54"/>
    </row>
    <row r="122" ht="15.75" customHeight="1">
      <c r="D122" s="54"/>
      <c r="E122" s="54"/>
      <c r="F122" s="54"/>
      <c r="G122" s="54"/>
    </row>
    <row r="123" ht="15.75" customHeight="1">
      <c r="D123" s="54"/>
      <c r="E123" s="54"/>
      <c r="F123" s="54"/>
      <c r="G123" s="54"/>
    </row>
    <row r="124" ht="15.75" customHeight="1">
      <c r="D124" s="54"/>
      <c r="E124" s="54"/>
      <c r="F124" s="54"/>
      <c r="G124" s="54"/>
    </row>
    <row r="125" ht="15.75" customHeight="1">
      <c r="D125" s="54"/>
      <c r="E125" s="54"/>
      <c r="F125" s="54"/>
      <c r="G125" s="54"/>
    </row>
    <row r="126" ht="15.75" customHeight="1">
      <c r="D126" s="54"/>
      <c r="E126" s="54"/>
      <c r="F126" s="54"/>
      <c r="G126" s="54"/>
    </row>
    <row r="127" ht="15.75" customHeight="1">
      <c r="D127" s="54"/>
      <c r="E127" s="54"/>
      <c r="F127" s="54"/>
      <c r="G127" s="54"/>
    </row>
    <row r="128" ht="15.75" customHeight="1">
      <c r="D128" s="54"/>
      <c r="E128" s="54"/>
      <c r="F128" s="54"/>
      <c r="G128" s="54"/>
    </row>
    <row r="129" ht="15.75" customHeight="1">
      <c r="D129" s="54"/>
      <c r="E129" s="54"/>
      <c r="F129" s="54"/>
      <c r="G129" s="54"/>
    </row>
    <row r="130" ht="15.75" customHeight="1">
      <c r="D130" s="54"/>
      <c r="E130" s="54"/>
      <c r="F130" s="54"/>
      <c r="G130" s="54"/>
    </row>
    <row r="131" ht="15.75" customHeight="1">
      <c r="D131" s="54"/>
      <c r="E131" s="54"/>
      <c r="F131" s="54"/>
      <c r="G131" s="54"/>
    </row>
    <row r="132" ht="15.75" customHeight="1">
      <c r="D132" s="54"/>
      <c r="E132" s="54"/>
      <c r="F132" s="54"/>
      <c r="G132" s="54"/>
    </row>
    <row r="133" ht="15.75" customHeight="1">
      <c r="D133" s="54"/>
      <c r="E133" s="54"/>
      <c r="F133" s="54"/>
      <c r="G133" s="54"/>
    </row>
    <row r="134" ht="15.75" customHeight="1">
      <c r="D134" s="54"/>
      <c r="E134" s="54"/>
      <c r="F134" s="54"/>
      <c r="G134" s="54"/>
    </row>
    <row r="135" ht="15.75" customHeight="1">
      <c r="D135" s="54"/>
      <c r="E135" s="54"/>
      <c r="F135" s="54"/>
      <c r="G135" s="54"/>
    </row>
    <row r="136" ht="15.75" customHeight="1">
      <c r="D136" s="54"/>
      <c r="E136" s="54"/>
      <c r="F136" s="54"/>
      <c r="G136" s="54"/>
    </row>
    <row r="137" ht="15.75" customHeight="1">
      <c r="D137" s="54"/>
      <c r="E137" s="54"/>
      <c r="F137" s="54"/>
      <c r="G137" s="54"/>
    </row>
    <row r="138" ht="15.75" customHeight="1">
      <c r="D138" s="54"/>
      <c r="E138" s="54"/>
      <c r="F138" s="54"/>
      <c r="G138" s="54"/>
    </row>
    <row r="139" ht="15.75" customHeight="1">
      <c r="D139" s="54"/>
      <c r="E139" s="54"/>
      <c r="F139" s="54"/>
      <c r="G139" s="54"/>
    </row>
    <row r="140" ht="15.75" customHeight="1">
      <c r="D140" s="54"/>
      <c r="E140" s="54"/>
      <c r="F140" s="54"/>
      <c r="G140" s="54"/>
    </row>
    <row r="141" ht="15.75" customHeight="1">
      <c r="D141" s="54"/>
      <c r="E141" s="54"/>
      <c r="F141" s="54"/>
      <c r="G141" s="54"/>
    </row>
    <row r="142" ht="15.75" customHeight="1">
      <c r="D142" s="54"/>
      <c r="E142" s="54"/>
      <c r="F142" s="54"/>
      <c r="G142" s="54"/>
    </row>
    <row r="143" ht="15.75" customHeight="1">
      <c r="D143" s="54"/>
      <c r="E143" s="54"/>
      <c r="F143" s="54"/>
      <c r="G143" s="54"/>
    </row>
    <row r="144" ht="15.75" customHeight="1">
      <c r="D144" s="54"/>
      <c r="E144" s="54"/>
      <c r="F144" s="54"/>
      <c r="G144" s="54"/>
    </row>
    <row r="145" ht="15.75" customHeight="1">
      <c r="D145" s="54"/>
      <c r="E145" s="54"/>
      <c r="F145" s="54"/>
      <c r="G145" s="54"/>
    </row>
    <row r="146" ht="15.75" customHeight="1">
      <c r="D146" s="54"/>
      <c r="E146" s="54"/>
      <c r="F146" s="54"/>
      <c r="G146" s="54"/>
    </row>
    <row r="147" ht="15.75" customHeight="1">
      <c r="D147" s="54"/>
      <c r="E147" s="54"/>
      <c r="F147" s="54"/>
      <c r="G147" s="54"/>
    </row>
    <row r="148" ht="15.75" customHeight="1">
      <c r="D148" s="54"/>
      <c r="E148" s="54"/>
      <c r="F148" s="54"/>
      <c r="G148" s="54"/>
    </row>
    <row r="149" ht="15.75" customHeight="1">
      <c r="D149" s="54"/>
      <c r="E149" s="54"/>
      <c r="F149" s="54"/>
      <c r="G149" s="54"/>
    </row>
    <row r="150" ht="15.75" customHeight="1">
      <c r="D150" s="54"/>
      <c r="E150" s="54"/>
      <c r="F150" s="54"/>
      <c r="G150" s="54"/>
    </row>
    <row r="151" ht="15.75" customHeight="1">
      <c r="D151" s="54"/>
      <c r="E151" s="54"/>
      <c r="F151" s="54"/>
      <c r="G151" s="54"/>
    </row>
    <row r="152" ht="15.75" customHeight="1">
      <c r="D152" s="54"/>
      <c r="E152" s="54"/>
      <c r="F152" s="54"/>
      <c r="G152" s="54"/>
    </row>
    <row r="153" ht="15.75" customHeight="1">
      <c r="D153" s="54"/>
      <c r="E153" s="54"/>
      <c r="F153" s="54"/>
      <c r="G153" s="54"/>
    </row>
    <row r="154" ht="15.75" customHeight="1">
      <c r="D154" s="54"/>
      <c r="E154" s="54"/>
      <c r="F154" s="54"/>
      <c r="G154" s="54"/>
    </row>
    <row r="155" ht="15.75" customHeight="1">
      <c r="D155" s="54"/>
      <c r="E155" s="54"/>
      <c r="F155" s="54"/>
      <c r="G155" s="54"/>
    </row>
    <row r="156" ht="15.75" customHeight="1">
      <c r="D156" s="54"/>
      <c r="E156" s="54"/>
      <c r="F156" s="54"/>
      <c r="G156" s="54"/>
    </row>
    <row r="157" ht="15.75" customHeight="1">
      <c r="D157" s="54"/>
      <c r="E157" s="54"/>
      <c r="F157" s="54"/>
      <c r="G157" s="54"/>
    </row>
    <row r="158" ht="15.75" customHeight="1">
      <c r="D158" s="54"/>
      <c r="E158" s="54"/>
      <c r="F158" s="54"/>
      <c r="G158" s="54"/>
    </row>
    <row r="159" ht="15.75" customHeight="1">
      <c r="D159" s="54"/>
      <c r="E159" s="54"/>
      <c r="F159" s="54"/>
      <c r="G159" s="54"/>
    </row>
    <row r="160" ht="15.75" customHeight="1">
      <c r="D160" s="54"/>
      <c r="E160" s="54"/>
      <c r="F160" s="54"/>
      <c r="G160" s="54"/>
    </row>
    <row r="161" ht="15.75" customHeight="1">
      <c r="D161" s="54"/>
      <c r="E161" s="54"/>
      <c r="F161" s="54"/>
      <c r="G161" s="54"/>
    </row>
    <row r="162" ht="15.75" customHeight="1">
      <c r="D162" s="54"/>
      <c r="E162" s="54"/>
      <c r="F162" s="54"/>
      <c r="G162" s="54"/>
    </row>
    <row r="163" ht="15.75" customHeight="1">
      <c r="D163" s="54"/>
      <c r="E163" s="54"/>
      <c r="F163" s="54"/>
      <c r="G163" s="54"/>
    </row>
    <row r="164" ht="15.75" customHeight="1">
      <c r="D164" s="54"/>
      <c r="E164" s="54"/>
      <c r="F164" s="54"/>
      <c r="G164" s="54"/>
    </row>
    <row r="165" ht="15.75" customHeight="1">
      <c r="D165" s="54"/>
      <c r="E165" s="54"/>
      <c r="F165" s="54"/>
      <c r="G165" s="54"/>
    </row>
    <row r="166" ht="15.75" customHeight="1">
      <c r="D166" s="54"/>
      <c r="E166" s="54"/>
      <c r="F166" s="54"/>
      <c r="G166" s="54"/>
    </row>
    <row r="167" ht="15.75" customHeight="1">
      <c r="D167" s="54"/>
      <c r="E167" s="54"/>
      <c r="F167" s="54"/>
      <c r="G167" s="54"/>
    </row>
    <row r="168" ht="15.75" customHeight="1">
      <c r="D168" s="54"/>
      <c r="E168" s="54"/>
      <c r="F168" s="54"/>
      <c r="G168" s="54"/>
    </row>
    <row r="169" ht="15.75" customHeight="1">
      <c r="D169" s="54"/>
      <c r="E169" s="54"/>
      <c r="F169" s="54"/>
      <c r="G169" s="54"/>
    </row>
    <row r="170" ht="15.75" customHeight="1">
      <c r="D170" s="54"/>
      <c r="E170" s="54"/>
      <c r="F170" s="54"/>
      <c r="G170" s="54"/>
    </row>
    <row r="171" ht="15.75" customHeight="1">
      <c r="D171" s="54"/>
      <c r="E171" s="54"/>
      <c r="F171" s="54"/>
      <c r="G171" s="54"/>
    </row>
    <row r="172" ht="15.75" customHeight="1">
      <c r="D172" s="54"/>
      <c r="E172" s="54"/>
      <c r="F172" s="54"/>
      <c r="G172" s="54"/>
    </row>
    <row r="173" ht="15.75" customHeight="1">
      <c r="D173" s="54"/>
      <c r="E173" s="54"/>
      <c r="F173" s="54"/>
      <c r="G173" s="54"/>
    </row>
    <row r="174" ht="15.75" customHeight="1">
      <c r="D174" s="54"/>
      <c r="E174" s="54"/>
      <c r="F174" s="54"/>
      <c r="G174" s="54"/>
    </row>
    <row r="175" ht="15.75" customHeight="1">
      <c r="D175" s="54"/>
      <c r="E175" s="54"/>
      <c r="F175" s="54"/>
      <c r="G175" s="54"/>
    </row>
    <row r="176" ht="15.75" customHeight="1">
      <c r="D176" s="54"/>
      <c r="E176" s="54"/>
      <c r="F176" s="54"/>
      <c r="G176" s="54"/>
    </row>
    <row r="177" ht="15.75" customHeight="1">
      <c r="D177" s="54"/>
      <c r="E177" s="54"/>
      <c r="F177" s="54"/>
      <c r="G177" s="54"/>
    </row>
    <row r="178" ht="15.75" customHeight="1">
      <c r="D178" s="54"/>
      <c r="E178" s="54"/>
      <c r="F178" s="54"/>
      <c r="G178" s="54"/>
    </row>
    <row r="179" ht="15.75" customHeight="1">
      <c r="D179" s="54"/>
      <c r="E179" s="54"/>
      <c r="F179" s="54"/>
      <c r="G179" s="54"/>
    </row>
    <row r="180" ht="15.75" customHeight="1">
      <c r="D180" s="54"/>
      <c r="E180" s="54"/>
      <c r="F180" s="54"/>
      <c r="G180" s="54"/>
    </row>
    <row r="181" ht="15.75" customHeight="1">
      <c r="D181" s="54"/>
      <c r="E181" s="54"/>
      <c r="F181" s="54"/>
      <c r="G181" s="54"/>
    </row>
    <row r="182" ht="15.75" customHeight="1">
      <c r="D182" s="54"/>
      <c r="E182" s="54"/>
      <c r="F182" s="54"/>
      <c r="G182" s="54"/>
    </row>
    <row r="183" ht="15.75" customHeight="1">
      <c r="D183" s="54"/>
      <c r="E183" s="54"/>
      <c r="F183" s="54"/>
      <c r="G183" s="54"/>
    </row>
    <row r="184" ht="15.75" customHeight="1">
      <c r="D184" s="54"/>
      <c r="E184" s="54"/>
      <c r="F184" s="54"/>
      <c r="G184" s="54"/>
    </row>
    <row r="185" ht="15.75" customHeight="1">
      <c r="D185" s="54"/>
      <c r="E185" s="54"/>
      <c r="F185" s="54"/>
      <c r="G185" s="54"/>
    </row>
    <row r="186" ht="15.75" customHeight="1">
      <c r="D186" s="54"/>
      <c r="E186" s="54"/>
      <c r="F186" s="54"/>
      <c r="G186" s="54"/>
    </row>
    <row r="187" ht="15.75" customHeight="1">
      <c r="D187" s="54"/>
      <c r="E187" s="54"/>
      <c r="F187" s="54"/>
      <c r="G187" s="54"/>
    </row>
    <row r="188" ht="15.75" customHeight="1">
      <c r="D188" s="54"/>
      <c r="E188" s="54"/>
      <c r="F188" s="54"/>
      <c r="G188" s="54"/>
    </row>
    <row r="189" ht="15.75" customHeight="1">
      <c r="D189" s="54"/>
      <c r="E189" s="54"/>
      <c r="F189" s="54"/>
      <c r="G189" s="54"/>
    </row>
    <row r="190" ht="15.75" customHeight="1">
      <c r="D190" s="54"/>
      <c r="E190" s="54"/>
      <c r="F190" s="54"/>
      <c r="G190" s="54"/>
    </row>
    <row r="191" ht="15.75" customHeight="1">
      <c r="D191" s="54"/>
      <c r="E191" s="54"/>
      <c r="F191" s="54"/>
      <c r="G191" s="54"/>
    </row>
    <row r="192" ht="15.75" customHeight="1">
      <c r="D192" s="54"/>
      <c r="E192" s="54"/>
      <c r="F192" s="54"/>
      <c r="G192" s="54"/>
    </row>
    <row r="193" ht="15.75" customHeight="1">
      <c r="D193" s="54"/>
      <c r="E193" s="54"/>
      <c r="F193" s="54"/>
      <c r="G193" s="54"/>
    </row>
    <row r="194" ht="15.75" customHeight="1">
      <c r="D194" s="54"/>
      <c r="E194" s="54"/>
      <c r="F194" s="54"/>
      <c r="G194" s="54"/>
    </row>
    <row r="195" ht="15.75" customHeight="1">
      <c r="D195" s="54"/>
      <c r="E195" s="54"/>
      <c r="F195" s="54"/>
      <c r="G195" s="54"/>
    </row>
    <row r="196" ht="15.75" customHeight="1">
      <c r="D196" s="54"/>
      <c r="E196" s="54"/>
      <c r="F196" s="54"/>
      <c r="G196" s="54"/>
    </row>
    <row r="197" ht="15.75" customHeight="1">
      <c r="D197" s="54"/>
      <c r="E197" s="54"/>
      <c r="F197" s="54"/>
      <c r="G197" s="54"/>
    </row>
    <row r="198" ht="15.75" customHeight="1">
      <c r="D198" s="54"/>
      <c r="E198" s="54"/>
      <c r="F198" s="54"/>
      <c r="G198" s="54"/>
    </row>
    <row r="199" ht="15.75" customHeight="1">
      <c r="D199" s="54"/>
      <c r="E199" s="54"/>
      <c r="F199" s="54"/>
      <c r="G199" s="54"/>
    </row>
    <row r="200" ht="15.75" customHeight="1">
      <c r="D200" s="54"/>
      <c r="E200" s="54"/>
      <c r="F200" s="54"/>
      <c r="G200" s="54"/>
    </row>
    <row r="201" ht="15.75" customHeight="1">
      <c r="D201" s="54"/>
      <c r="E201" s="54"/>
      <c r="F201" s="54"/>
      <c r="G201" s="54"/>
    </row>
    <row r="202" ht="15.75" customHeight="1">
      <c r="D202" s="54"/>
      <c r="E202" s="54"/>
      <c r="F202" s="54"/>
      <c r="G202" s="54"/>
    </row>
    <row r="203" ht="15.75" customHeight="1">
      <c r="D203" s="54"/>
      <c r="E203" s="54"/>
      <c r="F203" s="54"/>
      <c r="G203" s="54"/>
    </row>
    <row r="204" ht="15.75" customHeight="1">
      <c r="D204" s="54"/>
      <c r="E204" s="54"/>
      <c r="F204" s="54"/>
      <c r="G204" s="54"/>
    </row>
    <row r="205" ht="15.75" customHeight="1">
      <c r="D205" s="54"/>
      <c r="E205" s="54"/>
      <c r="F205" s="54"/>
      <c r="G205" s="54"/>
    </row>
    <row r="206" ht="15.75" customHeight="1">
      <c r="D206" s="54"/>
      <c r="E206" s="54"/>
      <c r="F206" s="54"/>
      <c r="G206" s="54"/>
    </row>
    <row r="207" ht="15.75" customHeight="1">
      <c r="D207" s="54"/>
      <c r="E207" s="54"/>
      <c r="F207" s="54"/>
      <c r="G207" s="54"/>
    </row>
    <row r="208" ht="15.75" customHeight="1">
      <c r="D208" s="54"/>
      <c r="E208" s="54"/>
      <c r="F208" s="54"/>
      <c r="G208" s="54"/>
    </row>
    <row r="209" ht="15.75" customHeight="1">
      <c r="D209" s="54"/>
      <c r="E209" s="54"/>
      <c r="F209" s="54"/>
      <c r="G209" s="54"/>
    </row>
    <row r="210" ht="15.75" customHeight="1">
      <c r="D210" s="54"/>
      <c r="E210" s="54"/>
      <c r="F210" s="54"/>
      <c r="G210" s="54"/>
    </row>
    <row r="211" ht="15.75" customHeight="1">
      <c r="D211" s="54"/>
      <c r="E211" s="54"/>
      <c r="F211" s="54"/>
      <c r="G211" s="54"/>
    </row>
    <row r="212" ht="15.75" customHeight="1">
      <c r="D212" s="54"/>
      <c r="E212" s="54"/>
      <c r="F212" s="54"/>
      <c r="G212" s="54"/>
    </row>
    <row r="213" ht="15.75" customHeight="1">
      <c r="D213" s="54"/>
      <c r="E213" s="54"/>
      <c r="F213" s="54"/>
      <c r="G213" s="54"/>
    </row>
    <row r="214" ht="15.75" customHeight="1">
      <c r="D214" s="54"/>
      <c r="E214" s="54"/>
      <c r="F214" s="54"/>
      <c r="G214" s="54"/>
    </row>
    <row r="215" ht="15.75" customHeight="1">
      <c r="D215" s="54"/>
      <c r="E215" s="54"/>
      <c r="F215" s="54"/>
      <c r="G215" s="54"/>
    </row>
    <row r="216" ht="15.75" customHeight="1">
      <c r="D216" s="54"/>
      <c r="E216" s="54"/>
      <c r="F216" s="54"/>
      <c r="G216" s="54"/>
    </row>
    <row r="217" ht="15.75" customHeight="1">
      <c r="D217" s="54"/>
      <c r="E217" s="54"/>
      <c r="F217" s="54"/>
      <c r="G217" s="54"/>
    </row>
    <row r="218" ht="15.75" customHeight="1">
      <c r="D218" s="54"/>
      <c r="E218" s="54"/>
      <c r="F218" s="54"/>
      <c r="G218" s="54"/>
    </row>
    <row r="219" ht="15.75" customHeight="1">
      <c r="D219" s="54"/>
      <c r="E219" s="54"/>
      <c r="F219" s="54"/>
      <c r="G219" s="54"/>
    </row>
    <row r="220" ht="15.75" customHeight="1">
      <c r="D220" s="54"/>
      <c r="E220" s="54"/>
      <c r="F220" s="54"/>
      <c r="G220" s="54"/>
    </row>
    <row r="221" ht="15.75" customHeight="1">
      <c r="D221" s="54"/>
      <c r="E221" s="54"/>
      <c r="F221" s="54"/>
      <c r="G221" s="54"/>
    </row>
    <row r="222" ht="15.75" customHeight="1">
      <c r="D222" s="54"/>
      <c r="E222" s="54"/>
      <c r="F222" s="54"/>
      <c r="G222" s="54"/>
    </row>
    <row r="223" ht="15.75" customHeight="1">
      <c r="D223" s="54"/>
      <c r="E223" s="54"/>
      <c r="F223" s="54"/>
      <c r="G223" s="54"/>
    </row>
    <row r="224" ht="15.75" customHeight="1">
      <c r="D224" s="54"/>
      <c r="E224" s="54"/>
      <c r="F224" s="54"/>
      <c r="G224" s="54"/>
    </row>
    <row r="225" ht="15.75" customHeight="1">
      <c r="D225" s="54"/>
      <c r="E225" s="54"/>
      <c r="F225" s="54"/>
      <c r="G225" s="54"/>
    </row>
    <row r="226" ht="15.75" customHeight="1">
      <c r="D226" s="54"/>
      <c r="E226" s="54"/>
      <c r="F226" s="54"/>
      <c r="G226" s="54"/>
    </row>
    <row r="227" ht="15.75" customHeight="1">
      <c r="D227" s="54"/>
      <c r="E227" s="54"/>
      <c r="F227" s="54"/>
      <c r="G227" s="54"/>
    </row>
    <row r="228" ht="15.75" customHeight="1">
      <c r="D228" s="54"/>
      <c r="E228" s="54"/>
      <c r="F228" s="54"/>
      <c r="G228" s="54"/>
    </row>
    <row r="229" ht="15.75" customHeight="1">
      <c r="D229" s="54"/>
      <c r="E229" s="54"/>
      <c r="F229" s="54"/>
      <c r="G229" s="54"/>
    </row>
    <row r="230" ht="15.75" customHeight="1">
      <c r="D230" s="54"/>
      <c r="E230" s="54"/>
      <c r="F230" s="54"/>
      <c r="G230" s="54"/>
    </row>
    <row r="231" ht="15.75" customHeight="1">
      <c r="D231" s="54"/>
      <c r="E231" s="54"/>
      <c r="F231" s="54"/>
      <c r="G231" s="54"/>
    </row>
    <row r="232" ht="15.75" customHeight="1">
      <c r="D232" s="54"/>
      <c r="E232" s="54"/>
      <c r="F232" s="54"/>
      <c r="G232" s="54"/>
    </row>
    <row r="233" ht="15.75" customHeight="1">
      <c r="D233" s="54"/>
      <c r="E233" s="54"/>
      <c r="F233" s="54"/>
      <c r="G233" s="54"/>
    </row>
    <row r="234" ht="15.75" customHeight="1">
      <c r="D234" s="54"/>
      <c r="E234" s="54"/>
      <c r="F234" s="54"/>
      <c r="G234" s="54"/>
    </row>
    <row r="235" ht="15.75" customHeight="1">
      <c r="D235" s="54"/>
      <c r="E235" s="54"/>
      <c r="F235" s="54"/>
      <c r="G235" s="54"/>
    </row>
    <row r="236" ht="15.75" customHeight="1">
      <c r="D236" s="54"/>
      <c r="E236" s="54"/>
      <c r="F236" s="54"/>
      <c r="G236" s="54"/>
    </row>
    <row r="237" ht="15.75" customHeight="1">
      <c r="D237" s="54"/>
      <c r="E237" s="54"/>
      <c r="F237" s="54"/>
      <c r="G237" s="54"/>
    </row>
    <row r="238" ht="15.75" customHeight="1">
      <c r="D238" s="54"/>
      <c r="E238" s="54"/>
      <c r="F238" s="54"/>
      <c r="G238" s="54"/>
    </row>
    <row r="239" ht="15.75" customHeight="1">
      <c r="D239" s="54"/>
      <c r="E239" s="54"/>
      <c r="F239" s="54"/>
      <c r="G239" s="54"/>
    </row>
    <row r="240" ht="15.75" customHeight="1">
      <c r="D240" s="54"/>
      <c r="E240" s="54"/>
      <c r="F240" s="54"/>
      <c r="G240" s="54"/>
    </row>
    <row r="241" ht="15.75" customHeight="1">
      <c r="D241" s="54"/>
      <c r="E241" s="54"/>
      <c r="F241" s="54"/>
      <c r="G241" s="54"/>
    </row>
    <row r="242" ht="15.75" customHeight="1">
      <c r="D242" s="54"/>
      <c r="E242" s="54"/>
      <c r="F242" s="54"/>
      <c r="G242" s="54"/>
    </row>
    <row r="243" ht="15.75" customHeight="1">
      <c r="D243" s="54"/>
      <c r="E243" s="54"/>
      <c r="F243" s="54"/>
      <c r="G243" s="54"/>
    </row>
    <row r="244" ht="15.75" customHeight="1">
      <c r="D244" s="54"/>
      <c r="E244" s="54"/>
      <c r="F244" s="54"/>
      <c r="G244" s="54"/>
    </row>
    <row r="245" ht="15.75" customHeight="1">
      <c r="D245" s="54"/>
      <c r="E245" s="54"/>
      <c r="F245" s="54"/>
      <c r="G245" s="54"/>
    </row>
    <row r="246" ht="15.75" customHeight="1">
      <c r="D246" s="54"/>
      <c r="E246" s="54"/>
      <c r="F246" s="54"/>
      <c r="G246" s="54"/>
    </row>
    <row r="247" ht="15.75" customHeight="1">
      <c r="D247" s="54"/>
      <c r="E247" s="54"/>
      <c r="F247" s="54"/>
      <c r="G247" s="54"/>
    </row>
    <row r="248" ht="15.75" customHeight="1">
      <c r="D248" s="54"/>
      <c r="E248" s="54"/>
      <c r="F248" s="54"/>
      <c r="G248" s="54"/>
    </row>
    <row r="249" ht="15.75" customHeight="1">
      <c r="D249" s="54"/>
      <c r="E249" s="54"/>
      <c r="F249" s="54"/>
      <c r="G249" s="54"/>
    </row>
    <row r="250" ht="15.75" customHeight="1">
      <c r="D250" s="54"/>
      <c r="E250" s="54"/>
      <c r="F250" s="54"/>
      <c r="G250" s="54"/>
    </row>
    <row r="251" ht="15.75" customHeight="1">
      <c r="D251" s="54"/>
      <c r="E251" s="54"/>
      <c r="F251" s="54"/>
      <c r="G251" s="54"/>
    </row>
    <row r="252" ht="15.75" customHeight="1">
      <c r="D252" s="54"/>
      <c r="E252" s="54"/>
      <c r="F252" s="54"/>
      <c r="G252" s="54"/>
    </row>
    <row r="253" ht="15.75" customHeight="1">
      <c r="D253" s="54"/>
      <c r="E253" s="54"/>
      <c r="F253" s="54"/>
      <c r="G253" s="54"/>
    </row>
    <row r="254" ht="15.75" customHeight="1">
      <c r="D254" s="54"/>
      <c r="E254" s="54"/>
      <c r="F254" s="54"/>
      <c r="G254" s="54"/>
    </row>
    <row r="255" ht="15.75" customHeight="1">
      <c r="D255" s="54"/>
      <c r="E255" s="54"/>
      <c r="F255" s="54"/>
      <c r="G255" s="54"/>
    </row>
    <row r="256" ht="15.75" customHeight="1">
      <c r="D256" s="54"/>
      <c r="E256" s="54"/>
      <c r="F256" s="54"/>
      <c r="G256" s="54"/>
    </row>
    <row r="257" ht="15.75" customHeight="1">
      <c r="D257" s="54"/>
      <c r="E257" s="54"/>
      <c r="F257" s="54"/>
      <c r="G257" s="54"/>
    </row>
    <row r="258" ht="15.75" customHeight="1">
      <c r="D258" s="54"/>
      <c r="E258" s="54"/>
      <c r="F258" s="54"/>
      <c r="G258" s="54"/>
    </row>
    <row r="259" ht="15.75" customHeight="1">
      <c r="D259" s="54"/>
      <c r="E259" s="54"/>
      <c r="F259" s="54"/>
      <c r="G259" s="54"/>
    </row>
    <row r="260" ht="15.75" customHeight="1">
      <c r="D260" s="54"/>
      <c r="E260" s="54"/>
      <c r="F260" s="54"/>
      <c r="G260" s="54"/>
    </row>
    <row r="261" ht="15.75" customHeight="1">
      <c r="D261" s="54"/>
      <c r="E261" s="54"/>
      <c r="F261" s="54"/>
      <c r="G261" s="54"/>
    </row>
    <row r="262" ht="15.75" customHeight="1">
      <c r="D262" s="54"/>
      <c r="E262" s="54"/>
      <c r="F262" s="54"/>
      <c r="G262" s="54"/>
    </row>
    <row r="263" ht="15.75" customHeight="1">
      <c r="D263" s="54"/>
      <c r="E263" s="54"/>
      <c r="F263" s="54"/>
      <c r="G263" s="54"/>
    </row>
    <row r="264" ht="15.75" customHeight="1">
      <c r="D264" s="54"/>
      <c r="E264" s="54"/>
      <c r="F264" s="54"/>
      <c r="G264" s="54"/>
    </row>
    <row r="265" ht="15.75" customHeight="1">
      <c r="D265" s="54"/>
      <c r="E265" s="54"/>
      <c r="F265" s="54"/>
      <c r="G265" s="54"/>
    </row>
    <row r="266" ht="15.75" customHeight="1">
      <c r="D266" s="54"/>
      <c r="E266" s="54"/>
      <c r="F266" s="54"/>
      <c r="G266" s="54"/>
    </row>
    <row r="267" ht="15.75" customHeight="1">
      <c r="D267" s="54"/>
      <c r="E267" s="54"/>
      <c r="F267" s="54"/>
      <c r="G267" s="54"/>
    </row>
    <row r="268" ht="15.75" customHeight="1">
      <c r="D268" s="54"/>
      <c r="E268" s="54"/>
      <c r="F268" s="54"/>
      <c r="G268" s="54"/>
    </row>
    <row r="269" ht="15.75" customHeight="1">
      <c r="D269" s="54"/>
      <c r="E269" s="54"/>
      <c r="F269" s="54"/>
      <c r="G269" s="54"/>
    </row>
    <row r="270" ht="15.75" customHeight="1">
      <c r="D270" s="54"/>
      <c r="E270" s="54"/>
      <c r="F270" s="54"/>
      <c r="G270" s="54"/>
    </row>
    <row r="271" ht="15.75" customHeight="1">
      <c r="D271" s="54"/>
      <c r="E271" s="54"/>
      <c r="F271" s="54"/>
      <c r="G271" s="54"/>
    </row>
    <row r="272" ht="15.75" customHeight="1">
      <c r="D272" s="54"/>
      <c r="E272" s="54"/>
      <c r="F272" s="54"/>
      <c r="G272" s="54"/>
    </row>
    <row r="273" ht="15.75" customHeight="1">
      <c r="D273" s="54"/>
      <c r="E273" s="54"/>
      <c r="F273" s="54"/>
      <c r="G273" s="54"/>
    </row>
    <row r="274" ht="15.75" customHeight="1">
      <c r="D274" s="54"/>
      <c r="E274" s="54"/>
      <c r="F274" s="54"/>
      <c r="G274" s="54"/>
    </row>
    <row r="275" ht="15.75" customHeight="1">
      <c r="D275" s="54"/>
      <c r="E275" s="54"/>
      <c r="F275" s="54"/>
      <c r="G275" s="54"/>
    </row>
    <row r="276" ht="15.75" customHeight="1">
      <c r="D276" s="54"/>
      <c r="E276" s="54"/>
      <c r="F276" s="54"/>
      <c r="G276" s="54"/>
    </row>
    <row r="277" ht="15.75" customHeight="1">
      <c r="D277" s="54"/>
      <c r="E277" s="54"/>
      <c r="F277" s="54"/>
      <c r="G277" s="54"/>
    </row>
    <row r="278" ht="15.75" customHeight="1">
      <c r="D278" s="54"/>
      <c r="E278" s="54"/>
      <c r="F278" s="54"/>
      <c r="G278" s="54"/>
    </row>
    <row r="279" ht="15.75" customHeight="1">
      <c r="D279" s="54"/>
      <c r="E279" s="54"/>
      <c r="F279" s="54"/>
      <c r="G279" s="54"/>
    </row>
    <row r="280" ht="15.75" customHeight="1">
      <c r="D280" s="54"/>
      <c r="E280" s="54"/>
      <c r="F280" s="54"/>
      <c r="G280" s="54"/>
    </row>
    <row r="281" ht="15.75" customHeight="1">
      <c r="D281" s="54"/>
      <c r="E281" s="54"/>
      <c r="F281" s="54"/>
      <c r="G281" s="54"/>
    </row>
    <row r="282" ht="15.75" customHeight="1">
      <c r="D282" s="54"/>
      <c r="E282" s="54"/>
      <c r="F282" s="54"/>
      <c r="G282" s="54"/>
    </row>
    <row r="283" ht="15.75" customHeight="1">
      <c r="D283" s="54"/>
      <c r="E283" s="54"/>
      <c r="F283" s="54"/>
      <c r="G283" s="54"/>
    </row>
    <row r="284" ht="15.75" customHeight="1">
      <c r="D284" s="54"/>
      <c r="E284" s="54"/>
      <c r="F284" s="54"/>
      <c r="G284" s="54"/>
    </row>
    <row r="285" ht="15.75" customHeight="1">
      <c r="D285" s="54"/>
      <c r="E285" s="54"/>
      <c r="F285" s="54"/>
      <c r="G285" s="54"/>
    </row>
    <row r="286" ht="15.75" customHeight="1">
      <c r="D286" s="54"/>
      <c r="E286" s="54"/>
      <c r="F286" s="54"/>
      <c r="G286" s="54"/>
    </row>
    <row r="287" ht="15.75" customHeight="1">
      <c r="D287" s="54"/>
      <c r="E287" s="54"/>
      <c r="F287" s="54"/>
      <c r="G287" s="54"/>
    </row>
    <row r="288" ht="15.75" customHeight="1">
      <c r="D288" s="54"/>
      <c r="E288" s="54"/>
      <c r="F288" s="54"/>
      <c r="G288" s="54"/>
    </row>
    <row r="289" ht="15.75" customHeight="1">
      <c r="D289" s="54"/>
      <c r="E289" s="54"/>
      <c r="F289" s="54"/>
      <c r="G289" s="54"/>
    </row>
    <row r="290" ht="15.75" customHeight="1">
      <c r="D290" s="54"/>
      <c r="E290" s="54"/>
      <c r="F290" s="54"/>
      <c r="G290" s="54"/>
    </row>
    <row r="291" ht="15.75" customHeight="1">
      <c r="D291" s="54"/>
      <c r="E291" s="54"/>
      <c r="F291" s="54"/>
      <c r="G291" s="54"/>
    </row>
    <row r="292" ht="15.75" customHeight="1">
      <c r="D292" s="54"/>
      <c r="E292" s="54"/>
      <c r="F292" s="54"/>
      <c r="G292" s="54"/>
    </row>
    <row r="293" ht="15.75" customHeight="1">
      <c r="D293" s="54"/>
      <c r="E293" s="54"/>
      <c r="F293" s="54"/>
      <c r="G293" s="54"/>
    </row>
    <row r="294" ht="15.75" customHeight="1">
      <c r="D294" s="54"/>
      <c r="E294" s="54"/>
      <c r="F294" s="54"/>
      <c r="G294" s="54"/>
    </row>
    <row r="295" ht="15.75" customHeight="1">
      <c r="D295" s="54"/>
      <c r="E295" s="54"/>
      <c r="F295" s="54"/>
      <c r="G295" s="54"/>
    </row>
    <row r="296" ht="15.75" customHeight="1">
      <c r="D296" s="54"/>
      <c r="E296" s="54"/>
      <c r="F296" s="54"/>
      <c r="G296" s="54"/>
    </row>
    <row r="297" ht="15.75" customHeight="1">
      <c r="D297" s="54"/>
      <c r="E297" s="54"/>
      <c r="F297" s="54"/>
      <c r="G297" s="54"/>
    </row>
    <row r="298" ht="15.75" customHeight="1">
      <c r="D298" s="54"/>
      <c r="E298" s="54"/>
      <c r="F298" s="54"/>
      <c r="G298" s="54"/>
    </row>
    <row r="299" ht="15.75" customHeight="1">
      <c r="D299" s="54"/>
      <c r="E299" s="54"/>
      <c r="F299" s="54"/>
      <c r="G299" s="54"/>
    </row>
    <row r="300" ht="15.75" customHeight="1">
      <c r="D300" s="54"/>
      <c r="E300" s="54"/>
      <c r="F300" s="54"/>
      <c r="G300" s="54"/>
    </row>
    <row r="301" ht="15.75" customHeight="1">
      <c r="D301" s="54"/>
      <c r="E301" s="54"/>
      <c r="F301" s="54"/>
      <c r="G301" s="54"/>
    </row>
    <row r="302" ht="15.75" customHeight="1">
      <c r="D302" s="54"/>
      <c r="E302" s="54"/>
      <c r="F302" s="54"/>
      <c r="G302" s="54"/>
    </row>
    <row r="303" ht="15.75" customHeight="1">
      <c r="D303" s="54"/>
      <c r="E303" s="54"/>
      <c r="F303" s="54"/>
      <c r="G303" s="54"/>
    </row>
    <row r="304" ht="15.75" customHeight="1">
      <c r="D304" s="54"/>
      <c r="E304" s="54"/>
      <c r="F304" s="54"/>
      <c r="G304" s="54"/>
    </row>
    <row r="305" ht="15.75" customHeight="1">
      <c r="D305" s="54"/>
      <c r="E305" s="54"/>
      <c r="F305" s="54"/>
      <c r="G305" s="54"/>
    </row>
    <row r="306" ht="15.75" customHeight="1">
      <c r="D306" s="54"/>
      <c r="E306" s="54"/>
      <c r="F306" s="54"/>
      <c r="G306" s="54"/>
    </row>
    <row r="307" ht="15.75" customHeight="1">
      <c r="D307" s="54"/>
      <c r="E307" s="54"/>
      <c r="F307" s="54"/>
      <c r="G307" s="54"/>
    </row>
    <row r="308" ht="15.75" customHeight="1">
      <c r="D308" s="54"/>
      <c r="E308" s="54"/>
      <c r="F308" s="54"/>
      <c r="G308" s="54"/>
    </row>
    <row r="309" ht="15.75" customHeight="1">
      <c r="D309" s="54"/>
      <c r="E309" s="54"/>
      <c r="F309" s="54"/>
      <c r="G309" s="54"/>
    </row>
    <row r="310" ht="15.75" customHeight="1">
      <c r="D310" s="54"/>
      <c r="E310" s="54"/>
      <c r="F310" s="54"/>
      <c r="G310" s="54"/>
    </row>
    <row r="311" ht="15.75" customHeight="1">
      <c r="D311" s="54"/>
      <c r="E311" s="54"/>
      <c r="F311" s="54"/>
      <c r="G311" s="54"/>
    </row>
    <row r="312" ht="15.75" customHeight="1">
      <c r="D312" s="54"/>
      <c r="E312" s="54"/>
      <c r="F312" s="54"/>
      <c r="G312" s="54"/>
    </row>
    <row r="313" ht="15.75" customHeight="1">
      <c r="D313" s="54"/>
      <c r="E313" s="54"/>
      <c r="F313" s="54"/>
      <c r="G313" s="54"/>
    </row>
    <row r="314" ht="15.75" customHeight="1">
      <c r="D314" s="54"/>
      <c r="E314" s="54"/>
      <c r="F314" s="54"/>
      <c r="G314" s="54"/>
    </row>
    <row r="315" ht="15.75" customHeight="1">
      <c r="D315" s="54"/>
      <c r="E315" s="54"/>
      <c r="F315" s="54"/>
      <c r="G315" s="54"/>
    </row>
    <row r="316" ht="15.75" customHeight="1">
      <c r="D316" s="54"/>
      <c r="E316" s="54"/>
      <c r="F316" s="54"/>
      <c r="G316" s="54"/>
    </row>
    <row r="317" ht="15.75" customHeight="1">
      <c r="D317" s="54"/>
      <c r="E317" s="54"/>
      <c r="F317" s="54"/>
      <c r="G317" s="54"/>
    </row>
    <row r="318" ht="15.75" customHeight="1">
      <c r="D318" s="54"/>
      <c r="E318" s="54"/>
      <c r="F318" s="54"/>
      <c r="G318" s="54"/>
    </row>
    <row r="319" ht="15.75" customHeight="1">
      <c r="D319" s="54"/>
      <c r="E319" s="54"/>
      <c r="F319" s="54"/>
      <c r="G319" s="54"/>
    </row>
    <row r="320" ht="15.75" customHeight="1">
      <c r="D320" s="54"/>
      <c r="E320" s="54"/>
      <c r="F320" s="54"/>
      <c r="G320" s="54"/>
    </row>
    <row r="321" ht="15.75" customHeight="1">
      <c r="D321" s="54"/>
      <c r="E321" s="54"/>
      <c r="F321" s="54"/>
      <c r="G321" s="54"/>
    </row>
    <row r="322" ht="15.75" customHeight="1">
      <c r="D322" s="54"/>
      <c r="E322" s="54"/>
      <c r="F322" s="54"/>
      <c r="G322" s="54"/>
    </row>
    <row r="323" ht="15.75" customHeight="1">
      <c r="D323" s="54"/>
      <c r="E323" s="54"/>
      <c r="F323" s="54"/>
      <c r="G323" s="54"/>
    </row>
    <row r="324" ht="15.75" customHeight="1">
      <c r="D324" s="54"/>
      <c r="E324" s="54"/>
      <c r="F324" s="54"/>
      <c r="G324" s="54"/>
    </row>
    <row r="325" ht="15.75" customHeight="1">
      <c r="D325" s="54"/>
      <c r="E325" s="54"/>
      <c r="F325" s="54"/>
      <c r="G325" s="54"/>
    </row>
    <row r="326" ht="15.75" customHeight="1">
      <c r="D326" s="54"/>
      <c r="E326" s="54"/>
      <c r="F326" s="54"/>
      <c r="G326" s="54"/>
    </row>
    <row r="327" ht="15.75" customHeight="1">
      <c r="D327" s="54"/>
      <c r="E327" s="54"/>
      <c r="F327" s="54"/>
      <c r="G327" s="54"/>
    </row>
    <row r="328" ht="15.75" customHeight="1">
      <c r="D328" s="54"/>
      <c r="E328" s="54"/>
      <c r="F328" s="54"/>
      <c r="G328" s="54"/>
    </row>
    <row r="329" ht="15.75" customHeight="1">
      <c r="D329" s="54"/>
      <c r="E329" s="54"/>
      <c r="F329" s="54"/>
      <c r="G329" s="54"/>
    </row>
    <row r="330" ht="15.75" customHeight="1">
      <c r="D330" s="54"/>
      <c r="E330" s="54"/>
      <c r="F330" s="54"/>
      <c r="G330" s="54"/>
    </row>
    <row r="331" ht="15.75" customHeight="1">
      <c r="D331" s="54"/>
      <c r="E331" s="54"/>
      <c r="F331" s="54"/>
      <c r="G331" s="54"/>
    </row>
    <row r="332" ht="15.75" customHeight="1">
      <c r="D332" s="54"/>
      <c r="E332" s="54"/>
      <c r="F332" s="54"/>
      <c r="G332" s="54"/>
    </row>
    <row r="333" ht="15.75" customHeight="1">
      <c r="D333" s="54"/>
      <c r="E333" s="54"/>
      <c r="F333" s="54"/>
      <c r="G333" s="54"/>
    </row>
    <row r="334" ht="15.75" customHeight="1">
      <c r="D334" s="54"/>
      <c r="E334" s="54"/>
      <c r="F334" s="54"/>
      <c r="G334" s="54"/>
    </row>
    <row r="335" ht="15.75" customHeight="1">
      <c r="D335" s="54"/>
      <c r="E335" s="54"/>
      <c r="F335" s="54"/>
      <c r="G335" s="54"/>
    </row>
    <row r="336" ht="15.75" customHeight="1">
      <c r="D336" s="54"/>
      <c r="E336" s="54"/>
      <c r="F336" s="54"/>
      <c r="G336" s="54"/>
    </row>
    <row r="337" ht="15.75" customHeight="1">
      <c r="D337" s="54"/>
      <c r="E337" s="54"/>
      <c r="F337" s="54"/>
      <c r="G337" s="54"/>
    </row>
    <row r="338" ht="15.75" customHeight="1">
      <c r="D338" s="54"/>
      <c r="E338" s="54"/>
      <c r="F338" s="54"/>
      <c r="G338" s="54"/>
    </row>
    <row r="339" ht="15.75" customHeight="1">
      <c r="D339" s="54"/>
      <c r="E339" s="54"/>
      <c r="F339" s="54"/>
      <c r="G339" s="54"/>
    </row>
    <row r="340" ht="15.75" customHeight="1">
      <c r="D340" s="54"/>
      <c r="E340" s="54"/>
      <c r="F340" s="54"/>
      <c r="G340" s="54"/>
    </row>
    <row r="341" ht="15.75" customHeight="1">
      <c r="D341" s="54"/>
      <c r="E341" s="54"/>
      <c r="F341" s="54"/>
      <c r="G341" s="54"/>
    </row>
    <row r="342" ht="15.75" customHeight="1">
      <c r="D342" s="54"/>
      <c r="E342" s="54"/>
      <c r="F342" s="54"/>
      <c r="G342" s="54"/>
    </row>
    <row r="343" ht="15.75" customHeight="1">
      <c r="D343" s="54"/>
      <c r="E343" s="54"/>
      <c r="F343" s="54"/>
      <c r="G343" s="54"/>
    </row>
    <row r="344" ht="15.75" customHeight="1">
      <c r="D344" s="54"/>
      <c r="E344" s="54"/>
      <c r="F344" s="54"/>
      <c r="G344" s="54"/>
    </row>
    <row r="345" ht="15.75" customHeight="1">
      <c r="D345" s="54"/>
      <c r="E345" s="54"/>
      <c r="F345" s="54"/>
      <c r="G345" s="54"/>
    </row>
    <row r="346" ht="15.75" customHeight="1">
      <c r="D346" s="54"/>
      <c r="E346" s="54"/>
      <c r="F346" s="54"/>
      <c r="G346" s="54"/>
    </row>
    <row r="347" ht="15.75" customHeight="1">
      <c r="D347" s="54"/>
      <c r="E347" s="54"/>
      <c r="F347" s="54"/>
      <c r="G347" s="54"/>
    </row>
    <row r="348" ht="15.75" customHeight="1">
      <c r="D348" s="54"/>
      <c r="E348" s="54"/>
      <c r="F348" s="54"/>
      <c r="G348" s="54"/>
    </row>
    <row r="349" ht="15.75" customHeight="1">
      <c r="D349" s="54"/>
      <c r="E349" s="54"/>
      <c r="F349" s="54"/>
      <c r="G349" s="54"/>
    </row>
    <row r="350" ht="15.75" customHeight="1">
      <c r="D350" s="54"/>
      <c r="E350" s="54"/>
      <c r="F350" s="54"/>
      <c r="G350" s="54"/>
    </row>
    <row r="351" ht="15.75" customHeight="1">
      <c r="D351" s="54"/>
      <c r="E351" s="54"/>
      <c r="F351" s="54"/>
      <c r="G351" s="54"/>
    </row>
    <row r="352" ht="15.75" customHeight="1">
      <c r="D352" s="54"/>
      <c r="E352" s="54"/>
      <c r="F352" s="54"/>
      <c r="G352" s="54"/>
    </row>
    <row r="353" ht="15.75" customHeight="1">
      <c r="D353" s="54"/>
      <c r="E353" s="54"/>
      <c r="F353" s="54"/>
      <c r="G353" s="54"/>
    </row>
    <row r="354" ht="15.75" customHeight="1">
      <c r="D354" s="54"/>
      <c r="E354" s="54"/>
      <c r="F354" s="54"/>
      <c r="G354" s="54"/>
    </row>
    <row r="355" ht="15.75" customHeight="1">
      <c r="D355" s="54"/>
      <c r="E355" s="54"/>
      <c r="F355" s="54"/>
      <c r="G355" s="54"/>
    </row>
    <row r="356" ht="15.75" customHeight="1">
      <c r="D356" s="54"/>
      <c r="E356" s="54"/>
      <c r="F356" s="54"/>
      <c r="G356" s="54"/>
    </row>
    <row r="357" ht="15.75" customHeight="1">
      <c r="D357" s="54"/>
      <c r="E357" s="54"/>
      <c r="F357" s="54"/>
      <c r="G357" s="54"/>
    </row>
    <row r="358" ht="15.75" customHeight="1">
      <c r="D358" s="54"/>
      <c r="E358" s="54"/>
      <c r="F358" s="54"/>
      <c r="G358" s="54"/>
    </row>
    <row r="359" ht="15.75" customHeight="1">
      <c r="D359" s="54"/>
      <c r="E359" s="54"/>
      <c r="F359" s="54"/>
      <c r="G359" s="54"/>
    </row>
    <row r="360" ht="15.75" customHeight="1">
      <c r="D360" s="54"/>
      <c r="E360" s="54"/>
      <c r="F360" s="54"/>
      <c r="G360" s="54"/>
    </row>
    <row r="361" ht="15.75" customHeight="1">
      <c r="D361" s="54"/>
      <c r="E361" s="54"/>
      <c r="F361" s="54"/>
      <c r="G361" s="54"/>
    </row>
    <row r="362" ht="15.75" customHeight="1">
      <c r="D362" s="54"/>
      <c r="E362" s="54"/>
      <c r="F362" s="54"/>
      <c r="G362" s="54"/>
    </row>
    <row r="363" ht="15.75" customHeight="1">
      <c r="D363" s="54"/>
      <c r="E363" s="54"/>
      <c r="F363" s="54"/>
      <c r="G363" s="54"/>
    </row>
    <row r="364" ht="15.75" customHeight="1">
      <c r="D364" s="54"/>
      <c r="E364" s="54"/>
      <c r="F364" s="54"/>
      <c r="G364" s="54"/>
    </row>
    <row r="365" ht="15.75" customHeight="1">
      <c r="D365" s="54"/>
      <c r="E365" s="54"/>
      <c r="F365" s="54"/>
      <c r="G365" s="54"/>
    </row>
    <row r="366" ht="15.75" customHeight="1">
      <c r="D366" s="54"/>
      <c r="E366" s="54"/>
      <c r="F366" s="54"/>
      <c r="G366" s="54"/>
    </row>
    <row r="367" ht="15.75" customHeight="1">
      <c r="D367" s="54"/>
      <c r="E367" s="54"/>
      <c r="F367" s="54"/>
      <c r="G367" s="54"/>
    </row>
    <row r="368" ht="15.75" customHeight="1">
      <c r="D368" s="54"/>
      <c r="E368" s="54"/>
      <c r="F368" s="54"/>
      <c r="G368" s="54"/>
    </row>
    <row r="369" ht="15.75" customHeight="1">
      <c r="D369" s="54"/>
      <c r="E369" s="54"/>
      <c r="F369" s="54"/>
      <c r="G369" s="54"/>
    </row>
    <row r="370" ht="15.75" customHeight="1">
      <c r="D370" s="54"/>
      <c r="E370" s="54"/>
      <c r="F370" s="54"/>
      <c r="G370" s="54"/>
    </row>
    <row r="371" ht="15.75" customHeight="1">
      <c r="D371" s="54"/>
      <c r="E371" s="54"/>
      <c r="F371" s="54"/>
      <c r="G371" s="54"/>
    </row>
    <row r="372" ht="15.75" customHeight="1">
      <c r="D372" s="54"/>
      <c r="E372" s="54"/>
      <c r="F372" s="54"/>
      <c r="G372" s="54"/>
    </row>
    <row r="373" ht="15.75" customHeight="1">
      <c r="D373" s="54"/>
      <c r="E373" s="54"/>
      <c r="F373" s="54"/>
      <c r="G373" s="54"/>
    </row>
    <row r="374" ht="15.75" customHeight="1">
      <c r="D374" s="54"/>
      <c r="E374" s="54"/>
      <c r="F374" s="54"/>
      <c r="G374" s="54"/>
    </row>
    <row r="375" ht="15.75" customHeight="1">
      <c r="D375" s="54"/>
      <c r="E375" s="54"/>
      <c r="F375" s="54"/>
      <c r="G375" s="54"/>
    </row>
    <row r="376" ht="15.75" customHeight="1">
      <c r="D376" s="54"/>
      <c r="E376" s="54"/>
      <c r="F376" s="54"/>
      <c r="G376" s="54"/>
    </row>
    <row r="377" ht="15.75" customHeight="1">
      <c r="D377" s="54"/>
      <c r="E377" s="54"/>
      <c r="F377" s="54"/>
      <c r="G377" s="54"/>
    </row>
    <row r="378" ht="15.75" customHeight="1">
      <c r="D378" s="54"/>
      <c r="E378" s="54"/>
      <c r="F378" s="54"/>
      <c r="G378" s="54"/>
    </row>
    <row r="379" ht="15.75" customHeight="1">
      <c r="D379" s="54"/>
      <c r="E379" s="54"/>
      <c r="F379" s="54"/>
      <c r="G379" s="54"/>
    </row>
    <row r="380" ht="15.75" customHeight="1">
      <c r="D380" s="54"/>
      <c r="E380" s="54"/>
      <c r="F380" s="54"/>
      <c r="G380" s="54"/>
    </row>
    <row r="381" ht="15.75" customHeight="1">
      <c r="D381" s="54"/>
      <c r="E381" s="54"/>
      <c r="F381" s="54"/>
      <c r="G381" s="54"/>
    </row>
    <row r="382" ht="15.75" customHeight="1">
      <c r="D382" s="54"/>
      <c r="E382" s="54"/>
      <c r="F382" s="54"/>
      <c r="G382" s="54"/>
    </row>
    <row r="383" ht="15.75" customHeight="1">
      <c r="D383" s="54"/>
      <c r="E383" s="54"/>
      <c r="F383" s="54"/>
      <c r="G383" s="54"/>
    </row>
    <row r="384" ht="15.75" customHeight="1">
      <c r="D384" s="54"/>
      <c r="E384" s="54"/>
      <c r="F384" s="54"/>
      <c r="G384" s="54"/>
    </row>
    <row r="385" ht="15.75" customHeight="1">
      <c r="D385" s="54"/>
      <c r="E385" s="54"/>
      <c r="F385" s="54"/>
      <c r="G385" s="54"/>
    </row>
    <row r="386" ht="15.75" customHeight="1">
      <c r="D386" s="54"/>
      <c r="E386" s="54"/>
      <c r="F386" s="54"/>
      <c r="G386" s="54"/>
    </row>
    <row r="387" ht="15.75" customHeight="1">
      <c r="D387" s="54"/>
      <c r="E387" s="54"/>
      <c r="F387" s="54"/>
      <c r="G387" s="54"/>
    </row>
    <row r="388" ht="15.75" customHeight="1">
      <c r="D388" s="54"/>
      <c r="E388" s="54"/>
      <c r="F388" s="54"/>
      <c r="G388" s="54"/>
    </row>
    <row r="389" ht="15.75" customHeight="1">
      <c r="D389" s="54"/>
      <c r="E389" s="54"/>
      <c r="F389" s="54"/>
      <c r="G389" s="54"/>
    </row>
    <row r="390" ht="15.75" customHeight="1">
      <c r="D390" s="54"/>
      <c r="E390" s="54"/>
      <c r="F390" s="54"/>
      <c r="G390" s="54"/>
    </row>
    <row r="391" ht="15.75" customHeight="1">
      <c r="D391" s="54"/>
      <c r="E391" s="54"/>
      <c r="F391" s="54"/>
      <c r="G391" s="54"/>
    </row>
    <row r="392" ht="15.75" customHeight="1">
      <c r="D392" s="54"/>
      <c r="E392" s="54"/>
      <c r="F392" s="54"/>
      <c r="G392" s="54"/>
    </row>
    <row r="393" ht="15.75" customHeight="1">
      <c r="D393" s="54"/>
      <c r="E393" s="54"/>
      <c r="F393" s="54"/>
      <c r="G393" s="54"/>
    </row>
    <row r="394" ht="15.75" customHeight="1">
      <c r="D394" s="54"/>
      <c r="E394" s="54"/>
      <c r="F394" s="54"/>
      <c r="G394" s="54"/>
    </row>
    <row r="395" ht="15.75" customHeight="1">
      <c r="D395" s="54"/>
      <c r="E395" s="54"/>
      <c r="F395" s="54"/>
      <c r="G395" s="54"/>
    </row>
    <row r="396" ht="15.75" customHeight="1">
      <c r="D396" s="54"/>
      <c r="E396" s="54"/>
      <c r="F396" s="54"/>
      <c r="G396" s="54"/>
    </row>
    <row r="397" ht="15.75" customHeight="1">
      <c r="D397" s="54"/>
      <c r="E397" s="54"/>
      <c r="F397" s="54"/>
      <c r="G397" s="54"/>
    </row>
    <row r="398" ht="15.75" customHeight="1">
      <c r="D398" s="54"/>
      <c r="E398" s="54"/>
      <c r="F398" s="54"/>
      <c r="G398" s="54"/>
    </row>
    <row r="399" ht="15.75" customHeight="1">
      <c r="D399" s="54"/>
      <c r="E399" s="54"/>
      <c r="F399" s="54"/>
      <c r="G399" s="54"/>
    </row>
    <row r="400" ht="15.75" customHeight="1">
      <c r="D400" s="54"/>
      <c r="E400" s="54"/>
      <c r="F400" s="54"/>
      <c r="G400" s="54"/>
    </row>
    <row r="401" ht="15.75" customHeight="1">
      <c r="D401" s="54"/>
      <c r="E401" s="54"/>
      <c r="F401" s="54"/>
      <c r="G401" s="54"/>
    </row>
    <row r="402" ht="15.75" customHeight="1">
      <c r="D402" s="54"/>
      <c r="E402" s="54"/>
      <c r="F402" s="54"/>
      <c r="G402" s="54"/>
    </row>
    <row r="403" ht="15.75" customHeight="1">
      <c r="D403" s="54"/>
      <c r="E403" s="54"/>
      <c r="F403" s="54"/>
      <c r="G403" s="54"/>
    </row>
    <row r="404" ht="15.75" customHeight="1">
      <c r="D404" s="54"/>
      <c r="E404" s="54"/>
      <c r="F404" s="54"/>
      <c r="G404" s="54"/>
    </row>
    <row r="405" ht="15.75" customHeight="1">
      <c r="D405" s="54"/>
      <c r="E405" s="54"/>
      <c r="F405" s="54"/>
      <c r="G405" s="54"/>
    </row>
    <row r="406" ht="15.75" customHeight="1">
      <c r="D406" s="54"/>
      <c r="E406" s="54"/>
      <c r="F406" s="54"/>
      <c r="G406" s="54"/>
    </row>
    <row r="407" ht="15.75" customHeight="1">
      <c r="D407" s="54"/>
      <c r="E407" s="54"/>
      <c r="F407" s="54"/>
      <c r="G407" s="54"/>
    </row>
    <row r="408" ht="15.75" customHeight="1">
      <c r="D408" s="54"/>
      <c r="E408" s="54"/>
      <c r="F408" s="54"/>
      <c r="G408" s="54"/>
    </row>
    <row r="409" ht="15.75" customHeight="1">
      <c r="D409" s="54"/>
      <c r="E409" s="54"/>
      <c r="F409" s="54"/>
      <c r="G409" s="54"/>
    </row>
    <row r="410" ht="15.75" customHeight="1">
      <c r="D410" s="54"/>
      <c r="E410" s="54"/>
      <c r="F410" s="54"/>
      <c r="G410" s="54"/>
    </row>
    <row r="411" ht="15.75" customHeight="1">
      <c r="D411" s="54"/>
      <c r="E411" s="54"/>
      <c r="F411" s="54"/>
      <c r="G411" s="54"/>
    </row>
    <row r="412" ht="15.75" customHeight="1">
      <c r="D412" s="54"/>
      <c r="E412" s="54"/>
      <c r="F412" s="54"/>
      <c r="G412" s="54"/>
    </row>
    <row r="413" ht="15.75" customHeight="1">
      <c r="D413" s="54"/>
      <c r="E413" s="54"/>
      <c r="F413" s="54"/>
      <c r="G413" s="54"/>
    </row>
    <row r="414" ht="15.75" customHeight="1">
      <c r="D414" s="54"/>
      <c r="E414" s="54"/>
      <c r="F414" s="54"/>
      <c r="G414" s="54"/>
    </row>
    <row r="415" ht="15.75" customHeight="1">
      <c r="D415" s="54"/>
      <c r="E415" s="54"/>
      <c r="F415" s="54"/>
      <c r="G415" s="54"/>
    </row>
    <row r="416" ht="15.75" customHeight="1">
      <c r="D416" s="54"/>
      <c r="E416" s="54"/>
      <c r="F416" s="54"/>
      <c r="G416" s="54"/>
    </row>
    <row r="417" ht="15.75" customHeight="1">
      <c r="D417" s="54"/>
      <c r="E417" s="54"/>
      <c r="F417" s="54"/>
      <c r="G417" s="54"/>
    </row>
    <row r="418" ht="15.75" customHeight="1">
      <c r="D418" s="54"/>
      <c r="E418" s="54"/>
      <c r="F418" s="54"/>
      <c r="G418" s="54"/>
    </row>
    <row r="419" ht="15.75" customHeight="1">
      <c r="D419" s="54"/>
      <c r="E419" s="54"/>
      <c r="F419" s="54"/>
      <c r="G419" s="54"/>
    </row>
    <row r="420" ht="15.75" customHeight="1">
      <c r="D420" s="54"/>
      <c r="E420" s="54"/>
      <c r="F420" s="54"/>
      <c r="G420" s="54"/>
    </row>
    <row r="421" ht="15.75" customHeight="1">
      <c r="D421" s="54"/>
      <c r="E421" s="54"/>
      <c r="F421" s="54"/>
      <c r="G421" s="54"/>
    </row>
    <row r="422" ht="15.75" customHeight="1">
      <c r="D422" s="54"/>
      <c r="E422" s="54"/>
      <c r="F422" s="54"/>
      <c r="G422" s="54"/>
    </row>
    <row r="423" ht="15.75" customHeight="1">
      <c r="D423" s="54"/>
      <c r="E423" s="54"/>
      <c r="F423" s="54"/>
      <c r="G423" s="54"/>
    </row>
    <row r="424" ht="15.75" customHeight="1">
      <c r="D424" s="54"/>
      <c r="E424" s="54"/>
      <c r="F424" s="54"/>
      <c r="G424" s="54"/>
    </row>
    <row r="425" ht="15.75" customHeight="1">
      <c r="D425" s="54"/>
      <c r="E425" s="54"/>
      <c r="F425" s="54"/>
      <c r="G425" s="54"/>
    </row>
    <row r="426" ht="15.75" customHeight="1">
      <c r="D426" s="54"/>
      <c r="E426" s="54"/>
      <c r="F426" s="54"/>
      <c r="G426" s="54"/>
    </row>
    <row r="427" ht="15.75" customHeight="1">
      <c r="D427" s="54"/>
      <c r="E427" s="54"/>
      <c r="F427" s="54"/>
      <c r="G427" s="54"/>
    </row>
    <row r="428" ht="15.75" customHeight="1">
      <c r="D428" s="54"/>
      <c r="E428" s="54"/>
      <c r="F428" s="54"/>
      <c r="G428" s="54"/>
    </row>
    <row r="429" ht="15.75" customHeight="1">
      <c r="D429" s="54"/>
      <c r="E429" s="54"/>
      <c r="F429" s="54"/>
      <c r="G429" s="54"/>
    </row>
    <row r="430" ht="15.75" customHeight="1">
      <c r="D430" s="54"/>
      <c r="E430" s="54"/>
      <c r="F430" s="54"/>
      <c r="G430" s="54"/>
    </row>
    <row r="431" ht="15.75" customHeight="1">
      <c r="D431" s="54"/>
      <c r="E431" s="54"/>
      <c r="F431" s="54"/>
      <c r="G431" s="54"/>
    </row>
    <row r="432" ht="15.75" customHeight="1">
      <c r="D432" s="54"/>
      <c r="E432" s="54"/>
      <c r="F432" s="54"/>
      <c r="G432" s="54"/>
    </row>
    <row r="433" ht="15.75" customHeight="1">
      <c r="D433" s="54"/>
      <c r="E433" s="54"/>
      <c r="F433" s="54"/>
      <c r="G433" s="54"/>
    </row>
    <row r="434" ht="15.75" customHeight="1">
      <c r="D434" s="54"/>
      <c r="E434" s="54"/>
      <c r="F434" s="54"/>
      <c r="G434" s="54"/>
    </row>
    <row r="435" ht="15.75" customHeight="1">
      <c r="D435" s="54"/>
      <c r="E435" s="54"/>
      <c r="F435" s="54"/>
      <c r="G435" s="54"/>
    </row>
    <row r="436" ht="15.75" customHeight="1">
      <c r="D436" s="54"/>
      <c r="E436" s="54"/>
      <c r="F436" s="54"/>
      <c r="G436" s="54"/>
    </row>
    <row r="437" ht="15.75" customHeight="1">
      <c r="D437" s="54"/>
      <c r="E437" s="54"/>
      <c r="F437" s="54"/>
      <c r="G437" s="54"/>
    </row>
    <row r="438" ht="15.75" customHeight="1">
      <c r="D438" s="54"/>
      <c r="E438" s="54"/>
      <c r="F438" s="54"/>
      <c r="G438" s="54"/>
    </row>
    <row r="439" ht="15.75" customHeight="1">
      <c r="D439" s="54"/>
      <c r="E439" s="54"/>
      <c r="F439" s="54"/>
      <c r="G439" s="54"/>
    </row>
    <row r="440" ht="15.75" customHeight="1">
      <c r="D440" s="54"/>
      <c r="E440" s="54"/>
      <c r="F440" s="54"/>
      <c r="G440" s="54"/>
    </row>
    <row r="441" ht="15.75" customHeight="1">
      <c r="D441" s="54"/>
      <c r="E441" s="54"/>
      <c r="F441" s="54"/>
      <c r="G441" s="54"/>
    </row>
    <row r="442" ht="15.75" customHeight="1">
      <c r="D442" s="54"/>
      <c r="E442" s="54"/>
      <c r="F442" s="54"/>
      <c r="G442" s="54"/>
    </row>
    <row r="443" ht="15.75" customHeight="1">
      <c r="D443" s="54"/>
      <c r="E443" s="54"/>
      <c r="F443" s="54"/>
      <c r="G443" s="54"/>
    </row>
    <row r="444" ht="15.75" customHeight="1">
      <c r="D444" s="54"/>
      <c r="E444" s="54"/>
      <c r="F444" s="54"/>
      <c r="G444" s="54"/>
    </row>
    <row r="445" ht="15.75" customHeight="1">
      <c r="D445" s="54"/>
      <c r="E445" s="54"/>
      <c r="F445" s="54"/>
      <c r="G445" s="54"/>
    </row>
    <row r="446" ht="15.75" customHeight="1">
      <c r="D446" s="54"/>
      <c r="E446" s="54"/>
      <c r="F446" s="54"/>
      <c r="G446" s="54"/>
    </row>
    <row r="447" ht="15.75" customHeight="1">
      <c r="D447" s="54"/>
      <c r="E447" s="54"/>
      <c r="F447" s="54"/>
      <c r="G447" s="54"/>
    </row>
    <row r="448" ht="15.75" customHeight="1">
      <c r="D448" s="54"/>
      <c r="E448" s="54"/>
      <c r="F448" s="54"/>
      <c r="G448" s="54"/>
    </row>
    <row r="449" ht="15.75" customHeight="1">
      <c r="D449" s="54"/>
      <c r="E449" s="54"/>
      <c r="F449" s="54"/>
      <c r="G449" s="54"/>
    </row>
    <row r="450" ht="15.75" customHeight="1">
      <c r="D450" s="54"/>
      <c r="E450" s="54"/>
      <c r="F450" s="54"/>
      <c r="G450" s="54"/>
    </row>
    <row r="451" ht="15.75" customHeight="1">
      <c r="D451" s="54"/>
      <c r="E451" s="54"/>
      <c r="F451" s="54"/>
      <c r="G451" s="54"/>
    </row>
    <row r="452" ht="15.75" customHeight="1">
      <c r="D452" s="54"/>
      <c r="E452" s="54"/>
      <c r="F452" s="54"/>
      <c r="G452" s="54"/>
    </row>
    <row r="453" ht="15.75" customHeight="1">
      <c r="D453" s="54"/>
      <c r="E453" s="54"/>
      <c r="F453" s="54"/>
      <c r="G453" s="54"/>
    </row>
    <row r="454" ht="15.75" customHeight="1">
      <c r="D454" s="54"/>
      <c r="E454" s="54"/>
      <c r="F454" s="54"/>
      <c r="G454" s="54"/>
    </row>
    <row r="455" ht="15.75" customHeight="1">
      <c r="D455" s="54"/>
      <c r="E455" s="54"/>
      <c r="F455" s="54"/>
      <c r="G455" s="54"/>
    </row>
    <row r="456" ht="15.75" customHeight="1">
      <c r="D456" s="54"/>
      <c r="E456" s="54"/>
      <c r="F456" s="54"/>
      <c r="G456" s="54"/>
    </row>
    <row r="457" ht="15.75" customHeight="1">
      <c r="D457" s="54"/>
      <c r="E457" s="54"/>
      <c r="F457" s="54"/>
      <c r="G457" s="54"/>
    </row>
    <row r="458" ht="15.75" customHeight="1">
      <c r="D458" s="54"/>
      <c r="E458" s="54"/>
      <c r="F458" s="54"/>
      <c r="G458" s="54"/>
    </row>
    <row r="459" ht="15.75" customHeight="1">
      <c r="D459" s="54"/>
      <c r="E459" s="54"/>
      <c r="F459" s="54"/>
      <c r="G459" s="54"/>
    </row>
    <row r="460" ht="15.75" customHeight="1">
      <c r="D460" s="54"/>
      <c r="E460" s="54"/>
      <c r="F460" s="54"/>
      <c r="G460" s="54"/>
    </row>
    <row r="461" ht="15.75" customHeight="1">
      <c r="D461" s="54"/>
      <c r="E461" s="54"/>
      <c r="F461" s="54"/>
      <c r="G461" s="54"/>
    </row>
    <row r="462" ht="15.75" customHeight="1">
      <c r="D462" s="54"/>
      <c r="E462" s="54"/>
      <c r="F462" s="54"/>
      <c r="G462" s="54"/>
    </row>
    <row r="463" ht="15.75" customHeight="1">
      <c r="D463" s="54"/>
      <c r="E463" s="54"/>
      <c r="F463" s="54"/>
      <c r="G463" s="54"/>
    </row>
    <row r="464" ht="15.75" customHeight="1">
      <c r="D464" s="54"/>
      <c r="E464" s="54"/>
      <c r="F464" s="54"/>
      <c r="G464" s="54"/>
    </row>
    <row r="465" ht="15.75" customHeight="1">
      <c r="D465" s="54"/>
      <c r="E465" s="54"/>
      <c r="F465" s="54"/>
      <c r="G465" s="54"/>
    </row>
    <row r="466" ht="15.75" customHeight="1">
      <c r="D466" s="54"/>
      <c r="E466" s="54"/>
      <c r="F466" s="54"/>
      <c r="G466" s="54"/>
    </row>
    <row r="467" ht="15.75" customHeight="1">
      <c r="D467" s="54"/>
      <c r="E467" s="54"/>
      <c r="F467" s="54"/>
      <c r="G467" s="54"/>
    </row>
    <row r="468" ht="15.75" customHeight="1">
      <c r="D468" s="54"/>
      <c r="E468" s="54"/>
      <c r="F468" s="54"/>
      <c r="G468" s="54"/>
    </row>
    <row r="469" ht="15.75" customHeight="1">
      <c r="D469" s="54"/>
      <c r="E469" s="54"/>
      <c r="F469" s="54"/>
      <c r="G469" s="54"/>
    </row>
    <row r="470" ht="15.75" customHeight="1">
      <c r="D470" s="54"/>
      <c r="E470" s="54"/>
      <c r="F470" s="54"/>
      <c r="G470" s="54"/>
    </row>
    <row r="471" ht="15.75" customHeight="1">
      <c r="D471" s="54"/>
      <c r="E471" s="54"/>
      <c r="F471" s="54"/>
      <c r="G471" s="54"/>
    </row>
    <row r="472" ht="15.75" customHeight="1">
      <c r="D472" s="54"/>
      <c r="E472" s="54"/>
      <c r="F472" s="54"/>
      <c r="G472" s="54"/>
    </row>
    <row r="473" ht="15.75" customHeight="1">
      <c r="D473" s="54"/>
      <c r="E473" s="54"/>
      <c r="F473" s="54"/>
      <c r="G473" s="54"/>
    </row>
    <row r="474" ht="15.75" customHeight="1">
      <c r="D474" s="54"/>
      <c r="E474" s="54"/>
      <c r="F474" s="54"/>
      <c r="G474" s="54"/>
    </row>
    <row r="475" ht="15.75" customHeight="1">
      <c r="D475" s="54"/>
      <c r="E475" s="54"/>
      <c r="F475" s="54"/>
      <c r="G475" s="54"/>
    </row>
    <row r="476" ht="15.75" customHeight="1">
      <c r="D476" s="54"/>
      <c r="E476" s="54"/>
      <c r="F476" s="54"/>
      <c r="G476" s="54"/>
    </row>
    <row r="477" ht="15.75" customHeight="1">
      <c r="D477" s="54"/>
      <c r="E477" s="54"/>
      <c r="F477" s="54"/>
      <c r="G477" s="54"/>
    </row>
    <row r="478" ht="15.75" customHeight="1">
      <c r="D478" s="54"/>
      <c r="E478" s="54"/>
      <c r="F478" s="54"/>
      <c r="G478" s="54"/>
    </row>
    <row r="479" ht="15.75" customHeight="1">
      <c r="D479" s="54"/>
      <c r="E479" s="54"/>
      <c r="F479" s="54"/>
      <c r="G479" s="54"/>
    </row>
    <row r="480" ht="15.75" customHeight="1">
      <c r="D480" s="54"/>
      <c r="E480" s="54"/>
      <c r="F480" s="54"/>
      <c r="G480" s="54"/>
    </row>
    <row r="481" ht="15.75" customHeight="1">
      <c r="D481" s="54"/>
      <c r="E481" s="54"/>
      <c r="F481" s="54"/>
      <c r="G481" s="54"/>
    </row>
    <row r="482" ht="15.75" customHeight="1">
      <c r="D482" s="54"/>
      <c r="E482" s="54"/>
      <c r="F482" s="54"/>
      <c r="G482" s="54"/>
    </row>
    <row r="483" ht="15.75" customHeight="1">
      <c r="D483" s="54"/>
      <c r="E483" s="54"/>
      <c r="F483" s="54"/>
      <c r="G483" s="54"/>
    </row>
    <row r="484" ht="15.75" customHeight="1">
      <c r="D484" s="54"/>
      <c r="E484" s="54"/>
      <c r="F484" s="54"/>
      <c r="G484" s="54"/>
    </row>
    <row r="485" ht="15.75" customHeight="1">
      <c r="D485" s="54"/>
      <c r="E485" s="54"/>
      <c r="F485" s="54"/>
      <c r="G485" s="54"/>
    </row>
    <row r="486" ht="15.75" customHeight="1">
      <c r="D486" s="54"/>
      <c r="E486" s="54"/>
      <c r="F486" s="54"/>
      <c r="G486" s="54"/>
    </row>
    <row r="487" ht="15.75" customHeight="1">
      <c r="D487" s="54"/>
      <c r="E487" s="54"/>
      <c r="F487" s="54"/>
      <c r="G487" s="54"/>
    </row>
    <row r="488" ht="15.75" customHeight="1">
      <c r="D488" s="54"/>
      <c r="E488" s="54"/>
      <c r="F488" s="54"/>
      <c r="G488" s="54"/>
    </row>
    <row r="489" ht="15.75" customHeight="1">
      <c r="D489" s="54"/>
      <c r="E489" s="54"/>
      <c r="F489" s="54"/>
      <c r="G489" s="54"/>
    </row>
    <row r="490" ht="15.75" customHeight="1">
      <c r="D490" s="54"/>
      <c r="E490" s="54"/>
      <c r="F490" s="54"/>
      <c r="G490" s="54"/>
    </row>
    <row r="491" ht="15.75" customHeight="1">
      <c r="D491" s="54"/>
      <c r="E491" s="54"/>
      <c r="F491" s="54"/>
      <c r="G491" s="54"/>
    </row>
    <row r="492" ht="15.75" customHeight="1">
      <c r="D492" s="54"/>
      <c r="E492" s="54"/>
      <c r="F492" s="54"/>
      <c r="G492" s="54"/>
    </row>
    <row r="493" ht="15.75" customHeight="1">
      <c r="D493" s="54"/>
      <c r="E493" s="54"/>
      <c r="F493" s="54"/>
      <c r="G493" s="54"/>
    </row>
    <row r="494" ht="15.75" customHeight="1">
      <c r="D494" s="54"/>
      <c r="E494" s="54"/>
      <c r="F494" s="54"/>
      <c r="G494" s="54"/>
    </row>
    <row r="495" ht="15.75" customHeight="1">
      <c r="D495" s="54"/>
      <c r="E495" s="54"/>
      <c r="F495" s="54"/>
      <c r="G495" s="54"/>
    </row>
    <row r="496" ht="15.75" customHeight="1">
      <c r="D496" s="54"/>
      <c r="E496" s="54"/>
      <c r="F496" s="54"/>
      <c r="G496" s="54"/>
    </row>
    <row r="497" ht="15.75" customHeight="1">
      <c r="D497" s="54"/>
      <c r="E497" s="54"/>
      <c r="F497" s="54"/>
      <c r="G497" s="54"/>
    </row>
    <row r="498" ht="15.75" customHeight="1">
      <c r="D498" s="54"/>
      <c r="E498" s="54"/>
      <c r="F498" s="54"/>
      <c r="G498" s="54"/>
    </row>
    <row r="499" ht="15.75" customHeight="1">
      <c r="D499" s="54"/>
      <c r="E499" s="54"/>
      <c r="F499" s="54"/>
      <c r="G499" s="54"/>
    </row>
    <row r="500" ht="15.75" customHeight="1">
      <c r="D500" s="54"/>
      <c r="E500" s="54"/>
      <c r="F500" s="54"/>
      <c r="G500" s="54"/>
    </row>
    <row r="501" ht="15.75" customHeight="1">
      <c r="D501" s="54"/>
      <c r="E501" s="54"/>
      <c r="F501" s="54"/>
      <c r="G501" s="54"/>
    </row>
    <row r="502" ht="15.75" customHeight="1">
      <c r="D502" s="54"/>
      <c r="E502" s="54"/>
      <c r="F502" s="54"/>
      <c r="G502" s="54"/>
    </row>
    <row r="503" ht="15.75" customHeight="1">
      <c r="D503" s="54"/>
      <c r="E503" s="54"/>
      <c r="F503" s="54"/>
      <c r="G503" s="54"/>
    </row>
    <row r="504" ht="15.75" customHeight="1">
      <c r="D504" s="54"/>
      <c r="E504" s="54"/>
      <c r="F504" s="54"/>
      <c r="G504" s="54"/>
    </row>
    <row r="505" ht="15.75" customHeight="1">
      <c r="D505" s="54"/>
      <c r="E505" s="54"/>
      <c r="F505" s="54"/>
      <c r="G505" s="54"/>
    </row>
    <row r="506" ht="15.75" customHeight="1">
      <c r="D506" s="54"/>
      <c r="E506" s="54"/>
      <c r="F506" s="54"/>
      <c r="G506" s="54"/>
    </row>
    <row r="507" ht="15.75" customHeight="1">
      <c r="D507" s="54"/>
      <c r="E507" s="54"/>
      <c r="F507" s="54"/>
      <c r="G507" s="54"/>
    </row>
    <row r="508" ht="15.75" customHeight="1">
      <c r="D508" s="54"/>
      <c r="E508" s="54"/>
      <c r="F508" s="54"/>
      <c r="G508" s="54"/>
    </row>
    <row r="509" ht="15.75" customHeight="1">
      <c r="D509" s="54"/>
      <c r="E509" s="54"/>
      <c r="F509" s="54"/>
      <c r="G509" s="54"/>
    </row>
    <row r="510" ht="15.75" customHeight="1">
      <c r="D510" s="54"/>
      <c r="E510" s="54"/>
      <c r="F510" s="54"/>
      <c r="G510" s="54"/>
    </row>
    <row r="511" ht="15.75" customHeight="1">
      <c r="D511" s="54"/>
      <c r="E511" s="54"/>
      <c r="F511" s="54"/>
      <c r="G511" s="54"/>
    </row>
    <row r="512" ht="15.75" customHeight="1">
      <c r="D512" s="54"/>
      <c r="E512" s="54"/>
      <c r="F512" s="54"/>
      <c r="G512" s="54"/>
    </row>
    <row r="513" ht="15.75" customHeight="1">
      <c r="D513" s="54"/>
      <c r="E513" s="54"/>
      <c r="F513" s="54"/>
      <c r="G513" s="54"/>
    </row>
    <row r="514" ht="15.75" customHeight="1">
      <c r="D514" s="54"/>
      <c r="E514" s="54"/>
      <c r="F514" s="54"/>
      <c r="G514" s="54"/>
    </row>
    <row r="515" ht="15.75" customHeight="1">
      <c r="D515" s="54"/>
      <c r="E515" s="54"/>
      <c r="F515" s="54"/>
      <c r="G515" s="54"/>
    </row>
    <row r="516" ht="15.75" customHeight="1">
      <c r="D516" s="54"/>
      <c r="E516" s="54"/>
      <c r="F516" s="54"/>
      <c r="G516" s="54"/>
    </row>
    <row r="517" ht="15.75" customHeight="1">
      <c r="D517" s="54"/>
      <c r="E517" s="54"/>
      <c r="F517" s="54"/>
      <c r="G517" s="54"/>
    </row>
    <row r="518" ht="15.75" customHeight="1">
      <c r="D518" s="54"/>
      <c r="E518" s="54"/>
      <c r="F518" s="54"/>
      <c r="G518" s="54"/>
    </row>
    <row r="519" ht="15.75" customHeight="1">
      <c r="D519" s="54"/>
      <c r="E519" s="54"/>
      <c r="F519" s="54"/>
      <c r="G519" s="54"/>
    </row>
    <row r="520" ht="15.75" customHeight="1">
      <c r="D520" s="54"/>
      <c r="E520" s="54"/>
      <c r="F520" s="54"/>
      <c r="G520" s="54"/>
    </row>
    <row r="521" ht="15.75" customHeight="1">
      <c r="D521" s="54"/>
      <c r="E521" s="54"/>
      <c r="F521" s="54"/>
      <c r="G521" s="54"/>
    </row>
    <row r="522" ht="15.75" customHeight="1">
      <c r="D522" s="54"/>
      <c r="E522" s="54"/>
      <c r="F522" s="54"/>
      <c r="G522" s="54"/>
    </row>
    <row r="523" ht="15.75" customHeight="1">
      <c r="D523" s="54"/>
      <c r="E523" s="54"/>
      <c r="F523" s="54"/>
      <c r="G523" s="54"/>
    </row>
    <row r="524" ht="15.75" customHeight="1">
      <c r="D524" s="54"/>
      <c r="E524" s="54"/>
      <c r="F524" s="54"/>
      <c r="G524" s="54"/>
    </row>
    <row r="525" ht="15.75" customHeight="1">
      <c r="D525" s="54"/>
      <c r="E525" s="54"/>
      <c r="F525" s="54"/>
      <c r="G525" s="54"/>
    </row>
    <row r="526" ht="15.75" customHeight="1">
      <c r="D526" s="54"/>
      <c r="E526" s="54"/>
      <c r="F526" s="54"/>
      <c r="G526" s="54"/>
    </row>
    <row r="527" ht="15.75" customHeight="1">
      <c r="D527" s="54"/>
      <c r="E527" s="54"/>
      <c r="F527" s="54"/>
      <c r="G527" s="54"/>
    </row>
    <row r="528" ht="15.75" customHeight="1">
      <c r="D528" s="54"/>
      <c r="E528" s="54"/>
      <c r="F528" s="54"/>
      <c r="G528" s="54"/>
    </row>
    <row r="529" ht="15.75" customHeight="1">
      <c r="D529" s="54"/>
      <c r="E529" s="54"/>
      <c r="F529" s="54"/>
      <c r="G529" s="54"/>
    </row>
    <row r="530" ht="15.75" customHeight="1">
      <c r="D530" s="54"/>
      <c r="E530" s="54"/>
      <c r="F530" s="54"/>
      <c r="G530" s="54"/>
    </row>
    <row r="531" ht="15.75" customHeight="1">
      <c r="D531" s="54"/>
      <c r="E531" s="54"/>
      <c r="F531" s="54"/>
      <c r="G531" s="54"/>
    </row>
    <row r="532" ht="15.75" customHeight="1">
      <c r="D532" s="54"/>
      <c r="E532" s="54"/>
      <c r="F532" s="54"/>
      <c r="G532" s="54"/>
    </row>
    <row r="533" ht="15.75" customHeight="1">
      <c r="D533" s="54"/>
      <c r="E533" s="54"/>
      <c r="F533" s="54"/>
      <c r="G533" s="54"/>
    </row>
    <row r="534" ht="15.75" customHeight="1">
      <c r="D534" s="54"/>
      <c r="E534" s="54"/>
      <c r="F534" s="54"/>
      <c r="G534" s="54"/>
    </row>
    <row r="535" ht="15.75" customHeight="1">
      <c r="D535" s="54"/>
      <c r="E535" s="54"/>
      <c r="F535" s="54"/>
      <c r="G535" s="54"/>
    </row>
    <row r="536" ht="15.75" customHeight="1">
      <c r="D536" s="54"/>
      <c r="E536" s="54"/>
      <c r="F536" s="54"/>
      <c r="G536" s="54"/>
    </row>
    <row r="537" ht="15.75" customHeight="1">
      <c r="D537" s="54"/>
      <c r="E537" s="54"/>
      <c r="F537" s="54"/>
      <c r="G537" s="54"/>
    </row>
    <row r="538" ht="15.75" customHeight="1">
      <c r="D538" s="54"/>
      <c r="E538" s="54"/>
      <c r="F538" s="54"/>
      <c r="G538" s="54"/>
    </row>
    <row r="539" ht="15.75" customHeight="1">
      <c r="D539" s="54"/>
      <c r="E539" s="54"/>
      <c r="F539" s="54"/>
      <c r="G539" s="54"/>
    </row>
    <row r="540" ht="15.75" customHeight="1">
      <c r="D540" s="54"/>
      <c r="E540" s="54"/>
      <c r="F540" s="54"/>
      <c r="G540" s="54"/>
    </row>
    <row r="541" ht="15.75" customHeight="1">
      <c r="D541" s="54"/>
      <c r="E541" s="54"/>
      <c r="F541" s="54"/>
      <c r="G541" s="54"/>
    </row>
    <row r="542" ht="15.75" customHeight="1">
      <c r="D542" s="54"/>
      <c r="E542" s="54"/>
      <c r="F542" s="54"/>
      <c r="G542" s="54"/>
    </row>
    <row r="543" ht="15.75" customHeight="1">
      <c r="D543" s="54"/>
      <c r="E543" s="54"/>
      <c r="F543" s="54"/>
      <c r="G543" s="54"/>
    </row>
    <row r="544" ht="15.75" customHeight="1">
      <c r="D544" s="54"/>
      <c r="E544" s="54"/>
      <c r="F544" s="54"/>
      <c r="G544" s="54"/>
    </row>
    <row r="545" ht="15.75" customHeight="1">
      <c r="D545" s="54"/>
      <c r="E545" s="54"/>
      <c r="F545" s="54"/>
      <c r="G545" s="54"/>
    </row>
    <row r="546" ht="15.75" customHeight="1">
      <c r="D546" s="54"/>
      <c r="E546" s="54"/>
      <c r="F546" s="54"/>
      <c r="G546" s="54"/>
    </row>
    <row r="547" ht="15.75" customHeight="1">
      <c r="D547" s="54"/>
      <c r="E547" s="54"/>
      <c r="F547" s="54"/>
      <c r="G547" s="54"/>
    </row>
    <row r="548" ht="15.75" customHeight="1">
      <c r="D548" s="54"/>
      <c r="E548" s="54"/>
      <c r="F548" s="54"/>
      <c r="G548" s="54"/>
    </row>
    <row r="549" ht="15.75" customHeight="1">
      <c r="D549" s="54"/>
      <c r="E549" s="54"/>
      <c r="F549" s="54"/>
      <c r="G549" s="54"/>
    </row>
    <row r="550" ht="15.75" customHeight="1">
      <c r="D550" s="54"/>
      <c r="E550" s="54"/>
      <c r="F550" s="54"/>
      <c r="G550" s="54"/>
    </row>
    <row r="551" ht="15.75" customHeight="1">
      <c r="D551" s="54"/>
      <c r="E551" s="54"/>
      <c r="F551" s="54"/>
      <c r="G551" s="54"/>
    </row>
    <row r="552" ht="15.75" customHeight="1">
      <c r="D552" s="54"/>
      <c r="E552" s="54"/>
      <c r="F552" s="54"/>
      <c r="G552" s="54"/>
    </row>
    <row r="553" ht="15.75" customHeight="1">
      <c r="D553" s="54"/>
      <c r="E553" s="54"/>
      <c r="F553" s="54"/>
      <c r="G553" s="54"/>
    </row>
    <row r="554" ht="15.75" customHeight="1">
      <c r="D554" s="54"/>
      <c r="E554" s="54"/>
      <c r="F554" s="54"/>
      <c r="G554" s="54"/>
    </row>
    <row r="555" ht="15.75" customHeight="1">
      <c r="D555" s="54"/>
      <c r="E555" s="54"/>
      <c r="F555" s="54"/>
      <c r="G555" s="54"/>
    </row>
    <row r="556" ht="15.75" customHeight="1">
      <c r="D556" s="54"/>
      <c r="E556" s="54"/>
      <c r="F556" s="54"/>
      <c r="G556" s="54"/>
    </row>
    <row r="557" ht="15.75" customHeight="1">
      <c r="D557" s="54"/>
      <c r="E557" s="54"/>
      <c r="F557" s="54"/>
      <c r="G557" s="54"/>
    </row>
    <row r="558" ht="15.75" customHeight="1">
      <c r="D558" s="54"/>
      <c r="E558" s="54"/>
      <c r="F558" s="54"/>
      <c r="G558" s="54"/>
    </row>
    <row r="559" ht="15.75" customHeight="1">
      <c r="D559" s="54"/>
      <c r="E559" s="54"/>
      <c r="F559" s="54"/>
      <c r="G559" s="54"/>
    </row>
    <row r="560" ht="15.75" customHeight="1">
      <c r="D560" s="54"/>
      <c r="E560" s="54"/>
      <c r="F560" s="54"/>
      <c r="G560" s="54"/>
    </row>
    <row r="561" ht="15.75" customHeight="1">
      <c r="D561" s="54"/>
      <c r="E561" s="54"/>
      <c r="F561" s="54"/>
      <c r="G561" s="54"/>
    </row>
    <row r="562" ht="15.75" customHeight="1">
      <c r="D562" s="54"/>
      <c r="E562" s="54"/>
      <c r="F562" s="54"/>
      <c r="G562" s="54"/>
    </row>
    <row r="563" ht="15.75" customHeight="1">
      <c r="D563" s="54"/>
      <c r="E563" s="54"/>
      <c r="F563" s="54"/>
      <c r="G563" s="54"/>
    </row>
    <row r="564" ht="15.75" customHeight="1">
      <c r="D564" s="54"/>
      <c r="E564" s="54"/>
      <c r="F564" s="54"/>
      <c r="G564" s="54"/>
    </row>
    <row r="565" ht="15.75" customHeight="1">
      <c r="D565" s="54"/>
      <c r="E565" s="54"/>
      <c r="F565" s="54"/>
      <c r="G565" s="54"/>
    </row>
    <row r="566" ht="15.75" customHeight="1">
      <c r="D566" s="54"/>
      <c r="E566" s="54"/>
      <c r="F566" s="54"/>
      <c r="G566" s="54"/>
    </row>
    <row r="567" ht="15.75" customHeight="1">
      <c r="D567" s="54"/>
      <c r="E567" s="54"/>
      <c r="F567" s="54"/>
      <c r="G567" s="54"/>
    </row>
    <row r="568" ht="15.75" customHeight="1">
      <c r="D568" s="54"/>
      <c r="E568" s="54"/>
      <c r="F568" s="54"/>
      <c r="G568" s="54"/>
    </row>
    <row r="569" ht="15.75" customHeight="1">
      <c r="D569" s="54"/>
      <c r="E569" s="54"/>
      <c r="F569" s="54"/>
      <c r="G569" s="54"/>
    </row>
    <row r="570" ht="15.75" customHeight="1">
      <c r="D570" s="54"/>
      <c r="E570" s="54"/>
      <c r="F570" s="54"/>
      <c r="G570" s="54"/>
    </row>
    <row r="571" ht="15.75" customHeight="1">
      <c r="D571" s="54"/>
      <c r="E571" s="54"/>
      <c r="F571" s="54"/>
      <c r="G571" s="54"/>
    </row>
    <row r="572" ht="15.75" customHeight="1">
      <c r="D572" s="54"/>
      <c r="E572" s="54"/>
      <c r="F572" s="54"/>
      <c r="G572" s="54"/>
    </row>
    <row r="573" ht="15.75" customHeight="1">
      <c r="D573" s="54"/>
      <c r="E573" s="54"/>
      <c r="F573" s="54"/>
      <c r="G573" s="54"/>
    </row>
    <row r="574" ht="15.75" customHeight="1">
      <c r="D574" s="54"/>
      <c r="E574" s="54"/>
      <c r="F574" s="54"/>
      <c r="G574" s="54"/>
    </row>
    <row r="575" ht="15.75" customHeight="1">
      <c r="D575" s="54"/>
      <c r="E575" s="54"/>
      <c r="F575" s="54"/>
      <c r="G575" s="54"/>
    </row>
    <row r="576" ht="15.75" customHeight="1">
      <c r="D576" s="54"/>
      <c r="E576" s="54"/>
      <c r="F576" s="54"/>
      <c r="G576" s="54"/>
    </row>
    <row r="577" ht="15.75" customHeight="1">
      <c r="D577" s="54"/>
      <c r="E577" s="54"/>
      <c r="F577" s="54"/>
      <c r="G577" s="54"/>
    </row>
    <row r="578" ht="15.75" customHeight="1">
      <c r="D578" s="54"/>
      <c r="E578" s="54"/>
      <c r="F578" s="54"/>
      <c r="G578" s="54"/>
    </row>
    <row r="579" ht="15.75" customHeight="1">
      <c r="D579" s="54"/>
      <c r="E579" s="54"/>
      <c r="F579" s="54"/>
      <c r="G579" s="54"/>
    </row>
    <row r="580" ht="15.75" customHeight="1">
      <c r="D580" s="54"/>
      <c r="E580" s="54"/>
      <c r="F580" s="54"/>
      <c r="G580" s="54"/>
    </row>
    <row r="581" ht="15.75" customHeight="1">
      <c r="D581" s="54"/>
      <c r="E581" s="54"/>
      <c r="F581" s="54"/>
      <c r="G581" s="54"/>
    </row>
    <row r="582" ht="15.75" customHeight="1">
      <c r="D582" s="54"/>
      <c r="E582" s="54"/>
      <c r="F582" s="54"/>
      <c r="G582" s="54"/>
    </row>
    <row r="583" ht="15.75" customHeight="1">
      <c r="D583" s="54"/>
      <c r="E583" s="54"/>
      <c r="F583" s="54"/>
      <c r="G583" s="54"/>
    </row>
    <row r="584" ht="15.75" customHeight="1">
      <c r="D584" s="54"/>
      <c r="E584" s="54"/>
      <c r="F584" s="54"/>
      <c r="G584" s="54"/>
    </row>
    <row r="585" ht="15.75" customHeight="1">
      <c r="D585" s="54"/>
      <c r="E585" s="54"/>
      <c r="F585" s="54"/>
      <c r="G585" s="54"/>
    </row>
    <row r="586" ht="15.75" customHeight="1">
      <c r="D586" s="54"/>
      <c r="E586" s="54"/>
      <c r="F586" s="54"/>
      <c r="G586" s="54"/>
    </row>
    <row r="587" ht="15.75" customHeight="1">
      <c r="D587" s="54"/>
      <c r="E587" s="54"/>
      <c r="F587" s="54"/>
      <c r="G587" s="54"/>
    </row>
    <row r="588" ht="15.75" customHeight="1">
      <c r="D588" s="54"/>
      <c r="E588" s="54"/>
      <c r="F588" s="54"/>
      <c r="G588" s="54"/>
    </row>
    <row r="589" ht="15.75" customHeight="1">
      <c r="D589" s="54"/>
      <c r="E589" s="54"/>
      <c r="F589" s="54"/>
      <c r="G589" s="54"/>
    </row>
    <row r="590" ht="15.75" customHeight="1">
      <c r="D590" s="54"/>
      <c r="E590" s="54"/>
      <c r="F590" s="54"/>
      <c r="G590" s="54"/>
    </row>
    <row r="591" ht="15.75" customHeight="1">
      <c r="D591" s="54"/>
      <c r="E591" s="54"/>
      <c r="F591" s="54"/>
      <c r="G591" s="54"/>
    </row>
    <row r="592" ht="15.75" customHeight="1">
      <c r="D592" s="54"/>
      <c r="E592" s="54"/>
      <c r="F592" s="54"/>
      <c r="G592" s="54"/>
    </row>
    <row r="593" ht="15.75" customHeight="1">
      <c r="D593" s="54"/>
      <c r="E593" s="54"/>
      <c r="F593" s="54"/>
      <c r="G593" s="54"/>
    </row>
    <row r="594" ht="15.75" customHeight="1">
      <c r="D594" s="54"/>
      <c r="E594" s="54"/>
      <c r="F594" s="54"/>
      <c r="G594" s="54"/>
    </row>
    <row r="595" ht="15.75" customHeight="1">
      <c r="D595" s="54"/>
      <c r="E595" s="54"/>
      <c r="F595" s="54"/>
      <c r="G595" s="54"/>
    </row>
    <row r="596" ht="15.75" customHeight="1">
      <c r="D596" s="54"/>
      <c r="E596" s="54"/>
      <c r="F596" s="54"/>
      <c r="G596" s="54"/>
    </row>
    <row r="597" ht="15.75" customHeight="1">
      <c r="D597" s="54"/>
      <c r="E597" s="54"/>
      <c r="F597" s="54"/>
      <c r="G597" s="54"/>
    </row>
    <row r="598" ht="15.75" customHeight="1">
      <c r="D598" s="54"/>
      <c r="E598" s="54"/>
      <c r="F598" s="54"/>
      <c r="G598" s="54"/>
    </row>
    <row r="599" ht="15.75" customHeight="1">
      <c r="D599" s="54"/>
      <c r="E599" s="54"/>
      <c r="F599" s="54"/>
      <c r="G599" s="54"/>
    </row>
    <row r="600" ht="15.75" customHeight="1">
      <c r="D600" s="54"/>
      <c r="E600" s="54"/>
      <c r="F600" s="54"/>
      <c r="G600" s="54"/>
    </row>
    <row r="601" ht="15.75" customHeight="1">
      <c r="D601" s="54"/>
      <c r="E601" s="54"/>
      <c r="F601" s="54"/>
      <c r="G601" s="54"/>
    </row>
    <row r="602" ht="15.75" customHeight="1">
      <c r="D602" s="54"/>
      <c r="E602" s="54"/>
      <c r="F602" s="54"/>
      <c r="G602" s="54"/>
    </row>
    <row r="603" ht="15.75" customHeight="1">
      <c r="D603" s="54"/>
      <c r="E603" s="54"/>
      <c r="F603" s="54"/>
      <c r="G603" s="54"/>
    </row>
    <row r="604" ht="15.75" customHeight="1">
      <c r="D604" s="54"/>
      <c r="E604" s="54"/>
      <c r="F604" s="54"/>
      <c r="G604" s="54"/>
    </row>
    <row r="605" ht="15.75" customHeight="1">
      <c r="D605" s="54"/>
      <c r="E605" s="54"/>
      <c r="F605" s="54"/>
      <c r="G605" s="54"/>
    </row>
    <row r="606" ht="15.75" customHeight="1">
      <c r="D606" s="54"/>
      <c r="E606" s="54"/>
      <c r="F606" s="54"/>
      <c r="G606" s="54"/>
    </row>
    <row r="607" ht="15.75" customHeight="1">
      <c r="D607" s="54"/>
      <c r="E607" s="54"/>
      <c r="F607" s="54"/>
      <c r="G607" s="54"/>
    </row>
    <row r="608" ht="15.75" customHeight="1">
      <c r="D608" s="54"/>
      <c r="E608" s="54"/>
      <c r="F608" s="54"/>
      <c r="G608" s="54"/>
    </row>
    <row r="609" ht="15.75" customHeight="1">
      <c r="D609" s="54"/>
      <c r="E609" s="54"/>
      <c r="F609" s="54"/>
      <c r="G609" s="54"/>
    </row>
    <row r="610" ht="15.75" customHeight="1">
      <c r="D610" s="54"/>
      <c r="E610" s="54"/>
      <c r="F610" s="54"/>
      <c r="G610" s="54"/>
    </row>
    <row r="611" ht="15.75" customHeight="1">
      <c r="D611" s="54"/>
      <c r="E611" s="54"/>
      <c r="F611" s="54"/>
      <c r="G611" s="54"/>
    </row>
    <row r="612" ht="15.75" customHeight="1">
      <c r="D612" s="54"/>
      <c r="E612" s="54"/>
      <c r="F612" s="54"/>
      <c r="G612" s="54"/>
    </row>
    <row r="613" ht="15.75" customHeight="1">
      <c r="D613" s="54"/>
      <c r="E613" s="54"/>
      <c r="F613" s="54"/>
      <c r="G613" s="54"/>
    </row>
    <row r="614" ht="15.75" customHeight="1">
      <c r="D614" s="54"/>
      <c r="E614" s="54"/>
      <c r="F614" s="54"/>
      <c r="G614" s="54"/>
    </row>
    <row r="615" ht="15.75" customHeight="1">
      <c r="D615" s="54"/>
      <c r="E615" s="54"/>
      <c r="F615" s="54"/>
      <c r="G615" s="54"/>
    </row>
    <row r="616" ht="15.75" customHeight="1">
      <c r="D616" s="54"/>
      <c r="E616" s="54"/>
      <c r="F616" s="54"/>
      <c r="G616" s="54"/>
    </row>
    <row r="617" ht="15.75" customHeight="1">
      <c r="D617" s="54"/>
      <c r="E617" s="54"/>
      <c r="F617" s="54"/>
      <c r="G617" s="54"/>
    </row>
    <row r="618" ht="15.75" customHeight="1">
      <c r="D618" s="54"/>
      <c r="E618" s="54"/>
      <c r="F618" s="54"/>
      <c r="G618" s="54"/>
    </row>
    <row r="619" ht="15.75" customHeight="1">
      <c r="D619" s="54"/>
      <c r="E619" s="54"/>
      <c r="F619" s="54"/>
      <c r="G619" s="54"/>
    </row>
    <row r="620" ht="15.75" customHeight="1">
      <c r="D620" s="54"/>
      <c r="E620" s="54"/>
      <c r="F620" s="54"/>
      <c r="G620" s="54"/>
    </row>
    <row r="621" ht="15.75" customHeight="1">
      <c r="D621" s="54"/>
      <c r="E621" s="54"/>
      <c r="F621" s="54"/>
      <c r="G621" s="54"/>
    </row>
    <row r="622" ht="15.75" customHeight="1">
      <c r="D622" s="54"/>
      <c r="E622" s="54"/>
      <c r="F622" s="54"/>
      <c r="G622" s="54"/>
    </row>
    <row r="623" ht="15.75" customHeight="1">
      <c r="D623" s="54"/>
      <c r="E623" s="54"/>
      <c r="F623" s="54"/>
      <c r="G623" s="54"/>
    </row>
    <row r="624" ht="15.75" customHeight="1">
      <c r="D624" s="54"/>
      <c r="E624" s="54"/>
      <c r="F624" s="54"/>
      <c r="G624" s="54"/>
    </row>
    <row r="625" ht="15.75" customHeight="1">
      <c r="D625" s="54"/>
      <c r="E625" s="54"/>
      <c r="F625" s="54"/>
      <c r="G625" s="54"/>
    </row>
    <row r="626" ht="15.75" customHeight="1">
      <c r="D626" s="54"/>
      <c r="E626" s="54"/>
      <c r="F626" s="54"/>
      <c r="G626" s="54"/>
    </row>
    <row r="627" ht="15.75" customHeight="1">
      <c r="D627" s="54"/>
      <c r="E627" s="54"/>
      <c r="F627" s="54"/>
      <c r="G627" s="54"/>
    </row>
    <row r="628" ht="15.75" customHeight="1">
      <c r="D628" s="54"/>
      <c r="E628" s="54"/>
      <c r="F628" s="54"/>
      <c r="G628" s="54"/>
    </row>
    <row r="629" ht="15.75" customHeight="1">
      <c r="D629" s="54"/>
      <c r="E629" s="54"/>
      <c r="F629" s="54"/>
      <c r="G629" s="54"/>
    </row>
    <row r="630" ht="15.75" customHeight="1">
      <c r="D630" s="54"/>
      <c r="E630" s="54"/>
      <c r="F630" s="54"/>
      <c r="G630" s="54"/>
    </row>
    <row r="631" ht="15.75" customHeight="1">
      <c r="D631" s="54"/>
      <c r="E631" s="54"/>
      <c r="F631" s="54"/>
      <c r="G631" s="54"/>
    </row>
    <row r="632" ht="15.75" customHeight="1">
      <c r="D632" s="54"/>
      <c r="E632" s="54"/>
      <c r="F632" s="54"/>
      <c r="G632" s="54"/>
    </row>
    <row r="633" ht="15.75" customHeight="1">
      <c r="D633" s="54"/>
      <c r="E633" s="54"/>
      <c r="F633" s="54"/>
      <c r="G633" s="54"/>
    </row>
    <row r="634" ht="15.75" customHeight="1">
      <c r="D634" s="54"/>
      <c r="E634" s="54"/>
      <c r="F634" s="54"/>
      <c r="G634" s="54"/>
    </row>
    <row r="635" ht="15.75" customHeight="1">
      <c r="D635" s="54"/>
      <c r="E635" s="54"/>
      <c r="F635" s="54"/>
      <c r="G635" s="54"/>
    </row>
    <row r="636" ht="15.75" customHeight="1">
      <c r="D636" s="54"/>
      <c r="E636" s="54"/>
      <c r="F636" s="54"/>
      <c r="G636" s="54"/>
    </row>
    <row r="637" ht="15.75" customHeight="1">
      <c r="D637" s="54"/>
      <c r="E637" s="54"/>
      <c r="F637" s="54"/>
      <c r="G637" s="54"/>
    </row>
    <row r="638" ht="15.75" customHeight="1">
      <c r="D638" s="54"/>
      <c r="E638" s="54"/>
      <c r="F638" s="54"/>
      <c r="G638" s="54"/>
    </row>
    <row r="639" ht="15.75" customHeight="1">
      <c r="D639" s="54"/>
      <c r="E639" s="54"/>
      <c r="F639" s="54"/>
      <c r="G639" s="54"/>
    </row>
    <row r="640" ht="15.75" customHeight="1">
      <c r="D640" s="54"/>
      <c r="E640" s="54"/>
      <c r="F640" s="54"/>
      <c r="G640" s="54"/>
    </row>
    <row r="641" ht="15.75" customHeight="1">
      <c r="D641" s="54"/>
      <c r="E641" s="54"/>
      <c r="F641" s="54"/>
      <c r="G641" s="54"/>
    </row>
    <row r="642" ht="15.75" customHeight="1">
      <c r="D642" s="54"/>
      <c r="E642" s="54"/>
      <c r="F642" s="54"/>
      <c r="G642" s="54"/>
    </row>
    <row r="643" ht="15.75" customHeight="1">
      <c r="D643" s="54"/>
      <c r="E643" s="54"/>
      <c r="F643" s="54"/>
      <c r="G643" s="54"/>
    </row>
    <row r="644" ht="15.75" customHeight="1">
      <c r="D644" s="54"/>
      <c r="E644" s="54"/>
      <c r="F644" s="54"/>
      <c r="G644" s="54"/>
    </row>
    <row r="645" ht="15.75" customHeight="1">
      <c r="D645" s="54"/>
      <c r="E645" s="54"/>
      <c r="F645" s="54"/>
      <c r="G645" s="54"/>
    </row>
    <row r="646" ht="15.75" customHeight="1">
      <c r="D646" s="54"/>
      <c r="E646" s="54"/>
      <c r="F646" s="54"/>
      <c r="G646" s="54"/>
    </row>
    <row r="647" ht="15.75" customHeight="1">
      <c r="D647" s="54"/>
      <c r="E647" s="54"/>
      <c r="F647" s="54"/>
      <c r="G647" s="54"/>
    </row>
    <row r="648" ht="15.75" customHeight="1">
      <c r="D648" s="54"/>
      <c r="E648" s="54"/>
      <c r="F648" s="54"/>
      <c r="G648" s="54"/>
    </row>
    <row r="649" ht="15.75" customHeight="1">
      <c r="D649" s="54"/>
      <c r="E649" s="54"/>
      <c r="F649" s="54"/>
      <c r="G649" s="54"/>
    </row>
    <row r="650" ht="15.75" customHeight="1">
      <c r="D650" s="54"/>
      <c r="E650" s="54"/>
      <c r="F650" s="54"/>
      <c r="G650" s="54"/>
    </row>
    <row r="651" ht="15.75" customHeight="1">
      <c r="D651" s="54"/>
      <c r="E651" s="54"/>
      <c r="F651" s="54"/>
      <c r="G651" s="54"/>
    </row>
    <row r="652" ht="15.75" customHeight="1">
      <c r="D652" s="54"/>
      <c r="E652" s="54"/>
      <c r="F652" s="54"/>
      <c r="G652" s="54"/>
    </row>
    <row r="653" ht="15.75" customHeight="1">
      <c r="D653" s="54"/>
      <c r="E653" s="54"/>
      <c r="F653" s="54"/>
      <c r="G653" s="54"/>
    </row>
    <row r="654" ht="15.75" customHeight="1">
      <c r="D654" s="54"/>
      <c r="E654" s="54"/>
      <c r="F654" s="54"/>
      <c r="G654" s="54"/>
    </row>
    <row r="655" ht="15.75" customHeight="1">
      <c r="D655" s="54"/>
      <c r="E655" s="54"/>
      <c r="F655" s="54"/>
      <c r="G655" s="54"/>
    </row>
    <row r="656" ht="15.75" customHeight="1">
      <c r="D656" s="54"/>
      <c r="E656" s="54"/>
      <c r="F656" s="54"/>
      <c r="G656" s="54"/>
    </row>
    <row r="657" ht="15.75" customHeight="1">
      <c r="D657" s="54"/>
      <c r="E657" s="54"/>
      <c r="F657" s="54"/>
      <c r="G657" s="54"/>
    </row>
    <row r="658" ht="15.75" customHeight="1">
      <c r="D658" s="54"/>
      <c r="E658" s="54"/>
      <c r="F658" s="54"/>
      <c r="G658" s="54"/>
    </row>
    <row r="659" ht="15.75" customHeight="1">
      <c r="D659" s="54"/>
      <c r="E659" s="54"/>
      <c r="F659" s="54"/>
      <c r="G659" s="54"/>
    </row>
    <row r="660" ht="15.75" customHeight="1">
      <c r="D660" s="54"/>
      <c r="E660" s="54"/>
      <c r="F660" s="54"/>
      <c r="G660" s="54"/>
    </row>
    <row r="661" ht="15.75" customHeight="1">
      <c r="D661" s="54"/>
      <c r="E661" s="54"/>
      <c r="F661" s="54"/>
      <c r="G661" s="54"/>
    </row>
    <row r="662" ht="15.75" customHeight="1">
      <c r="D662" s="54"/>
      <c r="E662" s="54"/>
      <c r="F662" s="54"/>
      <c r="G662" s="54"/>
    </row>
    <row r="663" ht="15.75" customHeight="1">
      <c r="D663" s="54"/>
      <c r="E663" s="54"/>
      <c r="F663" s="54"/>
      <c r="G663" s="54"/>
    </row>
    <row r="664" ht="15.75" customHeight="1">
      <c r="D664" s="54"/>
      <c r="E664" s="54"/>
      <c r="F664" s="54"/>
      <c r="G664" s="54"/>
    </row>
    <row r="665" ht="15.75" customHeight="1">
      <c r="D665" s="54"/>
      <c r="E665" s="54"/>
      <c r="F665" s="54"/>
      <c r="G665" s="54"/>
    </row>
    <row r="666" ht="15.75" customHeight="1">
      <c r="D666" s="54"/>
      <c r="E666" s="54"/>
      <c r="F666" s="54"/>
      <c r="G666" s="54"/>
    </row>
    <row r="667" ht="15.75" customHeight="1">
      <c r="D667" s="54"/>
      <c r="E667" s="54"/>
      <c r="F667" s="54"/>
      <c r="G667" s="54"/>
    </row>
    <row r="668" ht="15.75" customHeight="1">
      <c r="D668" s="54"/>
      <c r="E668" s="54"/>
      <c r="F668" s="54"/>
      <c r="G668" s="54"/>
    </row>
    <row r="669" ht="15.75" customHeight="1">
      <c r="D669" s="54"/>
      <c r="E669" s="54"/>
      <c r="F669" s="54"/>
      <c r="G669" s="54"/>
    </row>
    <row r="670" ht="15.75" customHeight="1">
      <c r="D670" s="54"/>
      <c r="E670" s="54"/>
      <c r="F670" s="54"/>
      <c r="G670" s="54"/>
    </row>
    <row r="671" ht="15.75" customHeight="1">
      <c r="D671" s="54"/>
      <c r="E671" s="54"/>
      <c r="F671" s="54"/>
      <c r="G671" s="54"/>
    </row>
    <row r="672" ht="15.75" customHeight="1">
      <c r="D672" s="54"/>
      <c r="E672" s="54"/>
      <c r="F672" s="54"/>
      <c r="G672" s="54"/>
    </row>
    <row r="673" ht="15.75" customHeight="1">
      <c r="D673" s="54"/>
      <c r="E673" s="54"/>
      <c r="F673" s="54"/>
      <c r="G673" s="54"/>
    </row>
    <row r="674" ht="15.75" customHeight="1">
      <c r="D674" s="54"/>
      <c r="E674" s="54"/>
      <c r="F674" s="54"/>
      <c r="G674" s="54"/>
    </row>
    <row r="675" ht="15.75" customHeight="1">
      <c r="D675" s="54"/>
      <c r="E675" s="54"/>
      <c r="F675" s="54"/>
      <c r="G675" s="54"/>
    </row>
    <row r="676" ht="15.75" customHeight="1">
      <c r="D676" s="54"/>
      <c r="E676" s="54"/>
      <c r="F676" s="54"/>
      <c r="G676" s="54"/>
    </row>
    <row r="677" ht="15.75" customHeight="1">
      <c r="D677" s="54"/>
      <c r="E677" s="54"/>
      <c r="F677" s="54"/>
      <c r="G677" s="54"/>
    </row>
    <row r="678" ht="15.75" customHeight="1">
      <c r="D678" s="54"/>
      <c r="E678" s="54"/>
      <c r="F678" s="54"/>
      <c r="G678" s="54"/>
    </row>
    <row r="679" ht="15.75" customHeight="1">
      <c r="D679" s="54"/>
      <c r="E679" s="54"/>
      <c r="F679" s="54"/>
      <c r="G679" s="54"/>
    </row>
    <row r="680" ht="15.75" customHeight="1">
      <c r="D680" s="54"/>
      <c r="E680" s="54"/>
      <c r="F680" s="54"/>
      <c r="G680" s="54"/>
    </row>
    <row r="681" ht="15.75" customHeight="1">
      <c r="D681" s="54"/>
      <c r="E681" s="54"/>
      <c r="F681" s="54"/>
      <c r="G681" s="54"/>
    </row>
    <row r="682" ht="15.75" customHeight="1">
      <c r="D682" s="54"/>
      <c r="E682" s="54"/>
      <c r="F682" s="54"/>
      <c r="G682" s="54"/>
    </row>
    <row r="683" ht="15.75" customHeight="1">
      <c r="D683" s="54"/>
      <c r="E683" s="54"/>
      <c r="F683" s="54"/>
      <c r="G683" s="54"/>
    </row>
    <row r="684" ht="15.75" customHeight="1">
      <c r="D684" s="54"/>
      <c r="E684" s="54"/>
      <c r="F684" s="54"/>
      <c r="G684" s="54"/>
    </row>
    <row r="685" ht="15.75" customHeight="1">
      <c r="D685" s="54"/>
      <c r="E685" s="54"/>
      <c r="F685" s="54"/>
      <c r="G685" s="54"/>
    </row>
    <row r="686" ht="15.75" customHeight="1">
      <c r="D686" s="54"/>
      <c r="E686" s="54"/>
      <c r="F686" s="54"/>
      <c r="G686" s="54"/>
    </row>
    <row r="687" ht="15.75" customHeight="1">
      <c r="D687" s="54"/>
      <c r="E687" s="54"/>
      <c r="F687" s="54"/>
      <c r="G687" s="54"/>
    </row>
    <row r="688" ht="15.75" customHeight="1">
      <c r="D688" s="54"/>
      <c r="E688" s="54"/>
      <c r="F688" s="54"/>
      <c r="G688" s="54"/>
    </row>
    <row r="689" ht="15.75" customHeight="1">
      <c r="D689" s="54"/>
      <c r="E689" s="54"/>
      <c r="F689" s="54"/>
      <c r="G689" s="54"/>
    </row>
    <row r="690" ht="15.75" customHeight="1">
      <c r="D690" s="54"/>
      <c r="E690" s="54"/>
      <c r="F690" s="54"/>
      <c r="G690" s="54"/>
    </row>
    <row r="691" ht="15.75" customHeight="1">
      <c r="D691" s="54"/>
      <c r="E691" s="54"/>
      <c r="F691" s="54"/>
      <c r="G691" s="54"/>
    </row>
    <row r="692" ht="15.75" customHeight="1">
      <c r="D692" s="54"/>
      <c r="E692" s="54"/>
      <c r="F692" s="54"/>
      <c r="G692" s="54"/>
    </row>
    <row r="693" ht="15.75" customHeight="1">
      <c r="D693" s="54"/>
      <c r="E693" s="54"/>
      <c r="F693" s="54"/>
      <c r="G693" s="54"/>
    </row>
    <row r="694" ht="15.75" customHeight="1">
      <c r="D694" s="54"/>
      <c r="E694" s="54"/>
      <c r="F694" s="54"/>
      <c r="G694" s="54"/>
    </row>
    <row r="695" ht="15.75" customHeight="1">
      <c r="D695" s="54"/>
      <c r="E695" s="54"/>
      <c r="F695" s="54"/>
      <c r="G695" s="54"/>
    </row>
    <row r="696" ht="15.75" customHeight="1">
      <c r="D696" s="54"/>
      <c r="E696" s="54"/>
      <c r="F696" s="54"/>
      <c r="G696" s="54"/>
    </row>
    <row r="697" ht="15.75" customHeight="1">
      <c r="D697" s="54"/>
      <c r="E697" s="54"/>
      <c r="F697" s="54"/>
      <c r="G697" s="54"/>
    </row>
    <row r="698" ht="15.75" customHeight="1">
      <c r="D698" s="54"/>
      <c r="E698" s="54"/>
      <c r="F698" s="54"/>
      <c r="G698" s="54"/>
    </row>
    <row r="699" ht="15.75" customHeight="1">
      <c r="D699" s="54"/>
      <c r="E699" s="54"/>
      <c r="F699" s="54"/>
      <c r="G699" s="54"/>
    </row>
    <row r="700" ht="15.75" customHeight="1">
      <c r="D700" s="54"/>
      <c r="E700" s="54"/>
      <c r="F700" s="54"/>
      <c r="G700" s="54"/>
    </row>
    <row r="701" ht="15.75" customHeight="1">
      <c r="D701" s="54"/>
      <c r="E701" s="54"/>
      <c r="F701" s="54"/>
      <c r="G701" s="54"/>
    </row>
    <row r="702" ht="15.75" customHeight="1">
      <c r="D702" s="54"/>
      <c r="E702" s="54"/>
      <c r="F702" s="54"/>
      <c r="G702" s="54"/>
    </row>
    <row r="703" ht="15.75" customHeight="1">
      <c r="D703" s="54"/>
      <c r="E703" s="54"/>
      <c r="F703" s="54"/>
      <c r="G703" s="54"/>
    </row>
    <row r="704" ht="15.75" customHeight="1">
      <c r="D704" s="54"/>
      <c r="E704" s="54"/>
      <c r="F704" s="54"/>
      <c r="G704" s="54"/>
    </row>
    <row r="705" ht="15.75" customHeight="1">
      <c r="D705" s="54"/>
      <c r="E705" s="54"/>
      <c r="F705" s="54"/>
      <c r="G705" s="54"/>
    </row>
    <row r="706" ht="15.75" customHeight="1">
      <c r="D706" s="54"/>
      <c r="E706" s="54"/>
      <c r="F706" s="54"/>
      <c r="G706" s="54"/>
    </row>
    <row r="707" ht="15.75" customHeight="1">
      <c r="D707" s="54"/>
      <c r="E707" s="54"/>
      <c r="F707" s="54"/>
      <c r="G707" s="54"/>
    </row>
    <row r="708" ht="15.75" customHeight="1">
      <c r="D708" s="54"/>
      <c r="E708" s="54"/>
      <c r="F708" s="54"/>
      <c r="G708" s="54"/>
    </row>
    <row r="709" ht="15.75" customHeight="1">
      <c r="D709" s="54"/>
      <c r="E709" s="54"/>
      <c r="F709" s="54"/>
      <c r="G709" s="54"/>
    </row>
    <row r="710" ht="15.75" customHeight="1">
      <c r="D710" s="54"/>
      <c r="E710" s="54"/>
      <c r="F710" s="54"/>
      <c r="G710" s="54"/>
    </row>
    <row r="711" ht="15.75" customHeight="1">
      <c r="D711" s="54"/>
      <c r="E711" s="54"/>
      <c r="F711" s="54"/>
      <c r="G711" s="54"/>
    </row>
    <row r="712" ht="15.75" customHeight="1">
      <c r="D712" s="54"/>
      <c r="E712" s="54"/>
      <c r="F712" s="54"/>
      <c r="G712" s="54"/>
    </row>
    <row r="713" ht="15.75" customHeight="1">
      <c r="D713" s="54"/>
      <c r="E713" s="54"/>
      <c r="F713" s="54"/>
      <c r="G713" s="54"/>
    </row>
    <row r="714" ht="15.75" customHeight="1">
      <c r="D714" s="54"/>
      <c r="E714" s="54"/>
      <c r="F714" s="54"/>
      <c r="G714" s="54"/>
    </row>
    <row r="715" ht="15.75" customHeight="1">
      <c r="D715" s="54"/>
      <c r="E715" s="54"/>
      <c r="F715" s="54"/>
      <c r="G715" s="54"/>
    </row>
    <row r="716" ht="15.75" customHeight="1">
      <c r="D716" s="54"/>
      <c r="E716" s="54"/>
      <c r="F716" s="54"/>
      <c r="G716" s="54"/>
    </row>
    <row r="717" ht="15.75" customHeight="1">
      <c r="D717" s="54"/>
      <c r="E717" s="54"/>
      <c r="F717" s="54"/>
      <c r="G717" s="54"/>
    </row>
    <row r="718" ht="15.75" customHeight="1">
      <c r="D718" s="54"/>
      <c r="E718" s="54"/>
      <c r="F718" s="54"/>
      <c r="G718" s="54"/>
    </row>
    <row r="719" ht="15.75" customHeight="1">
      <c r="D719" s="54"/>
      <c r="E719" s="54"/>
      <c r="F719" s="54"/>
      <c r="G719" s="54"/>
    </row>
    <row r="720" ht="15.75" customHeight="1">
      <c r="D720" s="54"/>
      <c r="E720" s="54"/>
      <c r="F720" s="54"/>
      <c r="G720" s="54"/>
    </row>
    <row r="721" ht="15.75" customHeight="1">
      <c r="D721" s="54"/>
      <c r="E721" s="54"/>
      <c r="F721" s="54"/>
      <c r="G721" s="54"/>
    </row>
    <row r="722" ht="15.75" customHeight="1">
      <c r="D722" s="54"/>
      <c r="E722" s="54"/>
      <c r="F722" s="54"/>
      <c r="G722" s="54"/>
    </row>
    <row r="723" ht="15.75" customHeight="1">
      <c r="D723" s="54"/>
      <c r="E723" s="54"/>
      <c r="F723" s="54"/>
      <c r="G723" s="54"/>
    </row>
    <row r="724" ht="15.75" customHeight="1">
      <c r="D724" s="54"/>
      <c r="E724" s="54"/>
      <c r="F724" s="54"/>
      <c r="G724" s="54"/>
    </row>
    <row r="725" ht="15.75" customHeight="1">
      <c r="D725" s="54"/>
      <c r="E725" s="54"/>
      <c r="F725" s="54"/>
      <c r="G725" s="54"/>
    </row>
    <row r="726" ht="15.75" customHeight="1">
      <c r="D726" s="54"/>
      <c r="E726" s="54"/>
      <c r="F726" s="54"/>
      <c r="G726" s="54"/>
    </row>
    <row r="727" ht="15.75" customHeight="1">
      <c r="D727" s="54"/>
      <c r="E727" s="54"/>
      <c r="F727" s="54"/>
      <c r="G727" s="54"/>
    </row>
    <row r="728" ht="15.75" customHeight="1">
      <c r="D728" s="54"/>
      <c r="E728" s="54"/>
      <c r="F728" s="54"/>
      <c r="G728" s="54"/>
    </row>
    <row r="729" ht="15.75" customHeight="1">
      <c r="D729" s="54"/>
      <c r="E729" s="54"/>
      <c r="F729" s="54"/>
      <c r="G729" s="54"/>
    </row>
    <row r="730" ht="15.75" customHeight="1">
      <c r="D730" s="54"/>
      <c r="E730" s="54"/>
      <c r="F730" s="54"/>
      <c r="G730" s="54"/>
    </row>
    <row r="731" ht="15.75" customHeight="1">
      <c r="D731" s="54"/>
      <c r="E731" s="54"/>
      <c r="F731" s="54"/>
      <c r="G731" s="54"/>
    </row>
    <row r="732" ht="15.75" customHeight="1">
      <c r="D732" s="54"/>
      <c r="E732" s="54"/>
      <c r="F732" s="54"/>
      <c r="G732" s="54"/>
    </row>
    <row r="733" ht="15.75" customHeight="1">
      <c r="D733" s="54"/>
      <c r="E733" s="54"/>
      <c r="F733" s="54"/>
      <c r="G733" s="54"/>
    </row>
    <row r="734" ht="15.75" customHeight="1">
      <c r="D734" s="54"/>
      <c r="E734" s="54"/>
      <c r="F734" s="54"/>
      <c r="G734" s="54"/>
    </row>
    <row r="735" ht="15.75" customHeight="1">
      <c r="D735" s="54"/>
      <c r="E735" s="54"/>
      <c r="F735" s="54"/>
      <c r="G735" s="54"/>
    </row>
    <row r="736" ht="15.75" customHeight="1">
      <c r="D736" s="54"/>
      <c r="E736" s="54"/>
      <c r="F736" s="54"/>
      <c r="G736" s="54"/>
    </row>
    <row r="737" ht="15.75" customHeight="1">
      <c r="D737" s="54"/>
      <c r="E737" s="54"/>
      <c r="F737" s="54"/>
      <c r="G737" s="54"/>
    </row>
    <row r="738" ht="15.75" customHeight="1">
      <c r="D738" s="54"/>
      <c r="E738" s="54"/>
      <c r="F738" s="54"/>
      <c r="G738" s="54"/>
    </row>
    <row r="739" ht="15.75" customHeight="1">
      <c r="D739" s="54"/>
      <c r="E739" s="54"/>
      <c r="F739" s="54"/>
      <c r="G739" s="54"/>
    </row>
    <row r="740" ht="15.75" customHeight="1">
      <c r="D740" s="54"/>
      <c r="E740" s="54"/>
      <c r="F740" s="54"/>
      <c r="G740" s="54"/>
    </row>
    <row r="741" ht="15.75" customHeight="1">
      <c r="D741" s="54"/>
      <c r="E741" s="54"/>
      <c r="F741" s="54"/>
      <c r="G741" s="54"/>
    </row>
    <row r="742" ht="15.75" customHeight="1">
      <c r="D742" s="54"/>
      <c r="E742" s="54"/>
      <c r="F742" s="54"/>
      <c r="G742" s="54"/>
    </row>
    <row r="743" ht="15.75" customHeight="1">
      <c r="D743" s="54"/>
      <c r="E743" s="54"/>
      <c r="F743" s="54"/>
      <c r="G743" s="54"/>
    </row>
    <row r="744" ht="15.75" customHeight="1">
      <c r="D744" s="54"/>
      <c r="E744" s="54"/>
      <c r="F744" s="54"/>
      <c r="G744" s="54"/>
    </row>
    <row r="745" ht="15.75" customHeight="1">
      <c r="D745" s="54"/>
      <c r="E745" s="54"/>
      <c r="F745" s="54"/>
      <c r="G745" s="54"/>
    </row>
    <row r="746" ht="15.75" customHeight="1">
      <c r="D746" s="54"/>
      <c r="E746" s="54"/>
      <c r="F746" s="54"/>
      <c r="G746" s="54"/>
    </row>
    <row r="747" ht="15.75" customHeight="1">
      <c r="D747" s="54"/>
      <c r="E747" s="54"/>
      <c r="F747" s="54"/>
      <c r="G747" s="54"/>
    </row>
    <row r="748" ht="15.75" customHeight="1">
      <c r="D748" s="54"/>
      <c r="E748" s="54"/>
      <c r="F748" s="54"/>
      <c r="G748" s="54"/>
    </row>
    <row r="749" ht="15.75" customHeight="1">
      <c r="D749" s="54"/>
      <c r="E749" s="54"/>
      <c r="F749" s="54"/>
      <c r="G749" s="54"/>
    </row>
    <row r="750" ht="15.75" customHeight="1">
      <c r="D750" s="54"/>
      <c r="E750" s="54"/>
      <c r="F750" s="54"/>
      <c r="G750" s="54"/>
    </row>
    <row r="751" ht="15.75" customHeight="1">
      <c r="D751" s="54"/>
      <c r="E751" s="54"/>
      <c r="F751" s="54"/>
      <c r="G751" s="54"/>
    </row>
    <row r="752" ht="15.75" customHeight="1">
      <c r="D752" s="54"/>
      <c r="E752" s="54"/>
      <c r="F752" s="54"/>
      <c r="G752" s="54"/>
    </row>
    <row r="753" ht="15.75" customHeight="1">
      <c r="D753" s="54"/>
      <c r="E753" s="54"/>
      <c r="F753" s="54"/>
      <c r="G753" s="54"/>
    </row>
    <row r="754" ht="15.75" customHeight="1">
      <c r="D754" s="54"/>
      <c r="E754" s="54"/>
      <c r="F754" s="54"/>
      <c r="G754" s="54"/>
    </row>
    <row r="755" ht="15.75" customHeight="1">
      <c r="D755" s="54"/>
      <c r="E755" s="54"/>
      <c r="F755" s="54"/>
      <c r="G755" s="54"/>
    </row>
    <row r="756" ht="15.75" customHeight="1">
      <c r="D756" s="54"/>
      <c r="E756" s="54"/>
      <c r="F756" s="54"/>
      <c r="G756" s="54"/>
    </row>
    <row r="757" ht="15.75" customHeight="1">
      <c r="D757" s="54"/>
      <c r="E757" s="54"/>
      <c r="F757" s="54"/>
      <c r="G757" s="54"/>
    </row>
    <row r="758" ht="15.75" customHeight="1">
      <c r="D758" s="54"/>
      <c r="E758" s="54"/>
      <c r="F758" s="54"/>
      <c r="G758" s="54"/>
    </row>
    <row r="759" ht="15.75" customHeight="1">
      <c r="D759" s="54"/>
      <c r="E759" s="54"/>
      <c r="F759" s="54"/>
      <c r="G759" s="54"/>
    </row>
    <row r="760" ht="15.75" customHeight="1">
      <c r="D760" s="54"/>
      <c r="E760" s="54"/>
      <c r="F760" s="54"/>
      <c r="G760" s="54"/>
    </row>
    <row r="761" ht="15.75" customHeight="1">
      <c r="D761" s="54"/>
      <c r="E761" s="54"/>
      <c r="F761" s="54"/>
      <c r="G761" s="54"/>
    </row>
    <row r="762" ht="15.75" customHeight="1">
      <c r="D762" s="54"/>
      <c r="E762" s="54"/>
      <c r="F762" s="54"/>
      <c r="G762" s="54"/>
    </row>
    <row r="763" ht="15.75" customHeight="1">
      <c r="D763" s="54"/>
      <c r="E763" s="54"/>
      <c r="F763" s="54"/>
      <c r="G763" s="54"/>
    </row>
    <row r="764" ht="15.75" customHeight="1">
      <c r="D764" s="54"/>
      <c r="E764" s="54"/>
      <c r="F764" s="54"/>
      <c r="G764" s="54"/>
    </row>
    <row r="765" ht="15.75" customHeight="1">
      <c r="D765" s="54"/>
      <c r="E765" s="54"/>
      <c r="F765" s="54"/>
      <c r="G765" s="54"/>
    </row>
    <row r="766" ht="15.75" customHeight="1">
      <c r="D766" s="54"/>
      <c r="E766" s="54"/>
      <c r="F766" s="54"/>
      <c r="G766" s="54"/>
    </row>
    <row r="767" ht="15.75" customHeight="1">
      <c r="D767" s="54"/>
      <c r="E767" s="54"/>
      <c r="F767" s="54"/>
      <c r="G767" s="54"/>
    </row>
    <row r="768" ht="15.75" customHeight="1">
      <c r="D768" s="54"/>
      <c r="E768" s="54"/>
      <c r="F768" s="54"/>
      <c r="G768" s="54"/>
    </row>
    <row r="769" ht="15.75" customHeight="1">
      <c r="D769" s="54"/>
      <c r="E769" s="54"/>
      <c r="F769" s="54"/>
      <c r="G769" s="54"/>
    </row>
    <row r="770" ht="15.75" customHeight="1">
      <c r="D770" s="54"/>
      <c r="E770" s="54"/>
      <c r="F770" s="54"/>
      <c r="G770" s="54"/>
    </row>
    <row r="771" ht="15.75" customHeight="1">
      <c r="D771" s="54"/>
      <c r="E771" s="54"/>
      <c r="F771" s="54"/>
      <c r="G771" s="54"/>
    </row>
    <row r="772" ht="15.75" customHeight="1">
      <c r="D772" s="54"/>
      <c r="E772" s="54"/>
      <c r="F772" s="54"/>
      <c r="G772" s="54"/>
    </row>
    <row r="773" ht="15.75" customHeight="1">
      <c r="D773" s="54"/>
      <c r="E773" s="54"/>
      <c r="F773" s="54"/>
      <c r="G773" s="54"/>
    </row>
    <row r="774" ht="15.75" customHeight="1">
      <c r="D774" s="54"/>
      <c r="E774" s="54"/>
      <c r="F774" s="54"/>
      <c r="G774" s="54"/>
    </row>
    <row r="775" ht="15.75" customHeight="1">
      <c r="D775" s="54"/>
      <c r="E775" s="54"/>
      <c r="F775" s="54"/>
      <c r="G775" s="54"/>
    </row>
    <row r="776" ht="15.75" customHeight="1">
      <c r="D776" s="54"/>
      <c r="E776" s="54"/>
      <c r="F776" s="54"/>
      <c r="G776" s="54"/>
    </row>
    <row r="777" ht="15.75" customHeight="1">
      <c r="D777" s="54"/>
      <c r="E777" s="54"/>
      <c r="F777" s="54"/>
      <c r="G777" s="54"/>
    </row>
    <row r="778" ht="15.75" customHeight="1">
      <c r="D778" s="54"/>
      <c r="E778" s="54"/>
      <c r="F778" s="54"/>
      <c r="G778" s="54"/>
    </row>
    <row r="779" ht="15.75" customHeight="1">
      <c r="D779" s="54"/>
      <c r="E779" s="54"/>
      <c r="F779" s="54"/>
      <c r="G779" s="54"/>
    </row>
    <row r="780" ht="15.75" customHeight="1">
      <c r="D780" s="54"/>
      <c r="E780" s="54"/>
      <c r="F780" s="54"/>
      <c r="G780" s="54"/>
    </row>
    <row r="781" ht="15.75" customHeight="1">
      <c r="D781" s="54"/>
      <c r="E781" s="54"/>
      <c r="F781" s="54"/>
      <c r="G781" s="54"/>
    </row>
    <row r="782" ht="15.75" customHeight="1">
      <c r="D782" s="54"/>
      <c r="E782" s="54"/>
      <c r="F782" s="54"/>
      <c r="G782" s="54"/>
    </row>
    <row r="783" ht="15.75" customHeight="1">
      <c r="D783" s="54"/>
      <c r="E783" s="54"/>
      <c r="F783" s="54"/>
      <c r="G783" s="54"/>
    </row>
    <row r="784" ht="15.75" customHeight="1">
      <c r="D784" s="54"/>
      <c r="E784" s="54"/>
      <c r="F784" s="54"/>
      <c r="G784" s="54"/>
    </row>
    <row r="785" ht="15.75" customHeight="1">
      <c r="D785" s="54"/>
      <c r="E785" s="54"/>
      <c r="F785" s="54"/>
      <c r="G785" s="54"/>
    </row>
    <row r="786" ht="15.75" customHeight="1">
      <c r="D786" s="54"/>
      <c r="E786" s="54"/>
      <c r="F786" s="54"/>
      <c r="G786" s="54"/>
    </row>
    <row r="787" ht="15.75" customHeight="1">
      <c r="D787" s="54"/>
      <c r="E787" s="54"/>
      <c r="F787" s="54"/>
      <c r="G787" s="54"/>
    </row>
    <row r="788" ht="15.75" customHeight="1">
      <c r="D788" s="54"/>
      <c r="E788" s="54"/>
      <c r="F788" s="54"/>
      <c r="G788" s="54"/>
    </row>
    <row r="789" ht="15.75" customHeight="1">
      <c r="D789" s="54"/>
      <c r="E789" s="54"/>
      <c r="F789" s="54"/>
      <c r="G789" s="54"/>
    </row>
    <row r="790" ht="15.75" customHeight="1">
      <c r="D790" s="54"/>
      <c r="E790" s="54"/>
      <c r="F790" s="54"/>
      <c r="G790" s="54"/>
    </row>
    <row r="791" ht="15.75" customHeight="1">
      <c r="D791" s="54"/>
      <c r="E791" s="54"/>
      <c r="F791" s="54"/>
      <c r="G791" s="54"/>
    </row>
    <row r="792" ht="15.75" customHeight="1">
      <c r="D792" s="54"/>
      <c r="E792" s="54"/>
      <c r="F792" s="54"/>
      <c r="G792" s="54"/>
    </row>
    <row r="793" ht="15.75" customHeight="1">
      <c r="D793" s="54"/>
      <c r="E793" s="54"/>
      <c r="F793" s="54"/>
      <c r="G793" s="54"/>
    </row>
    <row r="794" ht="15.75" customHeight="1">
      <c r="D794" s="54"/>
      <c r="E794" s="54"/>
      <c r="F794" s="54"/>
      <c r="G794" s="54"/>
    </row>
    <row r="795" ht="15.75" customHeight="1">
      <c r="D795" s="54"/>
      <c r="E795" s="54"/>
      <c r="F795" s="54"/>
      <c r="G795" s="54"/>
    </row>
    <row r="796" ht="15.75" customHeight="1">
      <c r="D796" s="54"/>
      <c r="E796" s="54"/>
      <c r="F796" s="54"/>
      <c r="G796" s="54"/>
    </row>
    <row r="797" ht="15.75" customHeight="1">
      <c r="D797" s="54"/>
      <c r="E797" s="54"/>
      <c r="F797" s="54"/>
      <c r="G797" s="54"/>
    </row>
    <row r="798" ht="15.75" customHeight="1">
      <c r="D798" s="54"/>
      <c r="E798" s="54"/>
      <c r="F798" s="54"/>
      <c r="G798" s="54"/>
    </row>
    <row r="799" ht="15.75" customHeight="1">
      <c r="D799" s="54"/>
      <c r="E799" s="54"/>
      <c r="F799" s="54"/>
      <c r="G799" s="54"/>
    </row>
    <row r="800" ht="15.75" customHeight="1">
      <c r="D800" s="54"/>
      <c r="E800" s="54"/>
      <c r="F800" s="54"/>
      <c r="G800" s="54"/>
    </row>
    <row r="801" ht="15.75" customHeight="1">
      <c r="D801" s="54"/>
      <c r="E801" s="54"/>
      <c r="F801" s="54"/>
      <c r="G801" s="54"/>
    </row>
    <row r="802" ht="15.75" customHeight="1">
      <c r="D802" s="54"/>
      <c r="E802" s="54"/>
      <c r="F802" s="54"/>
      <c r="G802" s="54"/>
    </row>
    <row r="803" ht="15.75" customHeight="1">
      <c r="D803" s="54"/>
      <c r="E803" s="54"/>
      <c r="F803" s="54"/>
      <c r="G803" s="54"/>
    </row>
    <row r="804" ht="15.75" customHeight="1">
      <c r="D804" s="54"/>
      <c r="E804" s="54"/>
      <c r="F804" s="54"/>
      <c r="G804" s="54"/>
    </row>
    <row r="805" ht="15.75" customHeight="1">
      <c r="D805" s="54"/>
      <c r="E805" s="54"/>
      <c r="F805" s="54"/>
      <c r="G805" s="54"/>
    </row>
    <row r="806" ht="15.75" customHeight="1">
      <c r="D806" s="54"/>
      <c r="E806" s="54"/>
      <c r="F806" s="54"/>
      <c r="G806" s="54"/>
    </row>
    <row r="807" ht="15.75" customHeight="1">
      <c r="D807" s="54"/>
      <c r="E807" s="54"/>
      <c r="F807" s="54"/>
      <c r="G807" s="54"/>
    </row>
    <row r="808" ht="15.75" customHeight="1">
      <c r="D808" s="54"/>
      <c r="E808" s="54"/>
      <c r="F808" s="54"/>
      <c r="G808" s="54"/>
    </row>
    <row r="809" ht="15.75" customHeight="1">
      <c r="D809" s="54"/>
      <c r="E809" s="54"/>
      <c r="F809" s="54"/>
      <c r="G809" s="54"/>
    </row>
    <row r="810" ht="15.75" customHeight="1">
      <c r="D810" s="54"/>
      <c r="E810" s="54"/>
      <c r="F810" s="54"/>
      <c r="G810" s="54"/>
    </row>
    <row r="811" ht="15.75" customHeight="1">
      <c r="D811" s="54"/>
      <c r="E811" s="54"/>
      <c r="F811" s="54"/>
      <c r="G811" s="54"/>
    </row>
    <row r="812" ht="15.75" customHeight="1">
      <c r="D812" s="54"/>
      <c r="E812" s="54"/>
      <c r="F812" s="54"/>
      <c r="G812" s="54"/>
    </row>
    <row r="813" ht="15.75" customHeight="1">
      <c r="D813" s="54"/>
      <c r="E813" s="54"/>
      <c r="F813" s="54"/>
      <c r="G813" s="54"/>
    </row>
    <row r="814" ht="15.75" customHeight="1">
      <c r="D814" s="54"/>
      <c r="E814" s="54"/>
      <c r="F814" s="54"/>
      <c r="G814" s="54"/>
    </row>
    <row r="815" ht="15.75" customHeight="1">
      <c r="D815" s="54"/>
      <c r="E815" s="54"/>
      <c r="F815" s="54"/>
      <c r="G815" s="54"/>
    </row>
    <row r="816" ht="15.75" customHeight="1">
      <c r="D816" s="54"/>
      <c r="E816" s="54"/>
      <c r="F816" s="54"/>
      <c r="G816" s="54"/>
    </row>
    <row r="817" ht="15.75" customHeight="1">
      <c r="D817" s="54"/>
      <c r="E817" s="54"/>
      <c r="F817" s="54"/>
      <c r="G817" s="54"/>
    </row>
    <row r="818" ht="15.75" customHeight="1">
      <c r="D818" s="54"/>
      <c r="E818" s="54"/>
      <c r="F818" s="54"/>
      <c r="G818" s="54"/>
    </row>
    <row r="819" ht="15.75" customHeight="1">
      <c r="D819" s="54"/>
      <c r="E819" s="54"/>
      <c r="F819" s="54"/>
      <c r="G819" s="54"/>
    </row>
    <row r="820" ht="15.75" customHeight="1">
      <c r="D820" s="54"/>
      <c r="E820" s="54"/>
      <c r="F820" s="54"/>
      <c r="G820" s="54"/>
    </row>
    <row r="821" ht="15.75" customHeight="1">
      <c r="D821" s="54"/>
      <c r="E821" s="54"/>
      <c r="F821" s="54"/>
      <c r="G821" s="54"/>
    </row>
    <row r="822" ht="15.75" customHeight="1">
      <c r="D822" s="54"/>
      <c r="E822" s="54"/>
      <c r="F822" s="54"/>
      <c r="G822" s="54"/>
    </row>
    <row r="823" ht="15.75" customHeight="1">
      <c r="D823" s="54"/>
      <c r="E823" s="54"/>
      <c r="F823" s="54"/>
      <c r="G823" s="54"/>
    </row>
    <row r="824" ht="15.75" customHeight="1">
      <c r="D824" s="54"/>
      <c r="E824" s="54"/>
      <c r="F824" s="54"/>
      <c r="G824" s="54"/>
    </row>
    <row r="825" ht="15.75" customHeight="1">
      <c r="D825" s="54"/>
      <c r="E825" s="54"/>
      <c r="F825" s="54"/>
      <c r="G825" s="54"/>
    </row>
    <row r="826" ht="15.75" customHeight="1">
      <c r="D826" s="54"/>
      <c r="E826" s="54"/>
      <c r="F826" s="54"/>
      <c r="G826" s="54"/>
    </row>
    <row r="827" ht="15.75" customHeight="1">
      <c r="D827" s="54"/>
      <c r="E827" s="54"/>
      <c r="F827" s="54"/>
      <c r="G827" s="54"/>
    </row>
    <row r="828" ht="15.75" customHeight="1">
      <c r="D828" s="54"/>
      <c r="E828" s="54"/>
      <c r="F828" s="54"/>
      <c r="G828" s="54"/>
    </row>
    <row r="829" ht="15.75" customHeight="1">
      <c r="D829" s="54"/>
      <c r="E829" s="54"/>
      <c r="F829" s="54"/>
      <c r="G829" s="54"/>
    </row>
    <row r="830" ht="15.75" customHeight="1">
      <c r="D830" s="54"/>
      <c r="E830" s="54"/>
      <c r="F830" s="54"/>
      <c r="G830" s="54"/>
    </row>
    <row r="831" ht="15.75" customHeight="1">
      <c r="D831" s="54"/>
      <c r="E831" s="54"/>
      <c r="F831" s="54"/>
      <c r="G831" s="54"/>
    </row>
    <row r="832" ht="15.75" customHeight="1">
      <c r="D832" s="54"/>
      <c r="E832" s="54"/>
      <c r="F832" s="54"/>
      <c r="G832" s="54"/>
    </row>
    <row r="833" ht="15.75" customHeight="1">
      <c r="D833" s="54"/>
      <c r="E833" s="54"/>
      <c r="F833" s="54"/>
      <c r="G833" s="54"/>
    </row>
    <row r="834" ht="15.75" customHeight="1">
      <c r="D834" s="54"/>
      <c r="E834" s="54"/>
      <c r="F834" s="54"/>
      <c r="G834" s="54"/>
    </row>
    <row r="835" ht="15.75" customHeight="1">
      <c r="D835" s="54"/>
      <c r="E835" s="54"/>
      <c r="F835" s="54"/>
      <c r="G835" s="54"/>
    </row>
    <row r="836" ht="15.75" customHeight="1">
      <c r="D836" s="54"/>
      <c r="E836" s="54"/>
      <c r="F836" s="54"/>
      <c r="G836" s="54"/>
    </row>
    <row r="837" ht="15.75" customHeight="1">
      <c r="D837" s="54"/>
      <c r="E837" s="54"/>
      <c r="F837" s="54"/>
      <c r="G837" s="54"/>
    </row>
    <row r="838" ht="15.75" customHeight="1">
      <c r="D838" s="54"/>
      <c r="E838" s="54"/>
      <c r="F838" s="54"/>
      <c r="G838" s="54"/>
    </row>
    <row r="839" ht="15.75" customHeight="1">
      <c r="D839" s="54"/>
      <c r="E839" s="54"/>
      <c r="F839" s="54"/>
      <c r="G839" s="54"/>
    </row>
    <row r="840" ht="15.75" customHeight="1">
      <c r="D840" s="54"/>
      <c r="E840" s="54"/>
      <c r="F840" s="54"/>
      <c r="G840" s="54"/>
    </row>
    <row r="841" ht="15.75" customHeight="1">
      <c r="D841" s="54"/>
      <c r="E841" s="54"/>
      <c r="F841" s="54"/>
      <c r="G841" s="54"/>
    </row>
    <row r="842" ht="15.75" customHeight="1">
      <c r="D842" s="54"/>
      <c r="E842" s="54"/>
      <c r="F842" s="54"/>
      <c r="G842" s="54"/>
    </row>
    <row r="843" ht="15.75" customHeight="1">
      <c r="D843" s="54"/>
      <c r="E843" s="54"/>
      <c r="F843" s="54"/>
      <c r="G843" s="54"/>
    </row>
    <row r="844" ht="15.75" customHeight="1">
      <c r="D844" s="54"/>
      <c r="E844" s="54"/>
      <c r="F844" s="54"/>
      <c r="G844" s="54"/>
    </row>
    <row r="845" ht="15.75" customHeight="1">
      <c r="D845" s="54"/>
      <c r="E845" s="54"/>
      <c r="F845" s="54"/>
      <c r="G845" s="54"/>
    </row>
    <row r="846" ht="15.75" customHeight="1">
      <c r="D846" s="54"/>
      <c r="E846" s="54"/>
      <c r="F846" s="54"/>
      <c r="G846" s="54"/>
    </row>
    <row r="847" ht="15.75" customHeight="1">
      <c r="D847" s="54"/>
      <c r="E847" s="54"/>
      <c r="F847" s="54"/>
      <c r="G847" s="54"/>
    </row>
    <row r="848" ht="15.75" customHeight="1">
      <c r="D848" s="54"/>
      <c r="E848" s="54"/>
      <c r="F848" s="54"/>
      <c r="G848" s="54"/>
    </row>
    <row r="849" ht="15.75" customHeight="1">
      <c r="D849" s="54"/>
      <c r="E849" s="54"/>
      <c r="F849" s="54"/>
      <c r="G849" s="54"/>
    </row>
    <row r="850" ht="15.75" customHeight="1">
      <c r="D850" s="54"/>
      <c r="E850" s="54"/>
      <c r="F850" s="54"/>
      <c r="G850" s="54"/>
    </row>
    <row r="851" ht="15.75" customHeight="1">
      <c r="D851" s="54"/>
      <c r="E851" s="54"/>
      <c r="F851" s="54"/>
      <c r="G851" s="54"/>
    </row>
    <row r="852" ht="15.75" customHeight="1">
      <c r="D852" s="54"/>
      <c r="E852" s="54"/>
      <c r="F852" s="54"/>
      <c r="G852" s="54"/>
    </row>
    <row r="853" ht="15.75" customHeight="1">
      <c r="D853" s="54"/>
      <c r="E853" s="54"/>
      <c r="F853" s="54"/>
      <c r="G853" s="54"/>
    </row>
    <row r="854" ht="15.75" customHeight="1">
      <c r="D854" s="54"/>
      <c r="E854" s="54"/>
      <c r="F854" s="54"/>
      <c r="G854" s="54"/>
    </row>
    <row r="855" ht="15.75" customHeight="1">
      <c r="D855" s="54"/>
      <c r="E855" s="54"/>
      <c r="F855" s="54"/>
      <c r="G855" s="54"/>
    </row>
    <row r="856" ht="15.75" customHeight="1">
      <c r="D856" s="54"/>
      <c r="E856" s="54"/>
      <c r="F856" s="54"/>
      <c r="G856" s="54"/>
    </row>
    <row r="857" ht="15.75" customHeight="1">
      <c r="D857" s="54"/>
      <c r="E857" s="54"/>
      <c r="F857" s="54"/>
      <c r="G857" s="54"/>
    </row>
    <row r="858" ht="15.75" customHeight="1">
      <c r="D858" s="54"/>
      <c r="E858" s="54"/>
      <c r="F858" s="54"/>
      <c r="G858" s="54"/>
    </row>
    <row r="859" ht="15.75" customHeight="1">
      <c r="D859" s="54"/>
      <c r="E859" s="54"/>
      <c r="F859" s="54"/>
      <c r="G859" s="54"/>
    </row>
    <row r="860" ht="15.75" customHeight="1">
      <c r="D860" s="54"/>
      <c r="E860" s="54"/>
      <c r="F860" s="54"/>
      <c r="G860" s="54"/>
    </row>
    <row r="861" ht="15.75" customHeight="1">
      <c r="D861" s="54"/>
      <c r="E861" s="54"/>
      <c r="F861" s="54"/>
      <c r="G861" s="54"/>
    </row>
    <row r="862" ht="15.75" customHeight="1">
      <c r="D862" s="54"/>
      <c r="E862" s="54"/>
      <c r="F862" s="54"/>
      <c r="G862" s="54"/>
    </row>
    <row r="863" ht="15.75" customHeight="1">
      <c r="D863" s="54"/>
      <c r="E863" s="54"/>
      <c r="F863" s="54"/>
      <c r="G863" s="54"/>
    </row>
    <row r="864" ht="15.75" customHeight="1">
      <c r="D864" s="54"/>
      <c r="E864" s="54"/>
      <c r="F864" s="54"/>
      <c r="G864" s="54"/>
    </row>
    <row r="865" ht="15.75" customHeight="1">
      <c r="D865" s="54"/>
      <c r="E865" s="54"/>
      <c r="F865" s="54"/>
      <c r="G865" s="54"/>
    </row>
    <row r="866" ht="15.75" customHeight="1">
      <c r="D866" s="54"/>
      <c r="E866" s="54"/>
      <c r="F866" s="54"/>
      <c r="G866" s="54"/>
    </row>
    <row r="867" ht="15.75" customHeight="1">
      <c r="D867" s="54"/>
      <c r="E867" s="54"/>
      <c r="F867" s="54"/>
      <c r="G867" s="54"/>
    </row>
    <row r="868" ht="15.75" customHeight="1">
      <c r="D868" s="54"/>
      <c r="E868" s="54"/>
      <c r="F868" s="54"/>
      <c r="G868" s="54"/>
    </row>
    <row r="869" ht="15.75" customHeight="1">
      <c r="D869" s="54"/>
      <c r="E869" s="54"/>
      <c r="F869" s="54"/>
      <c r="G869" s="54"/>
    </row>
    <row r="870" ht="15.75" customHeight="1">
      <c r="D870" s="54"/>
      <c r="E870" s="54"/>
      <c r="F870" s="54"/>
      <c r="G870" s="54"/>
    </row>
    <row r="871" ht="15.75" customHeight="1">
      <c r="D871" s="54"/>
      <c r="E871" s="54"/>
      <c r="F871" s="54"/>
      <c r="G871" s="54"/>
    </row>
    <row r="872" ht="15.75" customHeight="1">
      <c r="D872" s="54"/>
      <c r="E872" s="54"/>
      <c r="F872" s="54"/>
      <c r="G872" s="54"/>
    </row>
    <row r="873" ht="15.75" customHeight="1">
      <c r="D873" s="54"/>
      <c r="E873" s="54"/>
      <c r="F873" s="54"/>
      <c r="G873" s="54"/>
    </row>
    <row r="874" ht="15.75" customHeight="1">
      <c r="D874" s="54"/>
      <c r="E874" s="54"/>
      <c r="F874" s="54"/>
      <c r="G874" s="54"/>
    </row>
    <row r="875" ht="15.75" customHeight="1">
      <c r="D875" s="54"/>
      <c r="E875" s="54"/>
      <c r="F875" s="54"/>
      <c r="G875" s="54"/>
    </row>
    <row r="876" ht="15.75" customHeight="1">
      <c r="D876" s="54"/>
      <c r="E876" s="54"/>
      <c r="F876" s="54"/>
      <c r="G876" s="54"/>
    </row>
    <row r="877" ht="15.75" customHeight="1">
      <c r="D877" s="54"/>
      <c r="E877" s="54"/>
      <c r="F877" s="54"/>
      <c r="G877" s="54"/>
    </row>
    <row r="878" ht="15.75" customHeight="1">
      <c r="D878" s="54"/>
      <c r="E878" s="54"/>
      <c r="F878" s="54"/>
      <c r="G878" s="54"/>
    </row>
    <row r="879" ht="15.75" customHeight="1">
      <c r="D879" s="54"/>
      <c r="E879" s="54"/>
      <c r="F879" s="54"/>
      <c r="G879" s="54"/>
    </row>
    <row r="880" ht="15.75" customHeight="1">
      <c r="D880" s="54"/>
      <c r="E880" s="54"/>
      <c r="F880" s="54"/>
      <c r="G880" s="54"/>
    </row>
    <row r="881" ht="15.75" customHeight="1">
      <c r="D881" s="54"/>
      <c r="E881" s="54"/>
      <c r="F881" s="54"/>
      <c r="G881" s="54"/>
    </row>
    <row r="882" ht="15.75" customHeight="1">
      <c r="D882" s="54"/>
      <c r="E882" s="54"/>
      <c r="F882" s="54"/>
      <c r="G882" s="54"/>
    </row>
    <row r="883" ht="15.75" customHeight="1">
      <c r="D883" s="54"/>
      <c r="E883" s="54"/>
      <c r="F883" s="54"/>
      <c r="G883" s="54"/>
    </row>
    <row r="884" ht="15.75" customHeight="1">
      <c r="D884" s="54"/>
      <c r="E884" s="54"/>
      <c r="F884" s="54"/>
      <c r="G884" s="54"/>
    </row>
    <row r="885" ht="15.75" customHeight="1">
      <c r="D885" s="54"/>
      <c r="E885" s="54"/>
      <c r="F885" s="54"/>
      <c r="G885" s="54"/>
    </row>
    <row r="886" ht="15.75" customHeight="1">
      <c r="D886" s="54"/>
      <c r="E886" s="54"/>
      <c r="F886" s="54"/>
      <c r="G886" s="54"/>
    </row>
    <row r="887" ht="15.75" customHeight="1">
      <c r="D887" s="54"/>
      <c r="E887" s="54"/>
      <c r="F887" s="54"/>
      <c r="G887" s="54"/>
    </row>
    <row r="888" ht="15.75" customHeight="1">
      <c r="D888" s="54"/>
      <c r="E888" s="54"/>
      <c r="F888" s="54"/>
      <c r="G888" s="54"/>
    </row>
    <row r="889" ht="15.75" customHeight="1">
      <c r="D889" s="54"/>
      <c r="E889" s="54"/>
      <c r="F889" s="54"/>
      <c r="G889" s="54"/>
    </row>
    <row r="890" ht="15.75" customHeight="1">
      <c r="D890" s="54"/>
      <c r="E890" s="54"/>
      <c r="F890" s="54"/>
      <c r="G890" s="54"/>
    </row>
    <row r="891" ht="15.75" customHeight="1">
      <c r="D891" s="54"/>
      <c r="E891" s="54"/>
      <c r="F891" s="54"/>
      <c r="G891" s="54"/>
    </row>
    <row r="892" ht="15.75" customHeight="1">
      <c r="D892" s="54"/>
      <c r="E892" s="54"/>
      <c r="F892" s="54"/>
      <c r="G892" s="54"/>
    </row>
    <row r="893" ht="15.75" customHeight="1">
      <c r="D893" s="54"/>
      <c r="E893" s="54"/>
      <c r="F893" s="54"/>
      <c r="G893" s="54"/>
    </row>
    <row r="894" ht="15.75" customHeight="1">
      <c r="D894" s="54"/>
      <c r="E894" s="54"/>
      <c r="F894" s="54"/>
      <c r="G894" s="54"/>
    </row>
    <row r="895" ht="15.75" customHeight="1">
      <c r="D895" s="54"/>
      <c r="E895" s="54"/>
      <c r="F895" s="54"/>
      <c r="G895" s="54"/>
    </row>
    <row r="896" ht="15.75" customHeight="1">
      <c r="D896" s="54"/>
      <c r="E896" s="54"/>
      <c r="F896" s="54"/>
      <c r="G896" s="54"/>
    </row>
    <row r="897" ht="15.75" customHeight="1">
      <c r="D897" s="54"/>
      <c r="E897" s="54"/>
      <c r="F897" s="54"/>
      <c r="G897" s="54"/>
    </row>
    <row r="898" ht="15.75" customHeight="1">
      <c r="D898" s="54"/>
      <c r="E898" s="54"/>
      <c r="F898" s="54"/>
      <c r="G898" s="54"/>
    </row>
    <row r="899" ht="15.75" customHeight="1">
      <c r="D899" s="54"/>
      <c r="E899" s="54"/>
      <c r="F899" s="54"/>
      <c r="G899" s="54"/>
    </row>
    <row r="900" ht="15.75" customHeight="1">
      <c r="D900" s="54"/>
      <c r="E900" s="54"/>
      <c r="F900" s="54"/>
      <c r="G900" s="54"/>
    </row>
    <row r="901" ht="15.75" customHeight="1">
      <c r="D901" s="54"/>
      <c r="E901" s="54"/>
      <c r="F901" s="54"/>
      <c r="G901" s="54"/>
    </row>
    <row r="902" ht="15.75" customHeight="1">
      <c r="D902" s="54"/>
      <c r="E902" s="54"/>
      <c r="F902" s="54"/>
      <c r="G902" s="54"/>
    </row>
    <row r="903" ht="15.75" customHeight="1">
      <c r="D903" s="54"/>
      <c r="E903" s="54"/>
      <c r="F903" s="54"/>
      <c r="G903" s="54"/>
    </row>
    <row r="904" ht="15.75" customHeight="1">
      <c r="D904" s="54"/>
      <c r="E904" s="54"/>
      <c r="F904" s="54"/>
      <c r="G904" s="54"/>
    </row>
    <row r="905" ht="15.75" customHeight="1">
      <c r="D905" s="54"/>
      <c r="E905" s="54"/>
      <c r="F905" s="54"/>
      <c r="G905" s="54"/>
    </row>
    <row r="906" ht="15.75" customHeight="1">
      <c r="D906" s="54"/>
      <c r="E906" s="54"/>
      <c r="F906" s="54"/>
      <c r="G906" s="54"/>
    </row>
    <row r="907" ht="15.75" customHeight="1">
      <c r="D907" s="54"/>
      <c r="E907" s="54"/>
      <c r="F907" s="54"/>
      <c r="G907" s="54"/>
    </row>
    <row r="908" ht="15.75" customHeight="1">
      <c r="D908" s="54"/>
      <c r="E908" s="54"/>
      <c r="F908" s="54"/>
      <c r="G908" s="54"/>
    </row>
    <row r="909" ht="15.75" customHeight="1">
      <c r="D909" s="54"/>
      <c r="E909" s="54"/>
      <c r="F909" s="54"/>
      <c r="G909" s="54"/>
    </row>
    <row r="910" ht="15.75" customHeight="1">
      <c r="D910" s="54"/>
      <c r="E910" s="54"/>
      <c r="F910" s="54"/>
      <c r="G910" s="54"/>
    </row>
    <row r="911" ht="15.75" customHeight="1">
      <c r="D911" s="54"/>
      <c r="E911" s="54"/>
      <c r="F911" s="54"/>
      <c r="G911" s="54"/>
    </row>
    <row r="912" ht="15.75" customHeight="1">
      <c r="D912" s="54"/>
      <c r="E912" s="54"/>
      <c r="F912" s="54"/>
      <c r="G912" s="54"/>
    </row>
    <row r="913" ht="15.75" customHeight="1">
      <c r="D913" s="54"/>
      <c r="E913" s="54"/>
      <c r="F913" s="54"/>
      <c r="G913" s="54"/>
    </row>
    <row r="914" ht="15.75" customHeight="1">
      <c r="D914" s="54"/>
      <c r="E914" s="54"/>
      <c r="F914" s="54"/>
      <c r="G914" s="54"/>
    </row>
    <row r="915" ht="15.75" customHeight="1">
      <c r="D915" s="54"/>
      <c r="E915" s="54"/>
      <c r="F915" s="54"/>
      <c r="G915" s="54"/>
    </row>
    <row r="916" ht="15.75" customHeight="1">
      <c r="D916" s="54"/>
      <c r="E916" s="54"/>
      <c r="F916" s="54"/>
      <c r="G916" s="54"/>
    </row>
    <row r="917" ht="15.75" customHeight="1">
      <c r="D917" s="54"/>
      <c r="E917" s="54"/>
      <c r="F917" s="54"/>
      <c r="G917" s="54"/>
    </row>
    <row r="918" ht="15.75" customHeight="1">
      <c r="D918" s="54"/>
      <c r="E918" s="54"/>
      <c r="F918" s="54"/>
      <c r="G918" s="54"/>
    </row>
    <row r="919" ht="15.75" customHeight="1">
      <c r="D919" s="54"/>
      <c r="E919" s="54"/>
      <c r="F919" s="54"/>
      <c r="G919" s="54"/>
    </row>
    <row r="920" ht="15.75" customHeight="1">
      <c r="D920" s="54"/>
      <c r="E920" s="54"/>
      <c r="F920" s="54"/>
      <c r="G920" s="54"/>
    </row>
    <row r="921" ht="15.75" customHeight="1">
      <c r="D921" s="54"/>
      <c r="E921" s="54"/>
      <c r="F921" s="54"/>
      <c r="G921" s="54"/>
    </row>
    <row r="922" ht="15.75" customHeight="1">
      <c r="D922" s="54"/>
      <c r="E922" s="54"/>
      <c r="F922" s="54"/>
      <c r="G922" s="54"/>
    </row>
    <row r="923" ht="15.75" customHeight="1">
      <c r="D923" s="54"/>
      <c r="E923" s="54"/>
      <c r="F923" s="54"/>
      <c r="G923" s="54"/>
    </row>
    <row r="924" ht="15.75" customHeight="1">
      <c r="D924" s="54"/>
      <c r="E924" s="54"/>
      <c r="F924" s="54"/>
      <c r="G924" s="54"/>
    </row>
    <row r="925" ht="15.75" customHeight="1">
      <c r="D925" s="54"/>
      <c r="E925" s="54"/>
      <c r="F925" s="54"/>
      <c r="G925" s="54"/>
    </row>
    <row r="926" ht="15.75" customHeight="1">
      <c r="D926" s="54"/>
      <c r="E926" s="54"/>
      <c r="F926" s="54"/>
      <c r="G926" s="54"/>
    </row>
    <row r="927" ht="15.75" customHeight="1">
      <c r="D927" s="54"/>
      <c r="E927" s="54"/>
      <c r="F927" s="54"/>
      <c r="G927" s="54"/>
    </row>
    <row r="928" ht="15.75" customHeight="1">
      <c r="D928" s="54"/>
      <c r="E928" s="54"/>
      <c r="F928" s="54"/>
      <c r="G928" s="54"/>
    </row>
    <row r="929" ht="15.75" customHeight="1">
      <c r="D929" s="54"/>
      <c r="E929" s="54"/>
      <c r="F929" s="54"/>
      <c r="G929" s="54"/>
    </row>
    <row r="930" ht="15.75" customHeight="1">
      <c r="D930" s="54"/>
      <c r="E930" s="54"/>
      <c r="F930" s="54"/>
      <c r="G930" s="54"/>
    </row>
    <row r="931" ht="15.75" customHeight="1">
      <c r="D931" s="54"/>
      <c r="E931" s="54"/>
      <c r="F931" s="54"/>
      <c r="G931" s="54"/>
    </row>
    <row r="932" ht="15.75" customHeight="1">
      <c r="D932" s="54"/>
      <c r="E932" s="54"/>
      <c r="F932" s="54"/>
      <c r="G932" s="54"/>
    </row>
    <row r="933" ht="15.75" customHeight="1">
      <c r="D933" s="54"/>
      <c r="E933" s="54"/>
      <c r="F933" s="54"/>
      <c r="G933" s="54"/>
    </row>
    <row r="934" ht="15.75" customHeight="1">
      <c r="D934" s="54"/>
      <c r="E934" s="54"/>
      <c r="F934" s="54"/>
      <c r="G934" s="54"/>
    </row>
    <row r="935" ht="15.75" customHeight="1">
      <c r="D935" s="54"/>
      <c r="E935" s="54"/>
      <c r="F935" s="54"/>
      <c r="G935" s="54"/>
    </row>
    <row r="936" ht="15.75" customHeight="1">
      <c r="D936" s="54"/>
      <c r="E936" s="54"/>
      <c r="F936" s="54"/>
      <c r="G936" s="54"/>
    </row>
    <row r="937" ht="15.75" customHeight="1">
      <c r="D937" s="54"/>
      <c r="E937" s="54"/>
      <c r="F937" s="54"/>
      <c r="G937" s="54"/>
    </row>
    <row r="938" ht="15.75" customHeight="1">
      <c r="D938" s="54"/>
      <c r="E938" s="54"/>
      <c r="F938" s="54"/>
      <c r="G938" s="54"/>
    </row>
    <row r="939" ht="15.75" customHeight="1">
      <c r="D939" s="54"/>
      <c r="E939" s="54"/>
      <c r="F939" s="54"/>
      <c r="G939" s="54"/>
    </row>
    <row r="940" ht="15.75" customHeight="1">
      <c r="D940" s="54"/>
      <c r="E940" s="54"/>
      <c r="F940" s="54"/>
      <c r="G940" s="54"/>
    </row>
    <row r="941" ht="15.75" customHeight="1">
      <c r="D941" s="54"/>
      <c r="E941" s="54"/>
      <c r="F941" s="54"/>
      <c r="G941" s="54"/>
    </row>
    <row r="942" ht="15.75" customHeight="1">
      <c r="D942" s="54"/>
      <c r="E942" s="54"/>
      <c r="F942" s="54"/>
      <c r="G942" s="54"/>
    </row>
    <row r="943" ht="15.75" customHeight="1">
      <c r="D943" s="54"/>
      <c r="E943" s="54"/>
      <c r="F943" s="54"/>
      <c r="G943" s="54"/>
    </row>
    <row r="944" ht="15.75" customHeight="1">
      <c r="D944" s="54"/>
      <c r="E944" s="54"/>
      <c r="F944" s="54"/>
      <c r="G944" s="54"/>
    </row>
    <row r="945" ht="15.75" customHeight="1">
      <c r="D945" s="54"/>
      <c r="E945" s="54"/>
      <c r="F945" s="54"/>
      <c r="G945" s="54"/>
    </row>
    <row r="946" ht="15.75" customHeight="1">
      <c r="D946" s="54"/>
      <c r="E946" s="54"/>
      <c r="F946" s="54"/>
      <c r="G946" s="54"/>
    </row>
    <row r="947" ht="15.75" customHeight="1">
      <c r="D947" s="54"/>
      <c r="E947" s="54"/>
      <c r="F947" s="54"/>
      <c r="G947" s="54"/>
    </row>
    <row r="948" ht="15.75" customHeight="1">
      <c r="D948" s="54"/>
      <c r="E948" s="54"/>
      <c r="F948" s="54"/>
      <c r="G948" s="54"/>
    </row>
    <row r="949" ht="15.75" customHeight="1">
      <c r="D949" s="54"/>
      <c r="E949" s="54"/>
      <c r="F949" s="54"/>
      <c r="G949" s="54"/>
    </row>
    <row r="950" ht="15.75" customHeight="1">
      <c r="D950" s="54"/>
      <c r="E950" s="54"/>
      <c r="F950" s="54"/>
      <c r="G950" s="54"/>
    </row>
    <row r="951" ht="15.75" customHeight="1">
      <c r="D951" s="54"/>
      <c r="E951" s="54"/>
      <c r="F951" s="54"/>
      <c r="G951" s="54"/>
    </row>
    <row r="952" ht="15.75" customHeight="1">
      <c r="D952" s="54"/>
      <c r="E952" s="54"/>
      <c r="F952" s="54"/>
      <c r="G952" s="54"/>
    </row>
    <row r="953" ht="15.75" customHeight="1">
      <c r="D953" s="54"/>
      <c r="E953" s="54"/>
      <c r="F953" s="54"/>
      <c r="G953" s="54"/>
    </row>
    <row r="954" ht="15.75" customHeight="1">
      <c r="D954" s="54"/>
      <c r="E954" s="54"/>
      <c r="F954" s="54"/>
      <c r="G954" s="54"/>
    </row>
    <row r="955" ht="15.75" customHeight="1">
      <c r="D955" s="54"/>
      <c r="E955" s="54"/>
      <c r="F955" s="54"/>
      <c r="G955" s="54"/>
    </row>
    <row r="956" ht="15.75" customHeight="1">
      <c r="D956" s="54"/>
      <c r="E956" s="54"/>
      <c r="F956" s="54"/>
      <c r="G956" s="54"/>
    </row>
    <row r="957" ht="15.75" customHeight="1">
      <c r="D957" s="54"/>
      <c r="E957" s="54"/>
      <c r="F957" s="54"/>
      <c r="G957" s="54"/>
    </row>
    <row r="958" ht="15.75" customHeight="1">
      <c r="D958" s="54"/>
      <c r="E958" s="54"/>
      <c r="F958" s="54"/>
      <c r="G958" s="54"/>
    </row>
    <row r="959" ht="15.75" customHeight="1">
      <c r="D959" s="54"/>
      <c r="E959" s="54"/>
      <c r="F959" s="54"/>
      <c r="G959" s="54"/>
    </row>
    <row r="960" ht="15.75" customHeight="1">
      <c r="D960" s="54"/>
      <c r="E960" s="54"/>
      <c r="F960" s="54"/>
      <c r="G960" s="54"/>
    </row>
    <row r="961" ht="15.75" customHeight="1">
      <c r="D961" s="54"/>
      <c r="E961" s="54"/>
      <c r="F961" s="54"/>
      <c r="G961" s="54"/>
    </row>
    <row r="962" ht="15.75" customHeight="1">
      <c r="D962" s="54"/>
      <c r="E962" s="54"/>
      <c r="F962" s="54"/>
      <c r="G962" s="54"/>
    </row>
    <row r="963" ht="15.75" customHeight="1">
      <c r="D963" s="54"/>
      <c r="E963" s="54"/>
      <c r="F963" s="54"/>
      <c r="G963" s="54"/>
    </row>
    <row r="964" ht="15.75" customHeight="1">
      <c r="D964" s="54"/>
      <c r="E964" s="54"/>
      <c r="F964" s="54"/>
      <c r="G964" s="54"/>
    </row>
    <row r="965" ht="15.75" customHeight="1">
      <c r="D965" s="54"/>
      <c r="E965" s="54"/>
      <c r="F965" s="54"/>
      <c r="G965" s="54"/>
    </row>
    <row r="966" ht="15.75" customHeight="1">
      <c r="D966" s="54"/>
      <c r="E966" s="54"/>
      <c r="F966" s="54"/>
      <c r="G966" s="54"/>
    </row>
    <row r="967" ht="15.75" customHeight="1">
      <c r="D967" s="54"/>
      <c r="E967" s="54"/>
      <c r="F967" s="54"/>
      <c r="G967" s="54"/>
    </row>
    <row r="968" ht="15.75" customHeight="1">
      <c r="D968" s="54"/>
      <c r="E968" s="54"/>
      <c r="F968" s="54"/>
      <c r="G968" s="54"/>
    </row>
    <row r="969" ht="15.75" customHeight="1">
      <c r="D969" s="54"/>
      <c r="E969" s="54"/>
      <c r="F969" s="54"/>
      <c r="G969" s="54"/>
    </row>
    <row r="970" ht="15.75" customHeight="1">
      <c r="D970" s="54"/>
      <c r="E970" s="54"/>
      <c r="F970" s="54"/>
      <c r="G970" s="54"/>
    </row>
    <row r="971" ht="15.75" customHeight="1">
      <c r="D971" s="54"/>
      <c r="E971" s="54"/>
      <c r="F971" s="54"/>
      <c r="G971" s="54"/>
    </row>
    <row r="972" ht="15.75" customHeight="1">
      <c r="D972" s="54"/>
      <c r="E972" s="54"/>
      <c r="F972" s="54"/>
      <c r="G972" s="54"/>
    </row>
    <row r="973" ht="15.75" customHeight="1">
      <c r="D973" s="54"/>
      <c r="E973" s="54"/>
      <c r="F973" s="54"/>
      <c r="G973" s="54"/>
    </row>
    <row r="974" ht="15.75" customHeight="1">
      <c r="D974" s="54"/>
      <c r="E974" s="54"/>
      <c r="F974" s="54"/>
      <c r="G974" s="54"/>
    </row>
    <row r="975" ht="15.75" customHeight="1">
      <c r="D975" s="54"/>
      <c r="E975" s="54"/>
      <c r="F975" s="54"/>
      <c r="G975" s="54"/>
    </row>
    <row r="976" ht="15.75" customHeight="1">
      <c r="D976" s="54"/>
      <c r="E976" s="54"/>
      <c r="F976" s="54"/>
      <c r="G976" s="54"/>
    </row>
    <row r="977" ht="15.75" customHeight="1">
      <c r="D977" s="54"/>
      <c r="E977" s="54"/>
      <c r="F977" s="54"/>
      <c r="G977" s="54"/>
    </row>
    <row r="978" ht="15.75" customHeight="1">
      <c r="D978" s="54"/>
      <c r="E978" s="54"/>
      <c r="F978" s="54"/>
      <c r="G978" s="54"/>
    </row>
    <row r="979" ht="15.75" customHeight="1">
      <c r="D979" s="54"/>
      <c r="E979" s="54"/>
      <c r="F979" s="54"/>
      <c r="G979" s="54"/>
    </row>
    <row r="980" ht="15.75" customHeight="1">
      <c r="D980" s="54"/>
      <c r="E980" s="54"/>
      <c r="F980" s="54"/>
      <c r="G980" s="54"/>
    </row>
    <row r="981" ht="15.75" customHeight="1">
      <c r="D981" s="54"/>
      <c r="E981" s="54"/>
      <c r="F981" s="54"/>
      <c r="G981" s="54"/>
    </row>
    <row r="982" ht="15.75" customHeight="1">
      <c r="D982" s="54"/>
      <c r="E982" s="54"/>
      <c r="F982" s="54"/>
      <c r="G982" s="54"/>
    </row>
    <row r="983" ht="15.75" customHeight="1">
      <c r="D983" s="54"/>
      <c r="E983" s="54"/>
      <c r="F983" s="54"/>
      <c r="G983" s="54"/>
    </row>
    <row r="984" ht="15.75" customHeight="1">
      <c r="D984" s="54"/>
      <c r="E984" s="54"/>
      <c r="F984" s="54"/>
      <c r="G984" s="54"/>
    </row>
    <row r="985" ht="15.75" customHeight="1">
      <c r="D985" s="54"/>
      <c r="E985" s="54"/>
      <c r="F985" s="54"/>
      <c r="G985" s="54"/>
    </row>
    <row r="986" ht="15.75" customHeight="1">
      <c r="D986" s="54"/>
      <c r="E986" s="54"/>
      <c r="F986" s="54"/>
      <c r="G986" s="54"/>
    </row>
    <row r="987" ht="15.75" customHeight="1">
      <c r="D987" s="54"/>
      <c r="E987" s="54"/>
      <c r="F987" s="54"/>
      <c r="G987" s="54"/>
    </row>
    <row r="988" ht="15.75" customHeight="1">
      <c r="D988" s="54"/>
      <c r="E988" s="54"/>
      <c r="F988" s="54"/>
      <c r="G988" s="54"/>
    </row>
    <row r="989" ht="15.75" customHeight="1">
      <c r="D989" s="54"/>
      <c r="E989" s="54"/>
      <c r="F989" s="54"/>
      <c r="G989" s="54"/>
    </row>
    <row r="990" ht="15.75" customHeight="1">
      <c r="D990" s="54"/>
      <c r="E990" s="54"/>
      <c r="F990" s="54"/>
      <c r="G990" s="54"/>
    </row>
    <row r="991" ht="15.75" customHeight="1">
      <c r="D991" s="54"/>
      <c r="E991" s="54"/>
      <c r="F991" s="54"/>
      <c r="G991" s="54"/>
    </row>
    <row r="992" ht="15.75" customHeight="1">
      <c r="D992" s="54"/>
      <c r="E992" s="54"/>
      <c r="F992" s="54"/>
      <c r="G992" s="54"/>
    </row>
    <row r="993" ht="15.75" customHeight="1">
      <c r="D993" s="54"/>
      <c r="E993" s="54"/>
      <c r="F993" s="54"/>
      <c r="G993" s="54"/>
    </row>
    <row r="994" ht="15.75" customHeight="1">
      <c r="D994" s="54"/>
      <c r="E994" s="54"/>
      <c r="F994" s="54"/>
      <c r="G994" s="54"/>
    </row>
    <row r="995" ht="15.75" customHeight="1">
      <c r="D995" s="54"/>
      <c r="E995" s="54"/>
      <c r="F995" s="54"/>
      <c r="G995" s="54"/>
    </row>
    <row r="996" ht="15.75" customHeight="1">
      <c r="D996" s="54"/>
      <c r="E996" s="54"/>
      <c r="F996" s="54"/>
      <c r="G996" s="54"/>
    </row>
    <row r="997" ht="15.75" customHeight="1">
      <c r="D997" s="54"/>
      <c r="E997" s="54"/>
      <c r="F997" s="54"/>
      <c r="G997" s="54"/>
    </row>
    <row r="998" ht="15.75" customHeight="1">
      <c r="D998" s="54"/>
      <c r="E998" s="54"/>
      <c r="F998" s="54"/>
      <c r="G998" s="54"/>
    </row>
    <row r="999" ht="15.75" customHeight="1">
      <c r="D999" s="54"/>
      <c r="E999" s="54"/>
      <c r="F999" s="54"/>
      <c r="G999" s="54"/>
    </row>
    <row r="1000" ht="15.75" customHeight="1">
      <c r="D1000" s="54"/>
      <c r="E1000" s="54"/>
      <c r="F1000" s="54"/>
      <c r="G1000" s="54"/>
    </row>
  </sheetData>
  <printOptions/>
  <pageMargins bottom="0.75" footer="0.0" header="0.0" left="0.7" right="0.7" top="0.75"/>
  <pageSetup orientation="landscape"/>
  <drawing r:id="rId1"/>
</worksheet>
</file>